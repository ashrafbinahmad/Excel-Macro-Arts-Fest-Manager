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2bead5a87975f/Documents/MDIA FEST 2023/"/>
    </mc:Choice>
  </mc:AlternateContent>
  <xr:revisionPtr revIDLastSave="2886" documentId="8_{B9FECFA7-9583-43FA-BD0C-1F6A7C09269D}" xr6:coauthVersionLast="47" xr6:coauthVersionMax="47" xr10:uidLastSave="{7B3E488D-8011-4085-9553-9A8F151C4FA3}"/>
  <bookViews>
    <workbookView xWindow="-98" yWindow="-98" windowWidth="24196" windowHeight="14476" tabRatio="577" activeTab="3" xr2:uid="{49E0BFD9-7B5E-4406-9201-4DC154943EF9}"/>
  </bookViews>
  <sheets>
    <sheet name="Chart2" sheetId="8" r:id="rId1"/>
    <sheet name="fetcher" sheetId="2" r:id="rId2"/>
    <sheet name="Chart1" sheetId="7" r:id="rId3"/>
    <sheet name="LIVE PREVIEW (4t)" sheetId="4" r:id="rId4"/>
    <sheet name="Sheet1" sheetId="6" r:id="rId5"/>
  </sheets>
  <functionGroups builtInGroupCount="19"/>
  <externalReferences>
    <externalReference r:id="rId6"/>
  </externalReferences>
  <definedNames>
    <definedName name="_xlpm.in" hidden="1" xlm="1">#NAME?</definedName>
    <definedName name="_xlpm.rep" hidden="1" xlm="1">#NAME?</definedName>
    <definedName name="_xlpm.s" hidden="1" xlm="1">#NAME?</definedName>
    <definedName name="f_detailsof_candi_chests_and_names">fetcher!$AL$3:$AM$502</definedName>
    <definedName name="f_detailsof_candidates">fetcher!$AL$3:$AU$502</definedName>
    <definedName name="f_detailsof_programs">fetcher!$AW$3:$BF$502</definedName>
    <definedName name="f_detailsof_teams">fetcher!$E$3:$AI$62</definedName>
    <definedName name="f_lisof_teams_codes">fetcher!$E$3:$E$62</definedName>
    <definedName name="f_listof_candidate_classes">fetcher!$AP$3:$AP$502</definedName>
    <definedName name="f_listof_candidate_names">fetcher!$AM$3:$AM$502</definedName>
    <definedName name="f_listof_candidate_program_code">fetcher!$BI$4:$NB$4</definedName>
    <definedName name="f_listof_candidate_sections">fetcher!$AO$3:$AO$502</definedName>
    <definedName name="f_listof_candidate_teams">fetcher!$AN$3:$AN$502</definedName>
    <definedName name="f_listof_chest_nos">fetcher!$AL$3:$AL$502</definedName>
    <definedName name="f_listof_program_candi_count">fetcher!$BB$3:$BB$502</definedName>
    <definedName name="f_listof_program_candidate_number_in_team">fetcher!$BI$4:$NB$4</definedName>
    <definedName name="f_listof_program_candidate_teams">fetcher!$BI$3:$NB$3</definedName>
    <definedName name="f_listof_program_candidates">fetcher!$BI$7:$NB$506</definedName>
    <definedName name="f_listof_program_codes">fetcher!$AW$3:$AW$502</definedName>
    <definedName name="f_listof_program_names">fetcher!$AX$3:$AX$502</definedName>
    <definedName name="f_listof_program_sections">fetcher!$AY$3:$AY$502</definedName>
    <definedName name="f_listof_program_single_or_group">fetcher!$AZ$3:$AZ$502</definedName>
    <definedName name="f_listof_sections">fetcher!$C$3:$C$12</definedName>
    <definedName name="f_listof_stage_or_non_stg">fetcher!$BA$3:$BA$502</definedName>
    <definedName name="f_listof_teams_names">fetcher!$H$3:$H$62</definedName>
    <definedName name="f_str_festname">fetcher!$A$3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4" l="1"/>
  <c r="M5" i="4"/>
  <c r="H5" i="4"/>
  <c r="E3" i="2" a="1"/>
  <c r="E3" i="2" s="1"/>
  <c r="Q4" i="4" l="1"/>
  <c r="L4" i="4"/>
  <c r="G4" i="4"/>
  <c r="A3" i="2"/>
  <c r="C3" i="2" l="1" a="1"/>
  <c r="C3" i="2" l="1"/>
  <c r="AW3" i="2" l="1" a="1"/>
  <c r="AW3" i="2" s="1"/>
  <c r="BH3" i="2" l="1" a="1"/>
  <c r="BH3" i="2" s="1"/>
  <c r="AL3" i="2" l="1" a="1"/>
  <c r="C7" i="4" l="1" a="1"/>
  <c r="C7" i="4" s="1"/>
  <c r="D7" i="4" a="1"/>
  <c r="D7" i="4" s="1"/>
  <c r="I7" i="4" a="1"/>
  <c r="I7" i="4" s="1"/>
  <c r="N7" i="4" a="1"/>
  <c r="N7" i="4" s="1"/>
  <c r="H7" i="4" a="1"/>
  <c r="H7" i="4" s="1"/>
  <c r="S7" i="4" a="1"/>
  <c r="S7" i="4" s="1"/>
  <c r="R7" i="4" a="1"/>
  <c r="R7" i="4" s="1"/>
  <c r="Q7" i="4" a="1"/>
  <c r="Q7" i="4" s="1"/>
  <c r="M7" i="4" a="1"/>
  <c r="M7" i="4" s="1"/>
  <c r="L7" i="4" a="1"/>
  <c r="L7" i="4" s="1"/>
  <c r="G7" i="4" a="1"/>
  <c r="G7" i="4" s="1"/>
  <c r="AL3" i="2"/>
  <c r="B7" i="4" s="1" a="1"/>
  <c r="B7" i="4" s="1"/>
  <c r="G3" i="4" l="1" a="1"/>
  <c r="G3" i="4" s="1"/>
  <c r="P7" i="4" a="1"/>
  <c r="P7" i="4" s="1"/>
  <c r="N4" i="4"/>
  <c r="Q3" i="4" a="1"/>
  <c r="Q3" i="4" s="1"/>
  <c r="L3" i="4" a="1"/>
  <c r="L3" i="4" s="1"/>
  <c r="B3" i="4" a="1"/>
  <c r="B3" i="4" s="1"/>
  <c r="F7" i="4" a="1"/>
  <c r="F7" i="4" s="1"/>
  <c r="I4" i="4"/>
  <c r="S4" i="4" l="1"/>
  <c r="K7" i="4" a="1"/>
  <c r="K7" i="4" s="1"/>
  <c r="D4" i="4"/>
  <c r="A7" i="4" a="1"/>
  <c r="A7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<sst xmlns="http://schemas.openxmlformats.org/spreadsheetml/2006/main" count="36" uniqueCount="14">
  <si>
    <t>BASICS</t>
  </si>
  <si>
    <t>SECTIONS</t>
  </si>
  <si>
    <t>TEAMS</t>
  </si>
  <si>
    <t>CANDIDATES</t>
  </si>
  <si>
    <t>PROGRAMS</t>
  </si>
  <si>
    <t>FEST NAME 👇🏿</t>
  </si>
  <si>
    <t>Sl.</t>
  </si>
  <si>
    <t>Ch. No.</t>
  </si>
  <si>
    <t>Name</t>
  </si>
  <si>
    <t>Class</t>
  </si>
  <si>
    <t>Team</t>
  </si>
  <si>
    <t>Section</t>
  </si>
  <si>
    <t>SUB JUNIOR</t>
  </si>
  <si>
    <t>PUBLISHED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</si>
</sst>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0" fillId="2" borderId="0" xfId="0" applyFill="1"/>
    <xf numFmtId="0" fontId="2" fillId="0" borderId="0" xfId="0" applyFont="1"/>
    <xf numFmtId="0" fontId="2" fillId="5" borderId="0" xfId="0" applyFont="1" applyFill="1"/>
    <xf numFmtId="0" fontId="2" fillId="0" borderId="0" xfId="0" applyFont="1" applyAlignment="1">
      <alignment horizontal="left" vertical="center"/>
    </xf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5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4" fillId="4" borderId="0" xfId="0" applyFont="1" applyFill="1"/>
    <xf numFmtId="0" fontId="4" fillId="0" borderId="0" xfId="0" applyFont="1"/>
    <xf numFmtId="0" fontId="5" fillId="3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909CD08-64F4-4EC4-802D-2AD9CF0044A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3.xml"/><Relationship Id="rId10" Type="http://schemas.openxmlformats.org/officeDocument/2006/relationships/sheetMetadata" Target="metadata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fetcher!$AL$3</c:f>
              <c:strCache>
                <c:ptCount val="1"/>
                <c:pt idx="0">
                  <c:v>A100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fetcher!$AL$4:$AL$502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4B-4359-A5FC-D3DCFC51BEC9}"/>
            </c:ext>
          </c:extLst>
        </c:ser>
        <c:ser>
          <c:idx val="1"/>
          <c:order val="1"/>
          <c:tx>
            <c:strRef>
              <c:f>fetcher!$AM$3</c:f>
              <c:strCache>
                <c:ptCount val="1"/>
                <c:pt idx="0">
                  <c:v>ADINAN ABOOBACKER 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fetcher!$AM$4:$AM$502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4B-4359-A5FC-D3DCFC51BEC9}"/>
            </c:ext>
          </c:extLst>
        </c:ser>
        <c:ser>
          <c:idx val="2"/>
          <c:order val="2"/>
          <c:tx>
            <c:strRef>
              <c:f>fetcher!$AN$3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fetcher!$AN$4:$AN$502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4B-4359-A5FC-D3DCFC51BEC9}"/>
            </c:ext>
          </c:extLst>
        </c:ser>
        <c:ser>
          <c:idx val="3"/>
          <c:order val="3"/>
          <c:tx>
            <c:strRef>
              <c:f>fetcher!$AO$3</c:f>
              <c:strCache>
                <c:ptCount val="1"/>
                <c:pt idx="0">
                  <c:v>SUB JUNIOR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fetcher!$AO$4:$AO$502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4B-4359-A5FC-D3DCFC51BEC9}"/>
            </c:ext>
          </c:extLst>
        </c:ser>
        <c:ser>
          <c:idx val="4"/>
          <c:order val="4"/>
          <c:tx>
            <c:strRef>
              <c:f>fetcher!$AP$3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fetcher!$AP$4:$AP$502</c:f>
              <c:numCache>
                <c:formatCode>General</c:formatCode>
                <c:ptCount val="4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9</c:v>
                </c:pt>
                <c:pt idx="264">
                  <c:v>9</c:v>
                </c:pt>
                <c:pt idx="265">
                  <c:v>9</c:v>
                </c:pt>
                <c:pt idx="266">
                  <c:v>9</c:v>
                </c:pt>
                <c:pt idx="267">
                  <c:v>9</c:v>
                </c:pt>
                <c:pt idx="268">
                  <c:v>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</c:v>
                </c:pt>
                <c:pt idx="279">
                  <c:v>9</c:v>
                </c:pt>
                <c:pt idx="280">
                  <c:v>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4B-4359-A5FC-D3DCFC51BEC9}"/>
            </c:ext>
          </c:extLst>
        </c:ser>
        <c:ser>
          <c:idx val="5"/>
          <c:order val="5"/>
          <c:tx>
            <c:strRef>
              <c:f>fetcher!$AQ$3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fetcher!$AQ$4:$AQ$502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4B-4359-A5FC-D3DCFC51BEC9}"/>
            </c:ext>
          </c:extLst>
        </c:ser>
        <c:ser>
          <c:idx val="6"/>
          <c:order val="6"/>
          <c:tx>
            <c:strRef>
              <c:f>fetcher!$AR$3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fetcher!$AR$4:$AR$502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4B-4359-A5FC-D3DCFC51BEC9}"/>
            </c:ext>
          </c:extLst>
        </c:ser>
        <c:ser>
          <c:idx val="7"/>
          <c:order val="7"/>
          <c:tx>
            <c:strRef>
              <c:f>fetcher!$AS$3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fetcher!$AS$4:$AS$502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4B-4359-A5FC-D3DCFC51BEC9}"/>
            </c:ext>
          </c:extLst>
        </c:ser>
        <c:ser>
          <c:idx val="8"/>
          <c:order val="8"/>
          <c:tx>
            <c:strRef>
              <c:f>fetcher!$AT$3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fetcher!$AT$4:$AT$502</c:f>
              <c:numCache>
                <c:formatCode>General</c:formatCode>
                <c:ptCount val="4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4B-4359-A5FC-D3DCFC51BEC9}"/>
            </c:ext>
          </c:extLst>
        </c:ser>
        <c:ser>
          <c:idx val="9"/>
          <c:order val="9"/>
          <c:tx>
            <c:strRef>
              <c:f>fetcher!$AU$3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fetcher!$AK$4:$AK$502</c:f>
              <c:numCache>
                <c:formatCode>General</c:formatCode>
                <c:ptCount val="499"/>
              </c:numCache>
            </c:numRef>
          </c:cat>
          <c:val>
            <c:numRef>
              <c:f>fetcher!$AU$4:$AU$502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4B-4359-A5FC-D3DCFC51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1931312"/>
        <c:axId val="1150263408"/>
      </c:barChart>
      <c:catAx>
        <c:axId val="122193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3408"/>
        <c:crosses val="autoZero"/>
        <c:auto val="1"/>
        <c:lblAlgn val="ctr"/>
        <c:lblOffset val="100"/>
        <c:noMultiLvlLbl val="0"/>
      </c:catAx>
      <c:valAx>
        <c:axId val="115026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93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957135"/>
        <c:axId val="1358477919"/>
      </c:barChart>
      <c:catAx>
        <c:axId val="165595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477919"/>
        <c:crosses val="autoZero"/>
        <c:auto val="1"/>
        <c:lblAlgn val="ctr"/>
        <c:lblOffset val="100"/>
        <c:noMultiLvlLbl val="0"/>
      </c:catAx>
      <c:valAx>
        <c:axId val="135847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957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14ABAD4-F065-4621-9FA3-F2486FD2A345}">
  <sheetPr codeName="Chart2"/>
  <sheetViews>
    <sheetView zoomScale="9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F79682-D7C3-46E0-851B-6F6FA83C1B25}">
  <sheetPr codeName="Chart1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330" cy="60635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C64D81-3C99-10D8-77D2-A928D6D19D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715" cy="60692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626C93-8478-30AB-F698-B38BDEBBC2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9c2bead5a87975f/Documents/MDIA%20FEST%202023/FMS_RESULT_MANAGER.xlsm" TargetMode="External"/><Relationship Id="rId1" Type="http://schemas.openxmlformats.org/officeDocument/2006/relationships/externalLinkPath" Target="FMS_RESULT_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79c2bead5a87975f" itemId="79c2bead5a87975f!30178">
      <xxl21:absoluteUrl r:id="rId2"/>
    </xxl21:alternateUrls>
    <sheetNames>
      <sheetName val="SETTINGS"/>
      <sheetName val="🏠MENU"/>
      <sheetName val="BASIC"/>
      <sheetName val="TEAMS"/>
      <sheetName val="CANDIDATES"/>
      <sheetName val="PROGRAMS"/>
      <sheetName val="PROGRAM REGI. LIMITS"/>
      <sheetName val="PROGRAM REGI."/>
      <sheetName val="CHECK REGI. LIMITS"/>
      <sheetName val="SEARCH"/>
      <sheetName val="ADD RESULT"/>
      <sheetName val="RESULT SEARCH"/>
      <sheetName val="lists for dropdown in filter"/>
    </sheetNames>
    <definedNames>
      <definedName name="detailsof_candidates" refersTo="='CANDIDATES'!$C$7:$L$506"/>
      <definedName name="detailsof_programs" refersTo="='PROGRAMS'!$C$7:$L$506"/>
      <definedName name="detailsof_teams" refersTo="='TEAMS'!$C$7:$AH$66"/>
      <definedName name="listof_sections" refersTo="='BASIC'!$E$7:$E$16"/>
    </definedNames>
    <sheetDataSet>
      <sheetData sheetId="0">
        <row r="7">
          <cell r="T7" t="str">
            <v>User password</v>
          </cell>
          <cell r="U7" t="str">
            <v>userPass</v>
          </cell>
        </row>
        <row r="8">
          <cell r="D8" t="str">
            <v>Maximum allowed total candidates per program</v>
          </cell>
          <cell r="E8">
            <v>300</v>
          </cell>
          <cell r="T8" t="str">
            <v>Is firstly opening</v>
          </cell>
          <cell r="U8" t="b">
            <v>1</v>
          </cell>
        </row>
        <row r="9">
          <cell r="D9" t="str">
            <v>Expiry date</v>
          </cell>
        </row>
        <row r="10">
          <cell r="D10" t="str">
            <v>User password</v>
          </cell>
        </row>
        <row r="18">
          <cell r="D18" t="str">
            <v>Insert Marks for each candidates for group programs if that team get positions or grades</v>
          </cell>
        </row>
      </sheetData>
      <sheetData sheetId="1"/>
      <sheetData sheetId="2">
        <row r="7">
          <cell r="D7">
            <v>1</v>
          </cell>
          <cell r="E7" t="str">
            <v>SUB JUNIOR</v>
          </cell>
        </row>
        <row r="8">
          <cell r="D8">
            <v>2</v>
          </cell>
          <cell r="E8" t="str">
            <v>JUNIOR</v>
          </cell>
          <cell r="N8" t="str">
            <v>Entered</v>
          </cell>
          <cell r="S8">
            <v>6</v>
          </cell>
          <cell r="V8">
            <v>2.7272727272727271</v>
          </cell>
        </row>
        <row r="9">
          <cell r="D9">
            <v>3</v>
          </cell>
          <cell r="E9" t="str">
            <v>SENIOR</v>
          </cell>
          <cell r="N9" t="str">
            <v>Checked to publish</v>
          </cell>
          <cell r="S9">
            <v>0</v>
          </cell>
          <cell r="V9">
            <v>0</v>
          </cell>
        </row>
        <row r="10">
          <cell r="D10">
            <v>4</v>
          </cell>
          <cell r="E10" t="str">
            <v>SUPER SENIOR</v>
          </cell>
          <cell r="N10" t="str">
            <v>Published</v>
          </cell>
          <cell r="S10">
            <v>1</v>
          </cell>
          <cell r="V10">
            <v>0.45454545454545453</v>
          </cell>
        </row>
        <row r="11">
          <cell r="D11">
            <v>5</v>
          </cell>
          <cell r="E11" t="str">
            <v>GENERAL</v>
          </cell>
          <cell r="N11" t="str">
            <v>Locked</v>
          </cell>
          <cell r="S11">
            <v>0</v>
          </cell>
          <cell r="V11">
            <v>0</v>
          </cell>
        </row>
        <row r="12">
          <cell r="D12">
            <v>6</v>
          </cell>
          <cell r="N12" t="str">
            <v>Not Entered</v>
          </cell>
          <cell r="S12">
            <v>219</v>
          </cell>
          <cell r="V12">
            <v>99.545454545454547</v>
          </cell>
        </row>
        <row r="13">
          <cell r="D13">
            <v>7</v>
          </cell>
          <cell r="N13" t="str">
            <v>Not P or TP</v>
          </cell>
          <cell r="S13">
            <v>219</v>
          </cell>
        </row>
        <row r="14">
          <cell r="D14">
            <v>8</v>
          </cell>
          <cell r="N14" t="str">
            <v>Total</v>
          </cell>
          <cell r="S14">
            <v>220</v>
          </cell>
          <cell r="V14">
            <v>100</v>
          </cell>
        </row>
        <row r="15">
          <cell r="D15">
            <v>9</v>
          </cell>
          <cell r="N15" t="str">
            <v>Status</v>
          </cell>
          <cell r="S15">
            <v>56</v>
          </cell>
        </row>
        <row r="16">
          <cell r="D16">
            <v>10</v>
          </cell>
        </row>
        <row r="18">
          <cell r="D18" t="str">
            <v>Position Score Scale</v>
          </cell>
          <cell r="N18" t="str">
            <v>Grade Score Scale</v>
          </cell>
        </row>
        <row r="19">
          <cell r="D19" t="str">
            <v>SL</v>
          </cell>
          <cell r="F19" t="str">
            <v>Type</v>
          </cell>
          <cell r="J19" t="str">
            <v>1st</v>
          </cell>
          <cell r="K19" t="str">
            <v>2nd</v>
          </cell>
          <cell r="L19" t="str">
            <v>3rd</v>
          </cell>
          <cell r="N19" t="str">
            <v>SL</v>
          </cell>
          <cell r="O19" t="str">
            <v>Type</v>
          </cell>
          <cell r="S19" t="str">
            <v>A</v>
          </cell>
          <cell r="T19" t="str">
            <v>B</v>
          </cell>
          <cell r="U19" t="str">
            <v>C</v>
          </cell>
          <cell r="V19" t="str">
            <v>D</v>
          </cell>
        </row>
        <row r="20">
          <cell r="D20">
            <v>1</v>
          </cell>
          <cell r="E20" t="str">
            <v>Counted as
PERSONAL SCORE</v>
          </cell>
          <cell r="F20" t="str">
            <v>Individual</v>
          </cell>
          <cell r="J20">
            <v>5</v>
          </cell>
          <cell r="K20">
            <v>3</v>
          </cell>
          <cell r="L20">
            <v>1</v>
          </cell>
          <cell r="N20">
            <v>1</v>
          </cell>
          <cell r="O20" t="str">
            <v>Individual</v>
          </cell>
          <cell r="S20">
            <v>5</v>
          </cell>
          <cell r="T20">
            <v>3</v>
          </cell>
          <cell r="U20">
            <v>1</v>
          </cell>
          <cell r="V20">
            <v>-1</v>
          </cell>
        </row>
        <row r="21">
          <cell r="D21">
            <v>2</v>
          </cell>
          <cell r="F21" t="str">
            <v>Master</v>
          </cell>
          <cell r="J21">
            <v>6</v>
          </cell>
          <cell r="K21">
            <v>4</v>
          </cell>
          <cell r="L21">
            <v>2</v>
          </cell>
          <cell r="N21">
            <v>2</v>
          </cell>
          <cell r="O21" t="str">
            <v>Master</v>
          </cell>
          <cell r="S21">
            <v>6</v>
          </cell>
          <cell r="T21">
            <v>4</v>
          </cell>
          <cell r="U21">
            <v>2</v>
          </cell>
          <cell r="V21">
            <v>-1</v>
          </cell>
        </row>
        <row r="22">
          <cell r="D22">
            <v>3</v>
          </cell>
          <cell r="N22">
            <v>3</v>
          </cell>
          <cell r="O22" t="str">
            <v>GROUP</v>
          </cell>
          <cell r="S22">
            <v>5</v>
          </cell>
          <cell r="T22">
            <v>3</v>
          </cell>
          <cell r="U22">
            <v>1</v>
          </cell>
        </row>
        <row r="23">
          <cell r="D23">
            <v>4</v>
          </cell>
          <cell r="N23">
            <v>4</v>
          </cell>
          <cell r="O23" t="str">
            <v>GENERAL</v>
          </cell>
          <cell r="S23">
            <v>5</v>
          </cell>
          <cell r="T23">
            <v>3</v>
          </cell>
          <cell r="U23">
            <v>1</v>
          </cell>
        </row>
        <row r="24">
          <cell r="D24">
            <v>5</v>
          </cell>
          <cell r="E24" t="str">
            <v>NOT counted as 
PERSONAL SCORE</v>
          </cell>
          <cell r="F24" t="str">
            <v>GROUP</v>
          </cell>
          <cell r="J24">
            <v>7</v>
          </cell>
          <cell r="K24">
            <v>5</v>
          </cell>
          <cell r="L24">
            <v>3</v>
          </cell>
          <cell r="N24">
            <v>5</v>
          </cell>
          <cell r="O24" t="str">
            <v>STARRED</v>
          </cell>
        </row>
        <row r="25">
          <cell r="D25">
            <v>6</v>
          </cell>
          <cell r="F25" t="str">
            <v>GENERAL</v>
          </cell>
          <cell r="J25">
            <v>10</v>
          </cell>
          <cell r="K25">
            <v>7</v>
          </cell>
          <cell r="L25">
            <v>5</v>
          </cell>
          <cell r="N25">
            <v>6</v>
          </cell>
        </row>
        <row r="26">
          <cell r="D26">
            <v>7</v>
          </cell>
          <cell r="F26" t="str">
            <v>STARRED</v>
          </cell>
          <cell r="J26">
            <v>15</v>
          </cell>
          <cell r="K26">
            <v>10</v>
          </cell>
          <cell r="L26">
            <v>5</v>
          </cell>
          <cell r="N26">
            <v>7</v>
          </cell>
        </row>
        <row r="27">
          <cell r="D27">
            <v>8</v>
          </cell>
          <cell r="N27">
            <v>8</v>
          </cell>
        </row>
        <row r="28">
          <cell r="D28">
            <v>9</v>
          </cell>
          <cell r="N28">
            <v>9</v>
          </cell>
        </row>
        <row r="29">
          <cell r="D29">
            <v>10</v>
          </cell>
          <cell r="N29">
            <v>10</v>
          </cell>
        </row>
        <row r="49">
          <cell r="E49" t="str">
            <v>SAVED VARIABLES LIST</v>
          </cell>
        </row>
        <row r="50">
          <cell r="E50" t="str">
            <v>isBasicsConfirmed</v>
          </cell>
          <cell r="G50" t="b">
            <v>1</v>
          </cell>
        </row>
        <row r="51">
          <cell r="E51" t="str">
            <v>isTeamsConfirmed</v>
          </cell>
          <cell r="G51" t="b">
            <v>0</v>
          </cell>
        </row>
        <row r="52">
          <cell r="E52" t="str">
            <v>isCandidatesConfirmed</v>
          </cell>
          <cell r="G52" t="b">
            <v>1</v>
          </cell>
        </row>
        <row r="53">
          <cell r="E53" t="str">
            <v>isProgramsConfirmed</v>
          </cell>
          <cell r="G53" t="b">
            <v>0</v>
          </cell>
        </row>
        <row r="58">
          <cell r="S58">
            <v>1</v>
          </cell>
        </row>
        <row r="59">
          <cell r="S59">
            <v>1</v>
          </cell>
        </row>
        <row r="60">
          <cell r="S60">
            <v>6</v>
          </cell>
        </row>
      </sheetData>
      <sheetData sheetId="3">
        <row r="7">
          <cell r="C7" t="str">
            <v>A</v>
          </cell>
          <cell r="D7" t="str">
            <v>TEAM A</v>
          </cell>
          <cell r="E7">
            <v>0</v>
          </cell>
          <cell r="F7">
            <v>0</v>
          </cell>
          <cell r="I7">
            <v>0</v>
          </cell>
          <cell r="J7">
            <v>0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</row>
        <row r="8">
          <cell r="C8" t="str">
            <v>B</v>
          </cell>
          <cell r="D8" t="str">
            <v>TEAM B</v>
          </cell>
          <cell r="E8">
            <v>0</v>
          </cell>
          <cell r="F8">
            <v>0</v>
          </cell>
          <cell r="I8">
            <v>0</v>
          </cell>
          <cell r="J8">
            <v>0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</row>
        <row r="9">
          <cell r="C9" t="str">
            <v>C</v>
          </cell>
          <cell r="D9" t="str">
            <v>TEAM C</v>
          </cell>
          <cell r="E9">
            <v>0</v>
          </cell>
          <cell r="F9">
            <v>0</v>
          </cell>
          <cell r="I9">
            <v>0</v>
          </cell>
          <cell r="J9">
            <v>0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</row>
        <row r="10">
          <cell r="C10" t="str">
            <v>D</v>
          </cell>
          <cell r="D10" t="str">
            <v>TEAM D</v>
          </cell>
          <cell r="E10">
            <v>0</v>
          </cell>
          <cell r="F10">
            <v>0</v>
          </cell>
          <cell r="I10">
            <v>0</v>
          </cell>
          <cell r="J10">
            <v>0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</row>
        <row r="11">
          <cell r="E11">
            <v>0</v>
          </cell>
          <cell r="F11">
            <v>0</v>
          </cell>
          <cell r="I11">
            <v>0</v>
          </cell>
          <cell r="J11">
            <v>0</v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</row>
        <row r="12">
          <cell r="E12">
            <v>0</v>
          </cell>
          <cell r="F12">
            <v>0</v>
          </cell>
          <cell r="I12">
            <v>0</v>
          </cell>
          <cell r="J12">
            <v>0</v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</row>
        <row r="13">
          <cell r="E13">
            <v>0</v>
          </cell>
          <cell r="F13">
            <v>0</v>
          </cell>
          <cell r="I13">
            <v>0</v>
          </cell>
          <cell r="J13">
            <v>0</v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</row>
        <row r="14">
          <cell r="E14">
            <v>0</v>
          </cell>
          <cell r="F14">
            <v>0</v>
          </cell>
          <cell r="I14">
            <v>0</v>
          </cell>
          <cell r="J14">
            <v>0</v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</row>
        <row r="15">
          <cell r="E15">
            <v>0</v>
          </cell>
          <cell r="F15">
            <v>0</v>
          </cell>
          <cell r="I15">
            <v>0</v>
          </cell>
          <cell r="J15">
            <v>0</v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</row>
        <row r="16">
          <cell r="E16">
            <v>0</v>
          </cell>
          <cell r="F16">
            <v>0</v>
          </cell>
          <cell r="I16">
            <v>0</v>
          </cell>
          <cell r="J16">
            <v>0</v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</row>
        <row r="17">
          <cell r="E17">
            <v>0</v>
          </cell>
          <cell r="F17">
            <v>0</v>
          </cell>
          <cell r="I17">
            <v>0</v>
          </cell>
          <cell r="J17">
            <v>0</v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</row>
        <row r="18">
          <cell r="E18">
            <v>0</v>
          </cell>
          <cell r="F18">
            <v>0</v>
          </cell>
          <cell r="I18">
            <v>0</v>
          </cell>
          <cell r="J18">
            <v>0</v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</row>
        <row r="19">
          <cell r="E19">
            <v>0</v>
          </cell>
          <cell r="F19">
            <v>0</v>
          </cell>
          <cell r="I19">
            <v>0</v>
          </cell>
          <cell r="J19">
            <v>0</v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</row>
        <row r="20">
          <cell r="E20">
            <v>0</v>
          </cell>
          <cell r="F20">
            <v>0</v>
          </cell>
          <cell r="I20">
            <v>0</v>
          </cell>
          <cell r="J20">
            <v>0</v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</row>
        <row r="21">
          <cell r="E21">
            <v>0</v>
          </cell>
          <cell r="F21">
            <v>0</v>
          </cell>
          <cell r="I21">
            <v>0</v>
          </cell>
          <cell r="J21">
            <v>0</v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</row>
        <row r="22">
          <cell r="E22">
            <v>0</v>
          </cell>
          <cell r="F22">
            <v>0</v>
          </cell>
          <cell r="I22">
            <v>0</v>
          </cell>
          <cell r="J22">
            <v>0</v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</row>
        <row r="23">
          <cell r="E23">
            <v>0</v>
          </cell>
          <cell r="F23">
            <v>0</v>
          </cell>
          <cell r="I23">
            <v>0</v>
          </cell>
          <cell r="J23">
            <v>0</v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</row>
        <row r="24">
          <cell r="E24">
            <v>0</v>
          </cell>
          <cell r="F24">
            <v>0</v>
          </cell>
          <cell r="I24">
            <v>0</v>
          </cell>
          <cell r="J24">
            <v>0</v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</row>
        <row r="25">
          <cell r="E25">
            <v>0</v>
          </cell>
          <cell r="F25">
            <v>0</v>
          </cell>
          <cell r="I25">
            <v>0</v>
          </cell>
          <cell r="J25">
            <v>0</v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</row>
        <row r="26">
          <cell r="E26">
            <v>0</v>
          </cell>
          <cell r="F26">
            <v>0</v>
          </cell>
          <cell r="I26">
            <v>0</v>
          </cell>
          <cell r="J26">
            <v>0</v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</row>
        <row r="27">
          <cell r="E27">
            <v>0</v>
          </cell>
          <cell r="F27">
            <v>0</v>
          </cell>
          <cell r="I27">
            <v>0</v>
          </cell>
          <cell r="J27">
            <v>0</v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</row>
        <row r="28">
          <cell r="E28">
            <v>0</v>
          </cell>
          <cell r="F28">
            <v>0</v>
          </cell>
          <cell r="I28">
            <v>0</v>
          </cell>
          <cell r="J28">
            <v>0</v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</row>
        <row r="29">
          <cell r="E29">
            <v>0</v>
          </cell>
          <cell r="F29">
            <v>0</v>
          </cell>
          <cell r="I29">
            <v>0</v>
          </cell>
          <cell r="J29">
            <v>0</v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</row>
        <row r="30">
          <cell r="E30">
            <v>0</v>
          </cell>
          <cell r="F30">
            <v>0</v>
          </cell>
          <cell r="I30">
            <v>0</v>
          </cell>
          <cell r="J30">
            <v>0</v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</row>
        <row r="31">
          <cell r="E31">
            <v>0</v>
          </cell>
          <cell r="F31">
            <v>0</v>
          </cell>
          <cell r="I31">
            <v>0</v>
          </cell>
          <cell r="J31">
            <v>0</v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</row>
        <row r="32">
          <cell r="E32">
            <v>0</v>
          </cell>
          <cell r="F32">
            <v>0</v>
          </cell>
          <cell r="I32">
            <v>0</v>
          </cell>
          <cell r="J32">
            <v>0</v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</row>
        <row r="33">
          <cell r="E33">
            <v>0</v>
          </cell>
          <cell r="F33">
            <v>0</v>
          </cell>
          <cell r="I33">
            <v>0</v>
          </cell>
          <cell r="J33">
            <v>0</v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</row>
        <row r="34">
          <cell r="E34">
            <v>0</v>
          </cell>
          <cell r="F34">
            <v>0</v>
          </cell>
          <cell r="I34">
            <v>0</v>
          </cell>
          <cell r="J34">
            <v>0</v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</row>
        <row r="35">
          <cell r="E35">
            <v>0</v>
          </cell>
          <cell r="F35">
            <v>0</v>
          </cell>
          <cell r="I35">
            <v>0</v>
          </cell>
          <cell r="J35">
            <v>0</v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</row>
        <row r="36">
          <cell r="E36">
            <v>0</v>
          </cell>
          <cell r="F36">
            <v>0</v>
          </cell>
          <cell r="I36">
            <v>0</v>
          </cell>
          <cell r="J36">
            <v>0</v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</row>
        <row r="37">
          <cell r="E37">
            <v>0</v>
          </cell>
          <cell r="F37">
            <v>0</v>
          </cell>
          <cell r="I37">
            <v>0</v>
          </cell>
          <cell r="J37">
            <v>0</v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</row>
        <row r="38">
          <cell r="E38">
            <v>0</v>
          </cell>
          <cell r="F38">
            <v>0</v>
          </cell>
          <cell r="I38">
            <v>0</v>
          </cell>
          <cell r="J38">
            <v>0</v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</row>
        <row r="39">
          <cell r="E39">
            <v>0</v>
          </cell>
          <cell r="F39">
            <v>0</v>
          </cell>
          <cell r="I39">
            <v>0</v>
          </cell>
          <cell r="J39">
            <v>0</v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</row>
        <row r="40">
          <cell r="E40">
            <v>0</v>
          </cell>
          <cell r="F40">
            <v>0</v>
          </cell>
          <cell r="I40">
            <v>0</v>
          </cell>
          <cell r="J40">
            <v>0</v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</row>
        <row r="41">
          <cell r="E41">
            <v>0</v>
          </cell>
          <cell r="F41">
            <v>0</v>
          </cell>
          <cell r="I41">
            <v>0</v>
          </cell>
          <cell r="J41">
            <v>0</v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</row>
        <row r="42">
          <cell r="E42">
            <v>0</v>
          </cell>
          <cell r="F42">
            <v>0</v>
          </cell>
          <cell r="I42">
            <v>0</v>
          </cell>
          <cell r="J42">
            <v>0</v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</row>
        <row r="43">
          <cell r="E43">
            <v>0</v>
          </cell>
          <cell r="F43">
            <v>0</v>
          </cell>
          <cell r="I43">
            <v>0</v>
          </cell>
          <cell r="J43">
            <v>0</v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</row>
        <row r="44">
          <cell r="E44">
            <v>0</v>
          </cell>
          <cell r="F44">
            <v>0</v>
          </cell>
          <cell r="I44">
            <v>0</v>
          </cell>
          <cell r="J44">
            <v>0</v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</row>
        <row r="45">
          <cell r="E45">
            <v>0</v>
          </cell>
          <cell r="F45">
            <v>0</v>
          </cell>
          <cell r="I45">
            <v>0</v>
          </cell>
          <cell r="J45">
            <v>0</v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</row>
        <row r="46">
          <cell r="E46">
            <v>0</v>
          </cell>
          <cell r="F46">
            <v>0</v>
          </cell>
          <cell r="I46">
            <v>0</v>
          </cell>
          <cell r="J46">
            <v>0</v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</row>
        <row r="47">
          <cell r="E47">
            <v>0</v>
          </cell>
          <cell r="F47">
            <v>0</v>
          </cell>
          <cell r="I47">
            <v>0</v>
          </cell>
          <cell r="J47">
            <v>0</v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</row>
        <row r="48">
          <cell r="E48">
            <v>0</v>
          </cell>
          <cell r="F48">
            <v>0</v>
          </cell>
          <cell r="I48">
            <v>0</v>
          </cell>
          <cell r="J48">
            <v>0</v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</row>
        <row r="49">
          <cell r="E49">
            <v>0</v>
          </cell>
          <cell r="F49">
            <v>0</v>
          </cell>
          <cell r="I49">
            <v>0</v>
          </cell>
          <cell r="J49">
            <v>0</v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</row>
        <row r="50">
          <cell r="E50">
            <v>0</v>
          </cell>
          <cell r="F50">
            <v>0</v>
          </cell>
          <cell r="I50">
            <v>0</v>
          </cell>
          <cell r="J50">
            <v>0</v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</row>
        <row r="51">
          <cell r="E51">
            <v>0</v>
          </cell>
          <cell r="F51">
            <v>0</v>
          </cell>
          <cell r="I51">
            <v>0</v>
          </cell>
          <cell r="J51">
            <v>0</v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</row>
        <row r="52">
          <cell r="E52">
            <v>0</v>
          </cell>
          <cell r="F52">
            <v>0</v>
          </cell>
          <cell r="I52">
            <v>0</v>
          </cell>
          <cell r="J52">
            <v>0</v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</row>
        <row r="53">
          <cell r="E53">
            <v>0</v>
          </cell>
          <cell r="F53">
            <v>0</v>
          </cell>
          <cell r="I53">
            <v>0</v>
          </cell>
          <cell r="J53">
            <v>0</v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</row>
        <row r="54">
          <cell r="E54">
            <v>0</v>
          </cell>
          <cell r="F54">
            <v>0</v>
          </cell>
          <cell r="I54">
            <v>0</v>
          </cell>
          <cell r="J54">
            <v>0</v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</row>
        <row r="55">
          <cell r="E55">
            <v>0</v>
          </cell>
          <cell r="F55">
            <v>0</v>
          </cell>
          <cell r="I55">
            <v>0</v>
          </cell>
          <cell r="J55">
            <v>0</v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</row>
        <row r="56">
          <cell r="E56">
            <v>0</v>
          </cell>
          <cell r="F56">
            <v>0</v>
          </cell>
          <cell r="I56">
            <v>0</v>
          </cell>
          <cell r="J56">
            <v>0</v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</row>
        <row r="57">
          <cell r="E57">
            <v>0</v>
          </cell>
          <cell r="F57">
            <v>0</v>
          </cell>
          <cell r="I57">
            <v>0</v>
          </cell>
          <cell r="J57">
            <v>0</v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</row>
        <row r="58">
          <cell r="E58">
            <v>0</v>
          </cell>
          <cell r="F58">
            <v>0</v>
          </cell>
          <cell r="I58">
            <v>0</v>
          </cell>
          <cell r="J58">
            <v>0</v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</row>
        <row r="59">
          <cell r="E59">
            <v>0</v>
          </cell>
          <cell r="F59">
            <v>0</v>
          </cell>
          <cell r="I59">
            <v>0</v>
          </cell>
          <cell r="J59">
            <v>0</v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</row>
        <row r="60">
          <cell r="E60">
            <v>0</v>
          </cell>
          <cell r="F60">
            <v>0</v>
          </cell>
          <cell r="I60">
            <v>0</v>
          </cell>
          <cell r="J60">
            <v>0</v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</row>
        <row r="61">
          <cell r="E61">
            <v>0</v>
          </cell>
          <cell r="F61">
            <v>0</v>
          </cell>
          <cell r="I61">
            <v>0</v>
          </cell>
          <cell r="J61">
            <v>0</v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</row>
        <row r="62">
          <cell r="E62">
            <v>0</v>
          </cell>
          <cell r="F62">
            <v>0</v>
          </cell>
          <cell r="I62">
            <v>0</v>
          </cell>
          <cell r="J62">
            <v>0</v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</row>
        <row r="63">
          <cell r="E63">
            <v>0</v>
          </cell>
          <cell r="F63">
            <v>0</v>
          </cell>
          <cell r="I63">
            <v>0</v>
          </cell>
          <cell r="J63">
            <v>0</v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</row>
        <row r="64">
          <cell r="E64">
            <v>0</v>
          </cell>
          <cell r="F64">
            <v>0</v>
          </cell>
          <cell r="I64">
            <v>0</v>
          </cell>
          <cell r="J64">
            <v>0</v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</row>
        <row r="65">
          <cell r="E65">
            <v>0</v>
          </cell>
          <cell r="F65">
            <v>0</v>
          </cell>
          <cell r="I65">
            <v>0</v>
          </cell>
          <cell r="J65">
            <v>0</v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</row>
        <row r="66">
          <cell r="E66">
            <v>0</v>
          </cell>
          <cell r="F66">
            <v>0</v>
          </cell>
          <cell r="I66">
            <v>0</v>
          </cell>
          <cell r="J66">
            <v>0</v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</row>
        <row r="67">
          <cell r="C67" t="str">
            <v>_</v>
          </cell>
          <cell r="D67" t="str">
            <v>_</v>
          </cell>
          <cell r="E67" t="str">
            <v>_</v>
          </cell>
          <cell r="F67" t="str">
            <v>_</v>
          </cell>
          <cell r="G67" t="str">
            <v>_</v>
          </cell>
          <cell r="H67" t="str">
            <v>_</v>
          </cell>
          <cell r="I67" t="e">
            <v>#VALUE!</v>
          </cell>
          <cell r="J67" t="e">
            <v>#VALUE!</v>
          </cell>
          <cell r="K67" t="str">
            <v>_</v>
          </cell>
        </row>
      </sheetData>
      <sheetData sheetId="4">
        <row r="7">
          <cell r="C7" t="str">
            <v>A100</v>
          </cell>
          <cell r="D7" t="str">
            <v>ADINAN ABOOBACKER K</v>
          </cell>
          <cell r="E7" t="str">
            <v>A</v>
          </cell>
          <cell r="F7" t="str">
            <v>SUB JUNIOR</v>
          </cell>
          <cell r="G7">
            <v>1</v>
          </cell>
          <cell r="H7">
            <v>0</v>
          </cell>
          <cell r="I7">
            <v>0</v>
          </cell>
          <cell r="J7">
            <v>0</v>
          </cell>
          <cell r="K7">
            <v>1</v>
          </cell>
          <cell r="N7" t="str">
            <v>COUNTS ON TEAM BASE</v>
          </cell>
          <cell r="Q7" t="str">
            <v>SUB JUNIOR</v>
          </cell>
          <cell r="AB7">
            <v>1</v>
          </cell>
          <cell r="AC7" t="str">
            <v>A100</v>
          </cell>
          <cell r="AD7" t="str">
            <v>ADINAN ABOOBACKER K</v>
          </cell>
          <cell r="AE7" t="str">
            <v>A</v>
          </cell>
          <cell r="AF7" t="str">
            <v>SUB JUNIOR</v>
          </cell>
          <cell r="AG7">
            <v>1</v>
          </cell>
          <cell r="AH7">
            <v>0</v>
          </cell>
        </row>
        <row r="8">
          <cell r="C8" t="str">
            <v>A101</v>
          </cell>
          <cell r="D8" t="str">
            <v>MUHAMMED TAMEEM</v>
          </cell>
          <cell r="E8" t="str">
            <v>D</v>
          </cell>
          <cell r="F8" t="str">
            <v>SUB JUNIOR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1</v>
          </cell>
          <cell r="N8" t="str">
            <v>Row Labels</v>
          </cell>
          <cell r="O8" t="str">
            <v>Count of Name</v>
          </cell>
          <cell r="Q8" t="str">
            <v>JUNIOR</v>
          </cell>
          <cell r="AB8">
            <v>2</v>
          </cell>
          <cell r="AC8" t="str">
            <v>A101</v>
          </cell>
          <cell r="AD8" t="str">
            <v>MUHAMMED TAMEEM</v>
          </cell>
          <cell r="AE8" t="str">
            <v>D</v>
          </cell>
          <cell r="AF8" t="str">
            <v>SUB JUNIOR</v>
          </cell>
          <cell r="AG8">
            <v>1</v>
          </cell>
          <cell r="AH8">
            <v>0</v>
          </cell>
        </row>
        <row r="9">
          <cell r="C9" t="str">
            <v>A102</v>
          </cell>
          <cell r="D9" t="str">
            <v>AJZAL ASHRAF OV</v>
          </cell>
          <cell r="E9" t="str">
            <v>D</v>
          </cell>
          <cell r="F9" t="str">
            <v>SUB JUNIOR</v>
          </cell>
          <cell r="G9">
            <v>1</v>
          </cell>
          <cell r="H9">
            <v>0</v>
          </cell>
          <cell r="I9">
            <v>0</v>
          </cell>
          <cell r="J9">
            <v>0</v>
          </cell>
          <cell r="K9">
            <v>1</v>
          </cell>
          <cell r="N9" t="str">
            <v>(blank)</v>
          </cell>
          <cell r="O9">
            <v>321</v>
          </cell>
          <cell r="Q9" t="str">
            <v>SENIOR</v>
          </cell>
          <cell r="AB9">
            <v>3</v>
          </cell>
          <cell r="AC9" t="str">
            <v>A102</v>
          </cell>
          <cell r="AD9" t="str">
            <v>AJZAL ASHRAF OV</v>
          </cell>
          <cell r="AE9" t="str">
            <v>D</v>
          </cell>
          <cell r="AF9" t="str">
            <v>SUB JUNIOR</v>
          </cell>
          <cell r="AG9">
            <v>1</v>
          </cell>
          <cell r="AH9">
            <v>0</v>
          </cell>
        </row>
        <row r="10">
          <cell r="C10" t="str">
            <v>A103</v>
          </cell>
          <cell r="D10" t="str">
            <v>MUHAMMED RIZIN AMAN</v>
          </cell>
          <cell r="E10" t="str">
            <v>D</v>
          </cell>
          <cell r="F10" t="str">
            <v>SUB JUNIOR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1</v>
          </cell>
          <cell r="N10" t="str">
            <v>JUNIOR</v>
          </cell>
          <cell r="O10">
            <v>65</v>
          </cell>
          <cell r="Q10" t="str">
            <v>SUPER SENIOR</v>
          </cell>
          <cell r="AB10">
            <v>4</v>
          </cell>
          <cell r="AC10" t="str">
            <v>A103</v>
          </cell>
          <cell r="AD10" t="str">
            <v>MUHAMMED RIZIN AMAN</v>
          </cell>
          <cell r="AE10" t="str">
            <v>D</v>
          </cell>
          <cell r="AF10" t="str">
            <v>SUB JUNIOR</v>
          </cell>
          <cell r="AG10">
            <v>1</v>
          </cell>
          <cell r="AH10">
            <v>0</v>
          </cell>
        </row>
        <row r="11">
          <cell r="C11" t="str">
            <v>A104</v>
          </cell>
          <cell r="D11" t="str">
            <v>MUHAMMAD AZEEM</v>
          </cell>
          <cell r="E11" t="str">
            <v>C</v>
          </cell>
          <cell r="F11" t="str">
            <v>SUB JUNIOR</v>
          </cell>
          <cell r="G11">
            <v>1</v>
          </cell>
          <cell r="H11">
            <v>0</v>
          </cell>
          <cell r="I11">
            <v>0</v>
          </cell>
          <cell r="J11">
            <v>0</v>
          </cell>
          <cell r="K11">
            <v>1</v>
          </cell>
          <cell r="N11">
            <v>3</v>
          </cell>
          <cell r="O11">
            <v>40</v>
          </cell>
          <cell r="Q11" t="str">
            <v>GENERAL</v>
          </cell>
          <cell r="AB11">
            <v>5</v>
          </cell>
          <cell r="AC11" t="str">
            <v>A104</v>
          </cell>
          <cell r="AD11" t="str">
            <v>MUHAMMAD AZEEM</v>
          </cell>
          <cell r="AE11" t="str">
            <v>C</v>
          </cell>
          <cell r="AF11" t="str">
            <v>SUB JUNIOR</v>
          </cell>
          <cell r="AG11">
            <v>1</v>
          </cell>
          <cell r="AH11">
            <v>0</v>
          </cell>
        </row>
        <row r="12">
          <cell r="C12" t="str">
            <v>A105</v>
          </cell>
          <cell r="D12" t="str">
            <v>MUHAMMED HAFIZ S T</v>
          </cell>
          <cell r="E12" t="str">
            <v>A</v>
          </cell>
          <cell r="F12" t="str">
            <v>SUB JUNIOR</v>
          </cell>
          <cell r="G12">
            <v>1</v>
          </cell>
          <cell r="H12">
            <v>0</v>
          </cell>
          <cell r="I12">
            <v>0</v>
          </cell>
          <cell r="J12">
            <v>0</v>
          </cell>
          <cell r="K12">
            <v>1</v>
          </cell>
          <cell r="N12">
            <v>4</v>
          </cell>
          <cell r="O12">
            <v>25</v>
          </cell>
          <cell r="Q12">
            <v>0</v>
          </cell>
          <cell r="AB12">
            <v>6</v>
          </cell>
          <cell r="AC12" t="str">
            <v>A105</v>
          </cell>
          <cell r="AD12" t="str">
            <v>MUHAMMED HAFIZ S T</v>
          </cell>
          <cell r="AE12" t="str">
            <v>A</v>
          </cell>
          <cell r="AF12" t="str">
            <v>SUB JUNIOR</v>
          </cell>
          <cell r="AG12">
            <v>1</v>
          </cell>
          <cell r="AH12">
            <v>0</v>
          </cell>
        </row>
        <row r="13">
          <cell r="C13" t="str">
            <v>A106</v>
          </cell>
          <cell r="D13" t="str">
            <v>Abdul Khader Uvais K A</v>
          </cell>
          <cell r="E13" t="str">
            <v>C</v>
          </cell>
          <cell r="F13" t="str">
            <v>SUB JUNIOR</v>
          </cell>
          <cell r="G13">
            <v>1</v>
          </cell>
          <cell r="H13">
            <v>0</v>
          </cell>
          <cell r="I13">
            <v>0</v>
          </cell>
          <cell r="J13">
            <v>0</v>
          </cell>
          <cell r="K13">
            <v>1</v>
          </cell>
          <cell r="N13" t="str">
            <v>SENIOR</v>
          </cell>
          <cell r="O13">
            <v>80</v>
          </cell>
          <cell r="Q13">
            <v>0</v>
          </cell>
          <cell r="AB13">
            <v>7</v>
          </cell>
          <cell r="AC13" t="str">
            <v>A106</v>
          </cell>
          <cell r="AD13" t="str">
            <v>Abdul Khader Uvais K A</v>
          </cell>
          <cell r="AE13" t="str">
            <v>C</v>
          </cell>
          <cell r="AF13" t="str">
            <v>SUB JUNIOR</v>
          </cell>
          <cell r="AG13">
            <v>1</v>
          </cell>
          <cell r="AH13">
            <v>0</v>
          </cell>
        </row>
        <row r="14">
          <cell r="C14" t="str">
            <v>A107</v>
          </cell>
          <cell r="D14" t="str">
            <v>MUHAMMED ADHIL C H</v>
          </cell>
          <cell r="E14" t="str">
            <v>A</v>
          </cell>
          <cell r="F14" t="str">
            <v>SUB JUNIOR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1</v>
          </cell>
          <cell r="N14">
            <v>5</v>
          </cell>
          <cell r="O14">
            <v>31</v>
          </cell>
          <cell r="Q14">
            <v>0</v>
          </cell>
          <cell r="AB14">
            <v>8</v>
          </cell>
          <cell r="AC14" t="str">
            <v>A107</v>
          </cell>
          <cell r="AD14" t="str">
            <v>MUHAMMED ADHIL C H</v>
          </cell>
          <cell r="AE14" t="str">
            <v>A</v>
          </cell>
          <cell r="AF14" t="str">
            <v>SUB JUNIOR</v>
          </cell>
          <cell r="AG14">
            <v>1</v>
          </cell>
          <cell r="AH14">
            <v>0</v>
          </cell>
        </row>
        <row r="15">
          <cell r="C15" t="str">
            <v>A108</v>
          </cell>
          <cell r="D15" t="str">
            <v>Mohammed Sinan N.A</v>
          </cell>
          <cell r="E15" t="str">
            <v>C</v>
          </cell>
          <cell r="F15" t="str">
            <v>SUB JUNIOR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</v>
          </cell>
          <cell r="N15">
            <v>6</v>
          </cell>
          <cell r="O15">
            <v>29</v>
          </cell>
          <cell r="Q15">
            <v>0</v>
          </cell>
          <cell r="AB15">
            <v>9</v>
          </cell>
          <cell r="AC15" t="str">
            <v>A108</v>
          </cell>
          <cell r="AD15" t="str">
            <v>Mohammed Sinan N.A</v>
          </cell>
          <cell r="AE15" t="str">
            <v>C</v>
          </cell>
          <cell r="AF15" t="str">
            <v>SUB JUNIOR</v>
          </cell>
          <cell r="AG15">
            <v>1</v>
          </cell>
          <cell r="AH15">
            <v>0</v>
          </cell>
        </row>
        <row r="16">
          <cell r="C16" t="str">
            <v>A109</v>
          </cell>
          <cell r="D16" t="str">
            <v>AHMED RAZI MR</v>
          </cell>
          <cell r="E16" t="str">
            <v>C</v>
          </cell>
          <cell r="F16" t="str">
            <v>SUB JUNIOR</v>
          </cell>
          <cell r="G16">
            <v>1</v>
          </cell>
          <cell r="H16">
            <v>0</v>
          </cell>
          <cell r="I16">
            <v>0</v>
          </cell>
          <cell r="J16">
            <v>0</v>
          </cell>
          <cell r="K16">
            <v>1</v>
          </cell>
          <cell r="N16">
            <v>7</v>
          </cell>
          <cell r="O16">
            <v>20</v>
          </cell>
          <cell r="Q16">
            <v>0</v>
          </cell>
          <cell r="AB16">
            <v>10</v>
          </cell>
          <cell r="AC16" t="str">
            <v>A109</v>
          </cell>
          <cell r="AD16" t="str">
            <v>AHMED RAZI MR</v>
          </cell>
          <cell r="AE16" t="str">
            <v>C</v>
          </cell>
          <cell r="AF16" t="str">
            <v>SUB JUNIOR</v>
          </cell>
          <cell r="AG16">
            <v>1</v>
          </cell>
          <cell r="AH16">
            <v>0</v>
          </cell>
        </row>
        <row r="17">
          <cell r="C17" t="str">
            <v>A110</v>
          </cell>
          <cell r="D17" t="str">
            <v>Muhammed Hisham K M</v>
          </cell>
          <cell r="E17" t="str">
            <v>A</v>
          </cell>
          <cell r="F17" t="str">
            <v>SUB JUNIOR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1</v>
          </cell>
          <cell r="N17" t="str">
            <v>SUB JUNIOR</v>
          </cell>
          <cell r="O17">
            <v>76</v>
          </cell>
          <cell r="AB17">
            <v>11</v>
          </cell>
          <cell r="AC17" t="str">
            <v>A110</v>
          </cell>
          <cell r="AD17" t="str">
            <v>Muhammed Hisham K M</v>
          </cell>
          <cell r="AE17" t="str">
            <v>A</v>
          </cell>
          <cell r="AF17" t="str">
            <v>SUB JUNIOR</v>
          </cell>
          <cell r="AG17">
            <v>1</v>
          </cell>
          <cell r="AH17">
            <v>0</v>
          </cell>
        </row>
        <row r="18">
          <cell r="C18" t="str">
            <v>A111</v>
          </cell>
          <cell r="D18" t="str">
            <v>HUSSAIN MUHAVIZ B A</v>
          </cell>
          <cell r="E18" t="str">
            <v>A</v>
          </cell>
          <cell r="F18" t="str">
            <v>SUB JUNIOR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1</v>
          </cell>
          <cell r="N18">
            <v>1</v>
          </cell>
          <cell r="O18">
            <v>40</v>
          </cell>
          <cell r="AB18">
            <v>12</v>
          </cell>
          <cell r="AC18" t="str">
            <v>A111</v>
          </cell>
          <cell r="AD18" t="str">
            <v>HUSSAIN MUHAVIZ B A</v>
          </cell>
          <cell r="AE18" t="str">
            <v>A</v>
          </cell>
          <cell r="AF18" t="str">
            <v>SUB JUNIOR</v>
          </cell>
          <cell r="AG18">
            <v>1</v>
          </cell>
          <cell r="AH18">
            <v>0</v>
          </cell>
        </row>
        <row r="19">
          <cell r="C19" t="str">
            <v>A112</v>
          </cell>
          <cell r="D19" t="str">
            <v>HILAL ABDULLA C H</v>
          </cell>
          <cell r="E19" t="str">
            <v>B</v>
          </cell>
          <cell r="F19" t="str">
            <v>SUB JUNIOR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1</v>
          </cell>
          <cell r="N19">
            <v>2</v>
          </cell>
          <cell r="O19">
            <v>36</v>
          </cell>
          <cell r="AB19">
            <v>13</v>
          </cell>
          <cell r="AC19" t="str">
            <v>A112</v>
          </cell>
          <cell r="AD19" t="str">
            <v>HILAL ABDULLA C H</v>
          </cell>
          <cell r="AE19" t="str">
            <v>B</v>
          </cell>
          <cell r="AF19" t="str">
            <v>SUB JUNIOR</v>
          </cell>
          <cell r="AG19">
            <v>1</v>
          </cell>
          <cell r="AH19">
            <v>0</v>
          </cell>
        </row>
        <row r="20">
          <cell r="C20" t="str">
            <v>A113</v>
          </cell>
          <cell r="D20" t="str">
            <v>MOIDEEN KAIS</v>
          </cell>
          <cell r="E20" t="str">
            <v>B</v>
          </cell>
          <cell r="F20" t="str">
            <v>SUB JUNIOR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1</v>
          </cell>
          <cell r="N20" t="str">
            <v>SUPER SENIOR</v>
          </cell>
          <cell r="O20">
            <v>100</v>
          </cell>
          <cell r="AB20">
            <v>14</v>
          </cell>
          <cell r="AC20" t="str">
            <v>A113</v>
          </cell>
          <cell r="AD20" t="str">
            <v>MOIDEEN KAIS</v>
          </cell>
          <cell r="AE20" t="str">
            <v>B</v>
          </cell>
          <cell r="AF20" t="str">
            <v>SUB JUNIOR</v>
          </cell>
          <cell r="AG20">
            <v>1</v>
          </cell>
          <cell r="AH20">
            <v>0</v>
          </cell>
        </row>
        <row r="21">
          <cell r="C21" t="str">
            <v>A114</v>
          </cell>
          <cell r="D21" t="str">
            <v>MUHAMMED SHAHID K A</v>
          </cell>
          <cell r="E21" t="str">
            <v>C</v>
          </cell>
          <cell r="F21" t="str">
            <v>SUB JUNIOR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1</v>
          </cell>
          <cell r="N21">
            <v>8</v>
          </cell>
          <cell r="O21">
            <v>30</v>
          </cell>
          <cell r="AB21">
            <v>15</v>
          </cell>
          <cell r="AC21" t="str">
            <v>A114</v>
          </cell>
          <cell r="AD21" t="str">
            <v>MUHAMMED SHAHID K A</v>
          </cell>
          <cell r="AE21" t="str">
            <v>C</v>
          </cell>
          <cell r="AF21" t="str">
            <v>SUB JUNIOR</v>
          </cell>
          <cell r="AG21">
            <v>1</v>
          </cell>
          <cell r="AH21">
            <v>0</v>
          </cell>
        </row>
        <row r="22">
          <cell r="C22" t="str">
            <v>A115</v>
          </cell>
          <cell r="D22" t="str">
            <v>K MUHAMMAD JALAL</v>
          </cell>
          <cell r="E22" t="str">
            <v>B</v>
          </cell>
          <cell r="F22" t="str">
            <v>SUB JUNIOR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1</v>
          </cell>
          <cell r="N22">
            <v>9</v>
          </cell>
          <cell r="O22">
            <v>37</v>
          </cell>
          <cell r="AB22">
            <v>16</v>
          </cell>
          <cell r="AC22" t="str">
            <v>A115</v>
          </cell>
          <cell r="AD22" t="str">
            <v>K MUHAMMAD JALAL</v>
          </cell>
          <cell r="AE22" t="str">
            <v>B</v>
          </cell>
          <cell r="AF22" t="str">
            <v>SUB JUNIOR</v>
          </cell>
          <cell r="AG22">
            <v>1</v>
          </cell>
          <cell r="AH22">
            <v>0</v>
          </cell>
        </row>
        <row r="23">
          <cell r="C23" t="str">
            <v>A116</v>
          </cell>
          <cell r="D23" t="str">
            <v>MUHAMMED T K</v>
          </cell>
          <cell r="F23" t="str">
            <v>SUB JUNIOR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1</v>
          </cell>
          <cell r="N23">
            <v>10</v>
          </cell>
          <cell r="O23">
            <v>33</v>
          </cell>
          <cell r="AB23">
            <v>17</v>
          </cell>
          <cell r="AC23" t="str">
            <v>A116</v>
          </cell>
          <cell r="AD23" t="str">
            <v>MUHAMMED T K</v>
          </cell>
          <cell r="AE23">
            <v>0</v>
          </cell>
          <cell r="AF23" t="str">
            <v>SUB JUNIOR</v>
          </cell>
          <cell r="AG23">
            <v>1</v>
          </cell>
          <cell r="AH23">
            <v>0</v>
          </cell>
        </row>
        <row r="24">
          <cell r="C24" t="str">
            <v>A117</v>
          </cell>
          <cell r="D24" t="str">
            <v>Muhammed Waheed R K</v>
          </cell>
          <cell r="E24" t="str">
            <v>D</v>
          </cell>
          <cell r="F24" t="str">
            <v>SUB JUNIOR</v>
          </cell>
          <cell r="G24">
            <v>1</v>
          </cell>
          <cell r="H24">
            <v>0</v>
          </cell>
          <cell r="I24">
            <v>0</v>
          </cell>
          <cell r="J24">
            <v>0</v>
          </cell>
          <cell r="K24">
            <v>1</v>
          </cell>
          <cell r="N24" t="str">
            <v>(blank)</v>
          </cell>
          <cell r="AB24">
            <v>18</v>
          </cell>
          <cell r="AC24" t="str">
            <v>A117</v>
          </cell>
          <cell r="AD24" t="str">
            <v>Muhammed Waheed R K</v>
          </cell>
          <cell r="AE24" t="str">
            <v>D</v>
          </cell>
          <cell r="AF24" t="str">
            <v>SUB JUNIOR</v>
          </cell>
          <cell r="AG24">
            <v>1</v>
          </cell>
          <cell r="AH24">
            <v>0</v>
          </cell>
        </row>
        <row r="25">
          <cell r="C25" t="str">
            <v>A118</v>
          </cell>
          <cell r="D25" t="str">
            <v>ABOOBACKER SAFWAN C B</v>
          </cell>
          <cell r="F25" t="str">
            <v>SUB JUNIOR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1</v>
          </cell>
          <cell r="N25" t="str">
            <v>(blank)</v>
          </cell>
          <cell r="AB25">
            <v>19</v>
          </cell>
          <cell r="AC25" t="str">
            <v>A118</v>
          </cell>
          <cell r="AD25" t="str">
            <v>ABOOBACKER SAFWAN C B</v>
          </cell>
          <cell r="AE25">
            <v>0</v>
          </cell>
          <cell r="AF25" t="str">
            <v>SUB JUNIOR</v>
          </cell>
          <cell r="AG25">
            <v>1</v>
          </cell>
          <cell r="AH25">
            <v>0</v>
          </cell>
        </row>
        <row r="26">
          <cell r="C26" t="str">
            <v>A119</v>
          </cell>
          <cell r="D26" t="str">
            <v>MUHAMMED HASHIR A K</v>
          </cell>
          <cell r="E26" t="str">
            <v>D</v>
          </cell>
          <cell r="F26" t="str">
            <v>SUB JUNIOR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1</v>
          </cell>
          <cell r="N26" t="str">
            <v>Grand Total</v>
          </cell>
          <cell r="O26">
            <v>321</v>
          </cell>
          <cell r="AB26">
            <v>20</v>
          </cell>
          <cell r="AC26" t="str">
            <v>A119</v>
          </cell>
          <cell r="AD26" t="str">
            <v>MUHAMMED HASHIR A K</v>
          </cell>
          <cell r="AE26" t="str">
            <v>D</v>
          </cell>
          <cell r="AF26" t="str">
            <v>SUB JUNIOR</v>
          </cell>
          <cell r="AG26">
            <v>1</v>
          </cell>
          <cell r="AH26">
            <v>0</v>
          </cell>
        </row>
        <row r="27">
          <cell r="C27" t="str">
            <v>A120</v>
          </cell>
          <cell r="D27" t="str">
            <v>MOHAMMED NAFIH</v>
          </cell>
          <cell r="E27" t="str">
            <v>B</v>
          </cell>
          <cell r="F27" t="str">
            <v>SUB JUNIOR</v>
          </cell>
          <cell r="G27">
            <v>1</v>
          </cell>
          <cell r="H27">
            <v>0</v>
          </cell>
          <cell r="I27">
            <v>0</v>
          </cell>
          <cell r="J27">
            <v>0</v>
          </cell>
          <cell r="K27">
            <v>1</v>
          </cell>
          <cell r="AB27">
            <v>21</v>
          </cell>
          <cell r="AC27" t="str">
            <v>A120</v>
          </cell>
          <cell r="AD27" t="str">
            <v>MOHAMMED NAFIH</v>
          </cell>
          <cell r="AE27" t="str">
            <v>B</v>
          </cell>
          <cell r="AF27" t="str">
            <v>SUB JUNIOR</v>
          </cell>
          <cell r="AG27">
            <v>1</v>
          </cell>
          <cell r="AH27">
            <v>0</v>
          </cell>
        </row>
        <row r="28">
          <cell r="C28" t="str">
            <v>A121</v>
          </cell>
          <cell r="D28" t="str">
            <v>BEERAN MUEENUDHEEN MH</v>
          </cell>
          <cell r="E28" t="str">
            <v>D</v>
          </cell>
          <cell r="F28" t="str">
            <v>SUB JUNIOR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1</v>
          </cell>
          <cell r="AB28">
            <v>22</v>
          </cell>
          <cell r="AC28" t="str">
            <v>A121</v>
          </cell>
          <cell r="AD28" t="str">
            <v>BEERAN MUEENUDHEEN MH</v>
          </cell>
          <cell r="AE28" t="str">
            <v>D</v>
          </cell>
          <cell r="AF28" t="str">
            <v>SUB JUNIOR</v>
          </cell>
          <cell r="AG28">
            <v>1</v>
          </cell>
          <cell r="AH28">
            <v>0</v>
          </cell>
        </row>
        <row r="29">
          <cell r="C29" t="str">
            <v>A122</v>
          </cell>
          <cell r="D29" t="str">
            <v>MOHAMMAD K A</v>
          </cell>
          <cell r="E29" t="str">
            <v>A</v>
          </cell>
          <cell r="F29" t="str">
            <v>SUB JUNIOR</v>
          </cell>
          <cell r="G29">
            <v>1</v>
          </cell>
          <cell r="H29">
            <v>0</v>
          </cell>
          <cell r="I29">
            <v>0</v>
          </cell>
          <cell r="J29">
            <v>0</v>
          </cell>
          <cell r="K29">
            <v>1</v>
          </cell>
          <cell r="AB29">
            <v>23</v>
          </cell>
          <cell r="AC29" t="str">
            <v>A122</v>
          </cell>
          <cell r="AD29" t="str">
            <v>MOHAMMAD K A</v>
          </cell>
          <cell r="AE29" t="str">
            <v>A</v>
          </cell>
          <cell r="AF29" t="str">
            <v>SUB JUNIOR</v>
          </cell>
          <cell r="AG29">
            <v>1</v>
          </cell>
          <cell r="AH29">
            <v>0</v>
          </cell>
        </row>
        <row r="30">
          <cell r="C30" t="str">
            <v>A123</v>
          </cell>
          <cell r="D30" t="str">
            <v>IBRAHIM KALEEL</v>
          </cell>
          <cell r="E30" t="str">
            <v>D</v>
          </cell>
          <cell r="F30" t="str">
            <v>SUB JUNIOR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1</v>
          </cell>
          <cell r="AB30">
            <v>24</v>
          </cell>
          <cell r="AC30" t="str">
            <v>A123</v>
          </cell>
          <cell r="AD30" t="str">
            <v>IBRAHIM KALEEL</v>
          </cell>
          <cell r="AE30" t="str">
            <v>D</v>
          </cell>
          <cell r="AF30" t="str">
            <v>SUB JUNIOR</v>
          </cell>
          <cell r="AG30">
            <v>1</v>
          </cell>
          <cell r="AH30">
            <v>0</v>
          </cell>
        </row>
        <row r="31">
          <cell r="C31" t="str">
            <v>A124</v>
          </cell>
          <cell r="D31" t="str">
            <v>MOHAMMED JASEEM</v>
          </cell>
          <cell r="E31" t="str">
            <v>C</v>
          </cell>
          <cell r="F31" t="str">
            <v>SUB JUNIOR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1</v>
          </cell>
          <cell r="AB31">
            <v>25</v>
          </cell>
          <cell r="AC31" t="str">
            <v>A124</v>
          </cell>
          <cell r="AD31" t="str">
            <v>MOHAMMED JASEEM</v>
          </cell>
          <cell r="AE31" t="str">
            <v>C</v>
          </cell>
          <cell r="AF31" t="str">
            <v>SUB JUNIOR</v>
          </cell>
          <cell r="AG31">
            <v>1</v>
          </cell>
          <cell r="AH31">
            <v>0</v>
          </cell>
        </row>
        <row r="32">
          <cell r="C32" t="str">
            <v>A125</v>
          </cell>
          <cell r="D32" t="str">
            <v>MUHAMMED RAZI A T</v>
          </cell>
          <cell r="E32" t="str">
            <v>B</v>
          </cell>
          <cell r="F32" t="str">
            <v>SUB JUNIOR</v>
          </cell>
          <cell r="G32">
            <v>1</v>
          </cell>
          <cell r="H32">
            <v>0</v>
          </cell>
          <cell r="I32">
            <v>0</v>
          </cell>
          <cell r="J32">
            <v>0</v>
          </cell>
          <cell r="K32">
            <v>1</v>
          </cell>
          <cell r="AB32">
            <v>26</v>
          </cell>
          <cell r="AC32" t="str">
            <v>A125</v>
          </cell>
          <cell r="AD32" t="str">
            <v>MUHAMMED RAZI A T</v>
          </cell>
          <cell r="AE32" t="str">
            <v>B</v>
          </cell>
          <cell r="AF32" t="str">
            <v>SUB JUNIOR</v>
          </cell>
          <cell r="AG32">
            <v>1</v>
          </cell>
          <cell r="AH32">
            <v>0</v>
          </cell>
        </row>
        <row r="33">
          <cell r="C33" t="str">
            <v>A126</v>
          </cell>
          <cell r="D33" t="str">
            <v>MUHAMMED ZAID</v>
          </cell>
          <cell r="E33" t="str">
            <v>D</v>
          </cell>
          <cell r="F33" t="str">
            <v>SUB JUNIOR</v>
          </cell>
          <cell r="G33">
            <v>1</v>
          </cell>
          <cell r="H33">
            <v>0</v>
          </cell>
          <cell r="I33">
            <v>0</v>
          </cell>
          <cell r="J33">
            <v>0</v>
          </cell>
          <cell r="K33">
            <v>1</v>
          </cell>
          <cell r="AB33">
            <v>27</v>
          </cell>
          <cell r="AC33" t="str">
            <v>A126</v>
          </cell>
          <cell r="AD33" t="str">
            <v>MUHAMMED ZAID</v>
          </cell>
          <cell r="AE33" t="str">
            <v>D</v>
          </cell>
          <cell r="AF33" t="str">
            <v>SUB JUNIOR</v>
          </cell>
          <cell r="AG33">
            <v>1</v>
          </cell>
          <cell r="AH33">
            <v>0</v>
          </cell>
        </row>
        <row r="34">
          <cell r="C34" t="str">
            <v>A127</v>
          </cell>
          <cell r="D34" t="str">
            <v>MUHAMMED HAFEEZ P</v>
          </cell>
          <cell r="E34" t="str">
            <v>C</v>
          </cell>
          <cell r="F34" t="str">
            <v>SUB JUNIOR</v>
          </cell>
          <cell r="G34">
            <v>1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AB34">
            <v>28</v>
          </cell>
          <cell r="AC34" t="str">
            <v>A127</v>
          </cell>
          <cell r="AD34" t="str">
            <v>MUHAMMED HAFEEZ P</v>
          </cell>
          <cell r="AE34" t="str">
            <v>C</v>
          </cell>
          <cell r="AF34" t="str">
            <v>SUB JUNIOR</v>
          </cell>
          <cell r="AG34">
            <v>1</v>
          </cell>
          <cell r="AH34">
            <v>0</v>
          </cell>
        </row>
        <row r="35">
          <cell r="C35" t="str">
            <v>A128</v>
          </cell>
          <cell r="D35" t="str">
            <v>MOHAMMED HAFEEZ B</v>
          </cell>
          <cell r="E35" t="str">
            <v>B</v>
          </cell>
          <cell r="F35" t="str">
            <v>SUB JUNIOR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1</v>
          </cell>
          <cell r="AB35">
            <v>29</v>
          </cell>
          <cell r="AC35" t="str">
            <v>A128</v>
          </cell>
          <cell r="AD35" t="str">
            <v>MOHAMMED HAFEEZ B</v>
          </cell>
          <cell r="AE35" t="str">
            <v>B</v>
          </cell>
          <cell r="AF35" t="str">
            <v>SUB JUNIOR</v>
          </cell>
          <cell r="AG35">
            <v>1</v>
          </cell>
          <cell r="AH35">
            <v>0</v>
          </cell>
        </row>
        <row r="36">
          <cell r="C36" t="str">
            <v>A129</v>
          </cell>
          <cell r="D36" t="str">
            <v>MUHAMMED BIN JAFAR</v>
          </cell>
          <cell r="E36" t="str">
            <v>A</v>
          </cell>
          <cell r="F36" t="str">
            <v>SUB JUNIOR</v>
          </cell>
          <cell r="G36">
            <v>1</v>
          </cell>
          <cell r="H36">
            <v>0</v>
          </cell>
          <cell r="I36">
            <v>0</v>
          </cell>
          <cell r="J36">
            <v>0</v>
          </cell>
          <cell r="K36">
            <v>1</v>
          </cell>
          <cell r="AB36">
            <v>30</v>
          </cell>
          <cell r="AC36" t="str">
            <v>A129</v>
          </cell>
          <cell r="AD36" t="str">
            <v>MUHAMMED BIN JAFAR</v>
          </cell>
          <cell r="AE36" t="str">
            <v>A</v>
          </cell>
          <cell r="AF36" t="str">
            <v>SUB JUNIOR</v>
          </cell>
          <cell r="AG36">
            <v>1</v>
          </cell>
          <cell r="AH36">
            <v>0</v>
          </cell>
        </row>
        <row r="37">
          <cell r="C37" t="str">
            <v>A130</v>
          </cell>
          <cell r="D37" t="str">
            <v>MOHAMMAD AJWAD</v>
          </cell>
          <cell r="E37" t="str">
            <v>D</v>
          </cell>
          <cell r="F37" t="str">
            <v>SUB JUNIOR</v>
          </cell>
          <cell r="G37">
            <v>1</v>
          </cell>
          <cell r="H37">
            <v>0</v>
          </cell>
          <cell r="I37">
            <v>0</v>
          </cell>
          <cell r="J37">
            <v>0</v>
          </cell>
          <cell r="K37">
            <v>1</v>
          </cell>
          <cell r="AB37">
            <v>31</v>
          </cell>
          <cell r="AC37" t="str">
            <v>A130</v>
          </cell>
          <cell r="AD37" t="str">
            <v>MOHAMMAD AJWAD</v>
          </cell>
          <cell r="AE37" t="str">
            <v>D</v>
          </cell>
          <cell r="AF37" t="str">
            <v>SUB JUNIOR</v>
          </cell>
          <cell r="AG37">
            <v>1</v>
          </cell>
          <cell r="AH37">
            <v>0</v>
          </cell>
        </row>
        <row r="38">
          <cell r="C38" t="str">
            <v>A131</v>
          </cell>
          <cell r="D38" t="str">
            <v>FAZIL ABDULLA</v>
          </cell>
          <cell r="E38" t="str">
            <v>B</v>
          </cell>
          <cell r="F38" t="str">
            <v>SUB JUNIOR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AB38">
            <v>32</v>
          </cell>
          <cell r="AC38" t="str">
            <v>A131</v>
          </cell>
          <cell r="AD38" t="str">
            <v>FAZIL ABDULLA</v>
          </cell>
          <cell r="AE38" t="str">
            <v>B</v>
          </cell>
          <cell r="AF38" t="str">
            <v>SUB JUNIOR</v>
          </cell>
          <cell r="AG38">
            <v>1</v>
          </cell>
          <cell r="AH38">
            <v>0</v>
          </cell>
        </row>
        <row r="39">
          <cell r="C39" t="str">
            <v>A132</v>
          </cell>
          <cell r="D39" t="str">
            <v>MUHAMMED SHIRAZ ISHAQUE</v>
          </cell>
          <cell r="E39" t="str">
            <v>A</v>
          </cell>
          <cell r="F39" t="str">
            <v>SUB JUNIOR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1</v>
          </cell>
          <cell r="AB39">
            <v>33</v>
          </cell>
          <cell r="AC39" t="str">
            <v>A132</v>
          </cell>
          <cell r="AD39" t="str">
            <v>MUHAMMED SHIRAZ ISHAQUE</v>
          </cell>
          <cell r="AE39" t="str">
            <v>A</v>
          </cell>
          <cell r="AF39" t="str">
            <v>SUB JUNIOR</v>
          </cell>
          <cell r="AG39">
            <v>1</v>
          </cell>
          <cell r="AH39">
            <v>0</v>
          </cell>
        </row>
        <row r="40">
          <cell r="C40" t="str">
            <v>A133</v>
          </cell>
          <cell r="D40" t="str">
            <v>JAUHAR ASHFAQUE MUHSIN</v>
          </cell>
          <cell r="E40" t="str">
            <v>D</v>
          </cell>
          <cell r="F40" t="str">
            <v>SUB JUNIOR</v>
          </cell>
          <cell r="G40">
            <v>1</v>
          </cell>
          <cell r="H40">
            <v>0</v>
          </cell>
          <cell r="I40">
            <v>0</v>
          </cell>
          <cell r="J40">
            <v>0</v>
          </cell>
          <cell r="K40">
            <v>1</v>
          </cell>
          <cell r="AB40">
            <v>34</v>
          </cell>
          <cell r="AC40" t="str">
            <v>A133</v>
          </cell>
          <cell r="AD40" t="str">
            <v>JAUHAR ASHFAQUE MUHSIN</v>
          </cell>
          <cell r="AE40" t="str">
            <v>D</v>
          </cell>
          <cell r="AF40" t="str">
            <v>SUB JUNIOR</v>
          </cell>
          <cell r="AG40">
            <v>1</v>
          </cell>
          <cell r="AH40">
            <v>0</v>
          </cell>
        </row>
        <row r="41">
          <cell r="C41" t="str">
            <v>A134</v>
          </cell>
          <cell r="D41" t="str">
            <v>YASEEN MUHAMMED</v>
          </cell>
          <cell r="E41" t="str">
            <v>B</v>
          </cell>
          <cell r="F41" t="str">
            <v>SUB JUNIOR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1</v>
          </cell>
          <cell r="AB41">
            <v>35</v>
          </cell>
          <cell r="AC41" t="str">
            <v>A134</v>
          </cell>
          <cell r="AD41" t="str">
            <v>YASEEN MUHAMMED</v>
          </cell>
          <cell r="AE41" t="str">
            <v>B</v>
          </cell>
          <cell r="AF41" t="str">
            <v>SUB JUNIOR</v>
          </cell>
          <cell r="AG41">
            <v>1</v>
          </cell>
          <cell r="AH41">
            <v>0</v>
          </cell>
        </row>
        <row r="42">
          <cell r="C42" t="str">
            <v>A135</v>
          </cell>
          <cell r="D42" t="str">
            <v>MOHAMMED RAFAN A</v>
          </cell>
          <cell r="E42" t="str">
            <v>C</v>
          </cell>
          <cell r="F42" t="str">
            <v>SUB JUNIOR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1</v>
          </cell>
          <cell r="AB42">
            <v>36</v>
          </cell>
          <cell r="AC42" t="str">
            <v>A135</v>
          </cell>
          <cell r="AD42" t="str">
            <v>MOHAMMED RAFAN A</v>
          </cell>
          <cell r="AE42" t="str">
            <v>C</v>
          </cell>
          <cell r="AF42" t="str">
            <v>SUB JUNIOR</v>
          </cell>
          <cell r="AG42">
            <v>1</v>
          </cell>
          <cell r="AH42">
            <v>0</v>
          </cell>
        </row>
        <row r="43">
          <cell r="C43" t="str">
            <v>A136</v>
          </cell>
          <cell r="D43" t="str">
            <v>MUHAMMED UVAIS.P. S</v>
          </cell>
          <cell r="E43" t="str">
            <v>C</v>
          </cell>
          <cell r="F43" t="str">
            <v>SUB JUNIOR</v>
          </cell>
          <cell r="G43">
            <v>1</v>
          </cell>
          <cell r="H43">
            <v>0</v>
          </cell>
          <cell r="I43">
            <v>0</v>
          </cell>
          <cell r="J43">
            <v>0</v>
          </cell>
          <cell r="K43">
            <v>1</v>
          </cell>
          <cell r="AB43">
            <v>37</v>
          </cell>
          <cell r="AC43" t="str">
            <v>A136</v>
          </cell>
          <cell r="AD43" t="str">
            <v>MUHAMMED UVAIS.P. S</v>
          </cell>
          <cell r="AE43" t="str">
            <v>C</v>
          </cell>
          <cell r="AF43" t="str">
            <v>SUB JUNIOR</v>
          </cell>
          <cell r="AG43">
            <v>1</v>
          </cell>
          <cell r="AH43">
            <v>0</v>
          </cell>
        </row>
        <row r="44">
          <cell r="C44" t="str">
            <v>A137</v>
          </cell>
          <cell r="D44" t="str">
            <v>MOHAMMED SHUAIB K M</v>
          </cell>
          <cell r="E44" t="str">
            <v>B</v>
          </cell>
          <cell r="F44" t="str">
            <v>SUB JUNIOR</v>
          </cell>
          <cell r="G44">
            <v>1</v>
          </cell>
          <cell r="H44">
            <v>0</v>
          </cell>
          <cell r="I44">
            <v>0</v>
          </cell>
          <cell r="J44">
            <v>0</v>
          </cell>
          <cell r="K44">
            <v>1</v>
          </cell>
          <cell r="AB44">
            <v>38</v>
          </cell>
          <cell r="AC44" t="str">
            <v>A137</v>
          </cell>
          <cell r="AD44" t="str">
            <v>MOHAMMED SHUAIB K M</v>
          </cell>
          <cell r="AE44" t="str">
            <v>B</v>
          </cell>
          <cell r="AF44" t="str">
            <v>SUB JUNIOR</v>
          </cell>
          <cell r="AG44">
            <v>1</v>
          </cell>
          <cell r="AH44">
            <v>0</v>
          </cell>
        </row>
        <row r="45">
          <cell r="C45" t="str">
            <v>A138</v>
          </cell>
          <cell r="D45" t="str">
            <v>ziyad. K. M. C</v>
          </cell>
          <cell r="F45" t="str">
            <v>SUB JUNIOR</v>
          </cell>
          <cell r="G45">
            <v>1</v>
          </cell>
          <cell r="H45">
            <v>0</v>
          </cell>
          <cell r="I45">
            <v>0</v>
          </cell>
          <cell r="J45">
            <v>0</v>
          </cell>
          <cell r="K45">
            <v>1</v>
          </cell>
          <cell r="AB45">
            <v>39</v>
          </cell>
          <cell r="AC45" t="str">
            <v>A138</v>
          </cell>
          <cell r="AD45" t="str">
            <v>ziyad. K. M. C</v>
          </cell>
          <cell r="AE45">
            <v>0</v>
          </cell>
          <cell r="AF45" t="str">
            <v>SUB JUNIOR</v>
          </cell>
          <cell r="AG45">
            <v>1</v>
          </cell>
          <cell r="AH45">
            <v>0</v>
          </cell>
        </row>
        <row r="46">
          <cell r="C46" t="str">
            <v>A139</v>
          </cell>
          <cell r="D46" t="str">
            <v>MUHAMMED MOIDEEN KUNHI</v>
          </cell>
          <cell r="E46" t="str">
            <v>A</v>
          </cell>
          <cell r="F46" t="str">
            <v>SUB JUNIOR</v>
          </cell>
          <cell r="G46">
            <v>1</v>
          </cell>
          <cell r="H46">
            <v>0</v>
          </cell>
          <cell r="I46">
            <v>0</v>
          </cell>
          <cell r="J46">
            <v>0</v>
          </cell>
          <cell r="K46">
            <v>1</v>
          </cell>
          <cell r="AB46">
            <v>40</v>
          </cell>
          <cell r="AC46" t="str">
            <v>A139</v>
          </cell>
          <cell r="AD46" t="str">
            <v>MUHAMMED MOIDEEN KUNHI</v>
          </cell>
          <cell r="AE46" t="str">
            <v>A</v>
          </cell>
          <cell r="AF46" t="str">
            <v>SUB JUNIOR</v>
          </cell>
          <cell r="AG46">
            <v>1</v>
          </cell>
          <cell r="AH46">
            <v>0</v>
          </cell>
        </row>
        <row r="47">
          <cell r="C47" t="str">
            <v>A140</v>
          </cell>
          <cell r="D47" t="str">
            <v>MUHAMMED AFLAH.MK</v>
          </cell>
          <cell r="E47" t="str">
            <v>A</v>
          </cell>
          <cell r="F47" t="str">
            <v>SUB JUNIOR</v>
          </cell>
          <cell r="G47">
            <v>2</v>
          </cell>
          <cell r="H47">
            <v>0</v>
          </cell>
          <cell r="I47">
            <v>0</v>
          </cell>
          <cell r="J47">
            <v>0</v>
          </cell>
          <cell r="K47">
            <v>1</v>
          </cell>
          <cell r="AB47">
            <v>41</v>
          </cell>
          <cell r="AC47" t="str">
            <v>A140</v>
          </cell>
          <cell r="AD47" t="str">
            <v>MUHAMMED AFLAH.MK</v>
          </cell>
          <cell r="AE47" t="str">
            <v>A</v>
          </cell>
          <cell r="AF47" t="str">
            <v>SUB JUNIOR</v>
          </cell>
          <cell r="AG47">
            <v>2</v>
          </cell>
          <cell r="AH47">
            <v>0</v>
          </cell>
        </row>
        <row r="48">
          <cell r="C48" t="str">
            <v>A141</v>
          </cell>
          <cell r="D48" t="str">
            <v>MUHAMMED SHUHAIR</v>
          </cell>
          <cell r="E48" t="str">
            <v>D</v>
          </cell>
          <cell r="F48" t="str">
            <v>SUB JUNIOR</v>
          </cell>
          <cell r="G48">
            <v>2</v>
          </cell>
          <cell r="H48">
            <v>0</v>
          </cell>
          <cell r="I48">
            <v>0</v>
          </cell>
          <cell r="J48">
            <v>0</v>
          </cell>
          <cell r="K48">
            <v>1</v>
          </cell>
          <cell r="AB48">
            <v>42</v>
          </cell>
          <cell r="AC48" t="str">
            <v>A141</v>
          </cell>
          <cell r="AD48" t="str">
            <v>MUHAMMED SHUHAIR</v>
          </cell>
          <cell r="AE48" t="str">
            <v>D</v>
          </cell>
          <cell r="AF48" t="str">
            <v>SUB JUNIOR</v>
          </cell>
          <cell r="AG48">
            <v>2</v>
          </cell>
          <cell r="AH48">
            <v>0</v>
          </cell>
        </row>
        <row r="49">
          <cell r="C49" t="str">
            <v>A142</v>
          </cell>
          <cell r="D49" t="str">
            <v>Muhammed Anshad A</v>
          </cell>
          <cell r="E49" t="str">
            <v>C</v>
          </cell>
          <cell r="F49" t="str">
            <v>SUB JUNIOR</v>
          </cell>
          <cell r="G49">
            <v>2</v>
          </cell>
          <cell r="H49">
            <v>0</v>
          </cell>
          <cell r="I49">
            <v>0</v>
          </cell>
          <cell r="J49">
            <v>0</v>
          </cell>
          <cell r="K49">
            <v>1</v>
          </cell>
          <cell r="AB49">
            <v>43</v>
          </cell>
          <cell r="AC49" t="str">
            <v>A142</v>
          </cell>
          <cell r="AD49" t="str">
            <v>Muhammed Anshad A</v>
          </cell>
          <cell r="AE49" t="str">
            <v>C</v>
          </cell>
          <cell r="AF49" t="str">
            <v>SUB JUNIOR</v>
          </cell>
          <cell r="AG49">
            <v>2</v>
          </cell>
          <cell r="AH49">
            <v>0</v>
          </cell>
        </row>
        <row r="50">
          <cell r="C50" t="str">
            <v>A143</v>
          </cell>
          <cell r="D50" t="str">
            <v>ABDUL AFEEZ C.F</v>
          </cell>
          <cell r="E50" t="str">
            <v>A</v>
          </cell>
          <cell r="F50" t="str">
            <v>SUB JUNIOR</v>
          </cell>
          <cell r="G50">
            <v>2</v>
          </cell>
          <cell r="H50">
            <v>0</v>
          </cell>
          <cell r="I50">
            <v>0</v>
          </cell>
          <cell r="J50">
            <v>0</v>
          </cell>
          <cell r="K50">
            <v>1</v>
          </cell>
          <cell r="AB50">
            <v>44</v>
          </cell>
          <cell r="AC50" t="str">
            <v>A143</v>
          </cell>
          <cell r="AD50" t="str">
            <v>ABDUL AFEEZ C.F</v>
          </cell>
          <cell r="AE50" t="str">
            <v>A</v>
          </cell>
          <cell r="AF50" t="str">
            <v>SUB JUNIOR</v>
          </cell>
          <cell r="AG50">
            <v>2</v>
          </cell>
          <cell r="AH50">
            <v>0</v>
          </cell>
        </row>
        <row r="51">
          <cell r="C51" t="str">
            <v>A144</v>
          </cell>
          <cell r="D51" t="str">
            <v>ABDULLA</v>
          </cell>
          <cell r="E51" t="str">
            <v>D</v>
          </cell>
          <cell r="F51" t="str">
            <v>SUB JUNIOR</v>
          </cell>
          <cell r="G51">
            <v>2</v>
          </cell>
          <cell r="H51">
            <v>0</v>
          </cell>
          <cell r="I51">
            <v>0</v>
          </cell>
          <cell r="J51">
            <v>0</v>
          </cell>
          <cell r="K51">
            <v>1</v>
          </cell>
          <cell r="AB51">
            <v>45</v>
          </cell>
          <cell r="AC51" t="str">
            <v>A144</v>
          </cell>
          <cell r="AD51" t="str">
            <v>ABDULLA</v>
          </cell>
          <cell r="AE51" t="str">
            <v>D</v>
          </cell>
          <cell r="AF51" t="str">
            <v>SUB JUNIOR</v>
          </cell>
          <cell r="AG51">
            <v>2</v>
          </cell>
          <cell r="AH51">
            <v>0</v>
          </cell>
        </row>
        <row r="52">
          <cell r="C52" t="str">
            <v>A145</v>
          </cell>
          <cell r="D52" t="str">
            <v>ABDULLAH A P</v>
          </cell>
          <cell r="E52" t="str">
            <v>C</v>
          </cell>
          <cell r="F52" t="str">
            <v>SUB JUNIOR</v>
          </cell>
          <cell r="G52">
            <v>2</v>
          </cell>
          <cell r="H52">
            <v>0</v>
          </cell>
          <cell r="I52">
            <v>0</v>
          </cell>
          <cell r="J52">
            <v>0</v>
          </cell>
          <cell r="K52">
            <v>1</v>
          </cell>
          <cell r="AB52">
            <v>46</v>
          </cell>
          <cell r="AC52" t="str">
            <v>A145</v>
          </cell>
          <cell r="AD52" t="str">
            <v>ABDULLAH A P</v>
          </cell>
          <cell r="AE52" t="str">
            <v>C</v>
          </cell>
          <cell r="AF52" t="str">
            <v>SUB JUNIOR</v>
          </cell>
          <cell r="AG52">
            <v>2</v>
          </cell>
          <cell r="AH52">
            <v>0</v>
          </cell>
        </row>
        <row r="53">
          <cell r="C53" t="str">
            <v>A146</v>
          </cell>
          <cell r="D53" t="str">
            <v>AHAMED ADIL. A</v>
          </cell>
          <cell r="E53" t="str">
            <v>C</v>
          </cell>
          <cell r="F53" t="str">
            <v>SUB JUNIOR</v>
          </cell>
          <cell r="G53">
            <v>2</v>
          </cell>
          <cell r="H53">
            <v>0</v>
          </cell>
          <cell r="I53">
            <v>0</v>
          </cell>
          <cell r="J53">
            <v>0</v>
          </cell>
          <cell r="K53">
            <v>1</v>
          </cell>
          <cell r="AB53">
            <v>47</v>
          </cell>
          <cell r="AC53" t="str">
            <v>A146</v>
          </cell>
          <cell r="AD53" t="str">
            <v>AHAMED ADIL. A</v>
          </cell>
          <cell r="AE53" t="str">
            <v>C</v>
          </cell>
          <cell r="AF53" t="str">
            <v>SUB JUNIOR</v>
          </cell>
          <cell r="AG53">
            <v>2</v>
          </cell>
          <cell r="AH53">
            <v>0</v>
          </cell>
        </row>
        <row r="54">
          <cell r="C54" t="str">
            <v>A147</v>
          </cell>
          <cell r="D54" t="str">
            <v>AHMED WALEED K A</v>
          </cell>
          <cell r="E54" t="str">
            <v>B</v>
          </cell>
          <cell r="F54" t="str">
            <v>SUB JUNIOR</v>
          </cell>
          <cell r="G54">
            <v>2</v>
          </cell>
          <cell r="H54">
            <v>0</v>
          </cell>
          <cell r="I54">
            <v>0</v>
          </cell>
          <cell r="J54">
            <v>0</v>
          </cell>
          <cell r="K54">
            <v>1</v>
          </cell>
          <cell r="AB54">
            <v>48</v>
          </cell>
          <cell r="AC54" t="str">
            <v>A147</v>
          </cell>
          <cell r="AD54" t="str">
            <v>AHMED WALEED K A</v>
          </cell>
          <cell r="AE54" t="str">
            <v>B</v>
          </cell>
          <cell r="AF54" t="str">
            <v>SUB JUNIOR</v>
          </cell>
          <cell r="AG54">
            <v>2</v>
          </cell>
          <cell r="AH54">
            <v>0</v>
          </cell>
        </row>
        <row r="55">
          <cell r="C55" t="str">
            <v>A148</v>
          </cell>
          <cell r="D55" t="str">
            <v>AYAAN ABOOBAKAR</v>
          </cell>
          <cell r="E55" t="str">
            <v>C</v>
          </cell>
          <cell r="F55" t="str">
            <v>SUB JUNIOR</v>
          </cell>
          <cell r="G55">
            <v>2</v>
          </cell>
          <cell r="H55">
            <v>0</v>
          </cell>
          <cell r="I55">
            <v>0</v>
          </cell>
          <cell r="J55">
            <v>0</v>
          </cell>
          <cell r="K55">
            <v>1</v>
          </cell>
          <cell r="AB55">
            <v>49</v>
          </cell>
          <cell r="AC55" t="str">
            <v>A148</v>
          </cell>
          <cell r="AD55" t="str">
            <v>AYAAN ABOOBAKAR</v>
          </cell>
          <cell r="AE55" t="str">
            <v>C</v>
          </cell>
          <cell r="AF55" t="str">
            <v>SUB JUNIOR</v>
          </cell>
          <cell r="AG55">
            <v>2</v>
          </cell>
          <cell r="AH55">
            <v>0</v>
          </cell>
        </row>
        <row r="56">
          <cell r="C56" t="str">
            <v>A149</v>
          </cell>
          <cell r="D56" t="str">
            <v>FADIL AMEEN ABDULLA</v>
          </cell>
          <cell r="E56" t="str">
            <v>D</v>
          </cell>
          <cell r="F56" t="str">
            <v>SUB JUNIOR</v>
          </cell>
          <cell r="G56">
            <v>2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  <cell r="AB56">
            <v>50</v>
          </cell>
          <cell r="AC56" t="str">
            <v>A149</v>
          </cell>
          <cell r="AD56" t="str">
            <v>FADIL AMEEN ABDULLA</v>
          </cell>
          <cell r="AE56" t="str">
            <v>D</v>
          </cell>
          <cell r="AF56" t="str">
            <v>SUB JUNIOR</v>
          </cell>
          <cell r="AG56">
            <v>2</v>
          </cell>
          <cell r="AH56">
            <v>0</v>
          </cell>
        </row>
        <row r="57">
          <cell r="C57" t="str">
            <v>A150</v>
          </cell>
          <cell r="D57" t="str">
            <v>MOHAMED JAWHAR J A</v>
          </cell>
          <cell r="E57" t="str">
            <v>A</v>
          </cell>
          <cell r="F57" t="str">
            <v>SUB JUNIOR</v>
          </cell>
          <cell r="G57">
            <v>2</v>
          </cell>
          <cell r="H57">
            <v>0</v>
          </cell>
          <cell r="I57">
            <v>0</v>
          </cell>
          <cell r="J57">
            <v>0</v>
          </cell>
          <cell r="K57">
            <v>1</v>
          </cell>
          <cell r="AB57">
            <v>51</v>
          </cell>
          <cell r="AC57" t="str">
            <v>A150</v>
          </cell>
          <cell r="AD57" t="str">
            <v>MOHAMED JAWHAR J A</v>
          </cell>
          <cell r="AE57" t="str">
            <v>A</v>
          </cell>
          <cell r="AF57" t="str">
            <v>SUB JUNIOR</v>
          </cell>
          <cell r="AG57">
            <v>2</v>
          </cell>
          <cell r="AH57">
            <v>0</v>
          </cell>
        </row>
        <row r="58">
          <cell r="C58" t="str">
            <v>A151</v>
          </cell>
          <cell r="D58" t="str">
            <v>Mohammad Yaseen</v>
          </cell>
          <cell r="E58" t="str">
            <v>A</v>
          </cell>
          <cell r="F58" t="str">
            <v>SUB JUNIOR</v>
          </cell>
          <cell r="G58">
            <v>2</v>
          </cell>
          <cell r="H58">
            <v>0</v>
          </cell>
          <cell r="I58">
            <v>0</v>
          </cell>
          <cell r="J58">
            <v>0</v>
          </cell>
          <cell r="K58">
            <v>1</v>
          </cell>
          <cell r="AB58">
            <v>52</v>
          </cell>
          <cell r="AC58" t="str">
            <v>A151</v>
          </cell>
          <cell r="AD58" t="str">
            <v>Mohammad Yaseen</v>
          </cell>
          <cell r="AE58" t="str">
            <v>A</v>
          </cell>
          <cell r="AF58" t="str">
            <v>SUB JUNIOR</v>
          </cell>
          <cell r="AG58">
            <v>2</v>
          </cell>
          <cell r="AH58">
            <v>0</v>
          </cell>
        </row>
        <row r="59">
          <cell r="C59" t="str">
            <v>A152</v>
          </cell>
          <cell r="D59" t="str">
            <v>MOHAMMED QUBAIB A H</v>
          </cell>
          <cell r="E59" t="str">
            <v>C</v>
          </cell>
          <cell r="F59" t="str">
            <v>SUB JUNIOR</v>
          </cell>
          <cell r="G59">
            <v>2</v>
          </cell>
          <cell r="H59">
            <v>0</v>
          </cell>
          <cell r="I59">
            <v>0</v>
          </cell>
          <cell r="J59">
            <v>0</v>
          </cell>
          <cell r="K59">
            <v>1</v>
          </cell>
          <cell r="AB59">
            <v>53</v>
          </cell>
          <cell r="AC59" t="str">
            <v>A152</v>
          </cell>
          <cell r="AD59" t="str">
            <v>MOHAMMED QUBAIB A H</v>
          </cell>
          <cell r="AE59" t="str">
            <v>C</v>
          </cell>
          <cell r="AF59" t="str">
            <v>SUB JUNIOR</v>
          </cell>
          <cell r="AG59">
            <v>2</v>
          </cell>
          <cell r="AH59">
            <v>0</v>
          </cell>
        </row>
        <row r="60">
          <cell r="C60" t="str">
            <v>A153</v>
          </cell>
          <cell r="D60" t="str">
            <v>MOHAMMED SAWA T A</v>
          </cell>
          <cell r="E60" t="str">
            <v>A</v>
          </cell>
          <cell r="F60" t="str">
            <v>SUB JUNIOR</v>
          </cell>
          <cell r="G60">
            <v>2</v>
          </cell>
          <cell r="H60">
            <v>0</v>
          </cell>
          <cell r="I60">
            <v>0</v>
          </cell>
          <cell r="J60">
            <v>0</v>
          </cell>
          <cell r="K60">
            <v>1</v>
          </cell>
          <cell r="AB60">
            <v>54</v>
          </cell>
          <cell r="AC60" t="str">
            <v>A153</v>
          </cell>
          <cell r="AD60" t="str">
            <v>MOHAMMED SAWA T A</v>
          </cell>
          <cell r="AE60" t="str">
            <v>A</v>
          </cell>
          <cell r="AF60" t="str">
            <v>SUB JUNIOR</v>
          </cell>
          <cell r="AG60">
            <v>2</v>
          </cell>
          <cell r="AH60">
            <v>0</v>
          </cell>
        </row>
        <row r="61">
          <cell r="C61" t="str">
            <v>A154</v>
          </cell>
          <cell r="D61" t="str">
            <v>MOHAMMED WASIM SHAHAD SM</v>
          </cell>
          <cell r="E61" t="str">
            <v>D</v>
          </cell>
          <cell r="F61" t="str">
            <v>SUB JUNIOR</v>
          </cell>
          <cell r="G61">
            <v>2</v>
          </cell>
          <cell r="H61">
            <v>0</v>
          </cell>
          <cell r="I61">
            <v>0</v>
          </cell>
          <cell r="J61">
            <v>0</v>
          </cell>
          <cell r="K61">
            <v>1</v>
          </cell>
          <cell r="AB61">
            <v>55</v>
          </cell>
          <cell r="AC61" t="str">
            <v>A154</v>
          </cell>
          <cell r="AD61" t="str">
            <v>MOHAMMED WASIM SHAHAD SM</v>
          </cell>
          <cell r="AE61" t="str">
            <v>D</v>
          </cell>
          <cell r="AF61" t="str">
            <v>SUB JUNIOR</v>
          </cell>
          <cell r="AG61">
            <v>2</v>
          </cell>
          <cell r="AH61">
            <v>0</v>
          </cell>
        </row>
        <row r="62">
          <cell r="C62" t="str">
            <v>A155</v>
          </cell>
          <cell r="D62" t="str">
            <v>Muhammad M</v>
          </cell>
          <cell r="E62" t="str">
            <v>D</v>
          </cell>
          <cell r="F62" t="str">
            <v>SUB JUNIOR</v>
          </cell>
          <cell r="G62">
            <v>2</v>
          </cell>
          <cell r="H62">
            <v>0</v>
          </cell>
          <cell r="I62">
            <v>0</v>
          </cell>
          <cell r="J62">
            <v>0</v>
          </cell>
          <cell r="K62">
            <v>1</v>
          </cell>
          <cell r="AB62">
            <v>56</v>
          </cell>
          <cell r="AC62" t="str">
            <v>A155</v>
          </cell>
          <cell r="AD62" t="str">
            <v>Muhammad M</v>
          </cell>
          <cell r="AE62" t="str">
            <v>D</v>
          </cell>
          <cell r="AF62" t="str">
            <v>SUB JUNIOR</v>
          </cell>
          <cell r="AG62">
            <v>2</v>
          </cell>
          <cell r="AH62">
            <v>0</v>
          </cell>
        </row>
        <row r="63">
          <cell r="C63" t="str">
            <v>A156</v>
          </cell>
          <cell r="D63" t="str">
            <v>MUHAMMAD SHAHSAD HASAN</v>
          </cell>
          <cell r="E63" t="str">
            <v>D</v>
          </cell>
          <cell r="F63" t="str">
            <v>SUB JUNIOR</v>
          </cell>
          <cell r="G63">
            <v>2</v>
          </cell>
          <cell r="H63">
            <v>0</v>
          </cell>
          <cell r="I63">
            <v>0</v>
          </cell>
          <cell r="J63">
            <v>0</v>
          </cell>
          <cell r="K63">
            <v>1</v>
          </cell>
          <cell r="AB63">
            <v>57</v>
          </cell>
          <cell r="AC63" t="str">
            <v>A156</v>
          </cell>
          <cell r="AD63" t="str">
            <v>MUHAMMAD SHAHSAD HASAN</v>
          </cell>
          <cell r="AE63" t="str">
            <v>D</v>
          </cell>
          <cell r="AF63" t="str">
            <v>SUB JUNIOR</v>
          </cell>
          <cell r="AG63">
            <v>2</v>
          </cell>
          <cell r="AH63">
            <v>0</v>
          </cell>
        </row>
        <row r="64">
          <cell r="C64" t="str">
            <v>A157</v>
          </cell>
          <cell r="D64" t="str">
            <v>MUHAMMED ADNAN K.A</v>
          </cell>
          <cell r="E64" t="str">
            <v>A</v>
          </cell>
          <cell r="F64" t="str">
            <v>SUB JUNIOR</v>
          </cell>
          <cell r="G64">
            <v>2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AB64">
            <v>58</v>
          </cell>
          <cell r="AC64" t="str">
            <v>A157</v>
          </cell>
          <cell r="AD64" t="str">
            <v>MUHAMMED ADNAN K.A</v>
          </cell>
          <cell r="AE64" t="str">
            <v>A</v>
          </cell>
          <cell r="AF64" t="str">
            <v>SUB JUNIOR</v>
          </cell>
          <cell r="AG64">
            <v>2</v>
          </cell>
          <cell r="AH64">
            <v>0</v>
          </cell>
        </row>
        <row r="65">
          <cell r="C65" t="str">
            <v>A158</v>
          </cell>
          <cell r="D65" t="str">
            <v>Muhammed Anas</v>
          </cell>
          <cell r="E65" t="str">
            <v>B</v>
          </cell>
          <cell r="F65" t="str">
            <v>SUB JUNIOR</v>
          </cell>
          <cell r="G65">
            <v>2</v>
          </cell>
          <cell r="H65">
            <v>0</v>
          </cell>
          <cell r="I65">
            <v>0</v>
          </cell>
          <cell r="J65">
            <v>0</v>
          </cell>
          <cell r="K65">
            <v>1</v>
          </cell>
          <cell r="AB65">
            <v>59</v>
          </cell>
          <cell r="AC65" t="str">
            <v>A158</v>
          </cell>
          <cell r="AD65" t="str">
            <v>Muhammed Anas</v>
          </cell>
          <cell r="AE65" t="str">
            <v>B</v>
          </cell>
          <cell r="AF65" t="str">
            <v>SUB JUNIOR</v>
          </cell>
          <cell r="AG65">
            <v>2</v>
          </cell>
          <cell r="AH65">
            <v>0</v>
          </cell>
        </row>
        <row r="66">
          <cell r="C66" t="str">
            <v>A159</v>
          </cell>
          <cell r="D66" t="str">
            <v>MUHAMMED ASHIR M</v>
          </cell>
          <cell r="E66" t="str">
            <v>D</v>
          </cell>
          <cell r="F66" t="str">
            <v>SUB JUNIOR</v>
          </cell>
          <cell r="G66">
            <v>2</v>
          </cell>
          <cell r="H66">
            <v>0</v>
          </cell>
          <cell r="I66">
            <v>0</v>
          </cell>
          <cell r="J66">
            <v>0</v>
          </cell>
          <cell r="K66">
            <v>1</v>
          </cell>
          <cell r="AB66">
            <v>60</v>
          </cell>
          <cell r="AC66" t="str">
            <v>A159</v>
          </cell>
          <cell r="AD66" t="str">
            <v>MUHAMMED ASHIR M</v>
          </cell>
          <cell r="AE66" t="str">
            <v>D</v>
          </cell>
          <cell r="AF66" t="str">
            <v>SUB JUNIOR</v>
          </cell>
          <cell r="AG66">
            <v>2</v>
          </cell>
          <cell r="AH66">
            <v>0</v>
          </cell>
        </row>
        <row r="67">
          <cell r="C67" t="str">
            <v>A160</v>
          </cell>
          <cell r="D67" t="str">
            <v>MUHAMMED AYAAN</v>
          </cell>
          <cell r="E67" t="str">
            <v>D</v>
          </cell>
          <cell r="F67" t="str">
            <v>SUB JUNIOR</v>
          </cell>
          <cell r="G67">
            <v>2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</row>
        <row r="68">
          <cell r="C68" t="str">
            <v>A161</v>
          </cell>
          <cell r="D68" t="str">
            <v>MUHAMMED FAHAD</v>
          </cell>
          <cell r="E68" t="str">
            <v>A</v>
          </cell>
          <cell r="F68" t="str">
            <v>SUB JUNIOR</v>
          </cell>
          <cell r="G68">
            <v>2</v>
          </cell>
          <cell r="H68">
            <v>0</v>
          </cell>
          <cell r="I68">
            <v>0</v>
          </cell>
          <cell r="J68">
            <v>0</v>
          </cell>
          <cell r="K68">
            <v>1</v>
          </cell>
        </row>
        <row r="69">
          <cell r="C69" t="str">
            <v>A162</v>
          </cell>
          <cell r="D69" t="str">
            <v>MUHAMMED FAREED A S</v>
          </cell>
          <cell r="E69" t="str">
            <v>A</v>
          </cell>
          <cell r="F69" t="str">
            <v>SUB JUNIOR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1</v>
          </cell>
        </row>
        <row r="70">
          <cell r="C70" t="str">
            <v>A163</v>
          </cell>
          <cell r="D70" t="str">
            <v>MUHAMMED LUQMAN TD</v>
          </cell>
          <cell r="E70" t="str">
            <v>C</v>
          </cell>
          <cell r="F70" t="str">
            <v>SUB JUNIOR</v>
          </cell>
          <cell r="G70">
            <v>2</v>
          </cell>
          <cell r="H70">
            <v>0</v>
          </cell>
          <cell r="I70">
            <v>0</v>
          </cell>
          <cell r="J70">
            <v>0</v>
          </cell>
          <cell r="K70">
            <v>1</v>
          </cell>
        </row>
        <row r="71">
          <cell r="C71" t="str">
            <v>A164</v>
          </cell>
          <cell r="D71" t="str">
            <v>MUHAMMED MICDAD RAMEES A H</v>
          </cell>
          <cell r="E71" t="str">
            <v>B</v>
          </cell>
          <cell r="F71" t="str">
            <v>SUB JUNIOR</v>
          </cell>
          <cell r="G71">
            <v>2</v>
          </cell>
          <cell r="H71">
            <v>0</v>
          </cell>
          <cell r="I71">
            <v>0</v>
          </cell>
          <cell r="J71">
            <v>0</v>
          </cell>
          <cell r="K71">
            <v>1</v>
          </cell>
        </row>
        <row r="72">
          <cell r="C72" t="str">
            <v>A165</v>
          </cell>
          <cell r="D72" t="str">
            <v>MUHAMMED MIDLAJ</v>
          </cell>
          <cell r="E72" t="str">
            <v>B</v>
          </cell>
          <cell r="F72" t="str">
            <v>SUB JUNIOR</v>
          </cell>
          <cell r="G72">
            <v>2</v>
          </cell>
          <cell r="H72">
            <v>0</v>
          </cell>
          <cell r="I72">
            <v>0</v>
          </cell>
          <cell r="J72">
            <v>0</v>
          </cell>
          <cell r="K72">
            <v>1</v>
          </cell>
        </row>
        <row r="73">
          <cell r="C73" t="str">
            <v>A166</v>
          </cell>
          <cell r="D73" t="str">
            <v>Muhammed Naieem</v>
          </cell>
          <cell r="E73" t="str">
            <v>C</v>
          </cell>
          <cell r="F73" t="str">
            <v>SUB JUNIOR</v>
          </cell>
          <cell r="G73">
            <v>2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</row>
        <row r="74">
          <cell r="C74" t="str">
            <v>A167</v>
          </cell>
          <cell r="D74" t="str">
            <v>MUHAMMED RAEES C A</v>
          </cell>
          <cell r="E74" t="str">
            <v>C</v>
          </cell>
          <cell r="F74" t="str">
            <v>SUB JUNIOR</v>
          </cell>
          <cell r="G74">
            <v>2</v>
          </cell>
          <cell r="H74">
            <v>0</v>
          </cell>
          <cell r="I74">
            <v>0</v>
          </cell>
          <cell r="J74">
            <v>0</v>
          </cell>
          <cell r="K74">
            <v>1</v>
          </cell>
        </row>
        <row r="75">
          <cell r="C75" t="str">
            <v>A168</v>
          </cell>
          <cell r="D75" t="str">
            <v>Muhammed Sinan D A</v>
          </cell>
          <cell r="E75" t="str">
            <v>D</v>
          </cell>
          <cell r="F75" t="str">
            <v>SUB JUNIOR</v>
          </cell>
          <cell r="G75">
            <v>2</v>
          </cell>
          <cell r="H75">
            <v>0</v>
          </cell>
          <cell r="I75">
            <v>0</v>
          </cell>
          <cell r="J75">
            <v>0</v>
          </cell>
          <cell r="K75">
            <v>1</v>
          </cell>
        </row>
        <row r="76">
          <cell r="C76" t="str">
            <v>A169</v>
          </cell>
          <cell r="D76" t="str">
            <v>NAZWAN MOHAMMED</v>
          </cell>
          <cell r="E76" t="str">
            <v>A</v>
          </cell>
          <cell r="F76" t="str">
            <v>SUB JUNIOR</v>
          </cell>
          <cell r="G76">
            <v>2</v>
          </cell>
          <cell r="H76">
            <v>0</v>
          </cell>
          <cell r="I76">
            <v>0</v>
          </cell>
          <cell r="J76">
            <v>0</v>
          </cell>
          <cell r="K76">
            <v>1</v>
          </cell>
        </row>
        <row r="77">
          <cell r="C77" t="str">
            <v>A170</v>
          </cell>
          <cell r="D77" t="str">
            <v>P.V.AHMAD ANAS</v>
          </cell>
          <cell r="E77" t="str">
            <v>B</v>
          </cell>
          <cell r="F77" t="str">
            <v>SUB JUNIOR</v>
          </cell>
          <cell r="G77">
            <v>2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</row>
        <row r="78">
          <cell r="C78" t="str">
            <v>A171</v>
          </cell>
          <cell r="D78" t="str">
            <v>SAYYED MOHAMMED SINAN AM</v>
          </cell>
          <cell r="E78" t="str">
            <v>B</v>
          </cell>
          <cell r="F78" t="str">
            <v>SUB JUNIOR</v>
          </cell>
          <cell r="G78">
            <v>2</v>
          </cell>
          <cell r="H78">
            <v>0</v>
          </cell>
          <cell r="I78">
            <v>0</v>
          </cell>
          <cell r="J78">
            <v>0</v>
          </cell>
          <cell r="K78">
            <v>1</v>
          </cell>
        </row>
        <row r="79">
          <cell r="C79" t="str">
            <v>A172</v>
          </cell>
          <cell r="D79" t="str">
            <v>SAYYED MUHAMMED ABOOBACKER</v>
          </cell>
          <cell r="E79" t="str">
            <v>B</v>
          </cell>
          <cell r="F79" t="str">
            <v>SUB JUNIOR</v>
          </cell>
          <cell r="G79">
            <v>2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</row>
        <row r="80">
          <cell r="C80" t="str">
            <v>A173</v>
          </cell>
          <cell r="D80" t="str">
            <v>SHAHUL HAMEED B.I</v>
          </cell>
          <cell r="E80" t="str">
            <v>C</v>
          </cell>
          <cell r="F80" t="str">
            <v>SUB JUNIOR</v>
          </cell>
          <cell r="G80">
            <v>2</v>
          </cell>
          <cell r="H80">
            <v>0</v>
          </cell>
          <cell r="I80">
            <v>0</v>
          </cell>
          <cell r="J80">
            <v>0</v>
          </cell>
          <cell r="K80">
            <v>1</v>
          </cell>
        </row>
        <row r="81">
          <cell r="C81" t="str">
            <v>A174</v>
          </cell>
          <cell r="D81" t="str">
            <v>THUFAIL</v>
          </cell>
          <cell r="E81" t="str">
            <v>B</v>
          </cell>
          <cell r="F81" t="str">
            <v>SUB JUNIOR</v>
          </cell>
          <cell r="G81">
            <v>2</v>
          </cell>
          <cell r="H81">
            <v>0</v>
          </cell>
          <cell r="I81">
            <v>0</v>
          </cell>
          <cell r="J81">
            <v>0</v>
          </cell>
          <cell r="K81">
            <v>1</v>
          </cell>
        </row>
        <row r="82">
          <cell r="C82" t="str">
            <v>A175</v>
          </cell>
          <cell r="D82" t="str">
            <v>YOUSUF FAHEEM P</v>
          </cell>
          <cell r="E82" t="str">
            <v>B</v>
          </cell>
          <cell r="F82" t="str">
            <v>SUB JUNIOR</v>
          </cell>
          <cell r="G82">
            <v>2</v>
          </cell>
          <cell r="H82">
            <v>0</v>
          </cell>
          <cell r="I82">
            <v>0</v>
          </cell>
          <cell r="J82">
            <v>0</v>
          </cell>
          <cell r="K82">
            <v>1</v>
          </cell>
        </row>
        <row r="83">
          <cell r="C83" t="str">
            <v>B100</v>
          </cell>
          <cell r="D83" t="str">
            <v>ZAINUL ABID K</v>
          </cell>
          <cell r="E83" t="str">
            <v>C</v>
          </cell>
          <cell r="F83" t="str">
            <v>JUNIOR</v>
          </cell>
          <cell r="G83">
            <v>3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</row>
        <row r="84">
          <cell r="C84" t="str">
            <v>B101</v>
          </cell>
          <cell r="D84" t="str">
            <v>AHMED AFRAZ MB</v>
          </cell>
          <cell r="E84" t="str">
            <v>B</v>
          </cell>
          <cell r="F84" t="str">
            <v>JUNIOR</v>
          </cell>
          <cell r="G84">
            <v>3</v>
          </cell>
          <cell r="H84">
            <v>0</v>
          </cell>
          <cell r="I84">
            <v>0</v>
          </cell>
          <cell r="J84">
            <v>0</v>
          </cell>
          <cell r="K84">
            <v>1</v>
          </cell>
        </row>
        <row r="85">
          <cell r="C85" t="str">
            <v>B102</v>
          </cell>
          <cell r="D85" t="str">
            <v>AHMAD MUBASHAR</v>
          </cell>
          <cell r="E85" t="str">
            <v>A</v>
          </cell>
          <cell r="F85" t="str">
            <v>JUNIOR</v>
          </cell>
          <cell r="G85">
            <v>3</v>
          </cell>
          <cell r="H85">
            <v>0</v>
          </cell>
          <cell r="I85">
            <v>0</v>
          </cell>
          <cell r="J85">
            <v>0</v>
          </cell>
          <cell r="K85">
            <v>1</v>
          </cell>
        </row>
        <row r="86">
          <cell r="C86" t="str">
            <v>B103</v>
          </cell>
          <cell r="D86" t="str">
            <v>MOHAMMED NAFIH BA</v>
          </cell>
          <cell r="E86" t="str">
            <v>C</v>
          </cell>
          <cell r="F86" t="str">
            <v>JUNIOR</v>
          </cell>
          <cell r="G86">
            <v>3</v>
          </cell>
          <cell r="H86">
            <v>0</v>
          </cell>
          <cell r="I86">
            <v>0</v>
          </cell>
          <cell r="J86">
            <v>0</v>
          </cell>
          <cell r="K86">
            <v>1</v>
          </cell>
        </row>
        <row r="87">
          <cell r="C87" t="str">
            <v>B104</v>
          </cell>
          <cell r="D87" t="str">
            <v>FAKRUDDIN NAFIL</v>
          </cell>
          <cell r="E87" t="str">
            <v>A</v>
          </cell>
          <cell r="F87" t="str">
            <v>JUNIOR</v>
          </cell>
          <cell r="G87">
            <v>3</v>
          </cell>
          <cell r="H87">
            <v>0</v>
          </cell>
          <cell r="I87">
            <v>0</v>
          </cell>
          <cell r="J87">
            <v>0</v>
          </cell>
          <cell r="K87">
            <v>1</v>
          </cell>
        </row>
        <row r="88">
          <cell r="C88" t="str">
            <v>B105</v>
          </cell>
          <cell r="D88" t="str">
            <v>HASAN THAMMEEM</v>
          </cell>
          <cell r="E88" t="str">
            <v>D</v>
          </cell>
          <cell r="F88" t="str">
            <v>JUNIOR</v>
          </cell>
          <cell r="G88">
            <v>3</v>
          </cell>
          <cell r="H88">
            <v>0</v>
          </cell>
          <cell r="I88">
            <v>0</v>
          </cell>
          <cell r="J88">
            <v>0</v>
          </cell>
          <cell r="K88">
            <v>1</v>
          </cell>
        </row>
        <row r="89">
          <cell r="C89" t="str">
            <v>B106</v>
          </cell>
          <cell r="D89" t="str">
            <v>MUHAMMED ROUHAN M.K</v>
          </cell>
          <cell r="E89" t="str">
            <v>C</v>
          </cell>
          <cell r="F89" t="str">
            <v>JUNIOR</v>
          </cell>
          <cell r="G89">
            <v>3</v>
          </cell>
          <cell r="H89">
            <v>0</v>
          </cell>
          <cell r="I89">
            <v>0</v>
          </cell>
          <cell r="J89">
            <v>0</v>
          </cell>
          <cell r="K89">
            <v>1</v>
          </cell>
        </row>
        <row r="90">
          <cell r="C90" t="str">
            <v>B107</v>
          </cell>
          <cell r="D90" t="str">
            <v>MUHAMMED ZAMIL</v>
          </cell>
          <cell r="E90" t="str">
            <v>D</v>
          </cell>
          <cell r="F90" t="str">
            <v>JUNIOR</v>
          </cell>
          <cell r="G90">
            <v>3</v>
          </cell>
          <cell r="H90">
            <v>0</v>
          </cell>
          <cell r="I90">
            <v>0</v>
          </cell>
          <cell r="J90">
            <v>0</v>
          </cell>
          <cell r="K90">
            <v>1</v>
          </cell>
        </row>
        <row r="91">
          <cell r="C91" t="str">
            <v>B108</v>
          </cell>
          <cell r="D91" t="str">
            <v>ABDUL RAHIMAN FAIZ T A</v>
          </cell>
          <cell r="E91" t="str">
            <v>D</v>
          </cell>
          <cell r="F91" t="str">
            <v>JUNIOR</v>
          </cell>
          <cell r="G91">
            <v>3</v>
          </cell>
          <cell r="H91">
            <v>0</v>
          </cell>
          <cell r="I91">
            <v>0</v>
          </cell>
          <cell r="J91">
            <v>0</v>
          </cell>
          <cell r="K91">
            <v>1</v>
          </cell>
        </row>
        <row r="92">
          <cell r="C92" t="str">
            <v>B109</v>
          </cell>
          <cell r="D92" t="str">
            <v>AHAMMED SAFAR ZAKARIYA</v>
          </cell>
          <cell r="E92" t="str">
            <v>B</v>
          </cell>
          <cell r="F92" t="str">
            <v>JUNIOR</v>
          </cell>
          <cell r="G92">
            <v>3</v>
          </cell>
          <cell r="H92">
            <v>0</v>
          </cell>
          <cell r="I92">
            <v>0</v>
          </cell>
          <cell r="J92">
            <v>0</v>
          </cell>
          <cell r="K92">
            <v>1</v>
          </cell>
        </row>
        <row r="93">
          <cell r="C93" t="str">
            <v>B110</v>
          </cell>
          <cell r="D93" t="str">
            <v>MUHAMMED MUHAZ P A</v>
          </cell>
          <cell r="E93" t="str">
            <v>B</v>
          </cell>
          <cell r="F93" t="str">
            <v>JUNIOR</v>
          </cell>
          <cell r="G93">
            <v>3</v>
          </cell>
          <cell r="H93">
            <v>0</v>
          </cell>
          <cell r="I93">
            <v>0</v>
          </cell>
          <cell r="J93">
            <v>0</v>
          </cell>
          <cell r="K93">
            <v>1</v>
          </cell>
        </row>
        <row r="94">
          <cell r="C94" t="str">
            <v>B111</v>
          </cell>
          <cell r="D94" t="str">
            <v>MUHAMMED SAHEEM ASHRAF</v>
          </cell>
          <cell r="E94" t="str">
            <v>A</v>
          </cell>
          <cell r="F94" t="str">
            <v>JUNIOR</v>
          </cell>
          <cell r="G94">
            <v>3</v>
          </cell>
          <cell r="H94">
            <v>0</v>
          </cell>
          <cell r="I94">
            <v>0</v>
          </cell>
          <cell r="J94">
            <v>0</v>
          </cell>
          <cell r="K94">
            <v>1</v>
          </cell>
        </row>
        <row r="95">
          <cell r="C95" t="str">
            <v>B112</v>
          </cell>
          <cell r="D95" t="str">
            <v>SHARAZ AHAMMED</v>
          </cell>
          <cell r="E95" t="str">
            <v>A</v>
          </cell>
          <cell r="F95" t="str">
            <v>JUNIOR</v>
          </cell>
          <cell r="G95">
            <v>3</v>
          </cell>
          <cell r="H95">
            <v>0</v>
          </cell>
          <cell r="I95">
            <v>0</v>
          </cell>
          <cell r="J95">
            <v>0</v>
          </cell>
          <cell r="K95">
            <v>1</v>
          </cell>
        </row>
        <row r="96">
          <cell r="C96" t="str">
            <v>B113</v>
          </cell>
          <cell r="D96" t="str">
            <v>MUHAMMED IHTHISHAM P I</v>
          </cell>
          <cell r="E96" t="str">
            <v>C</v>
          </cell>
          <cell r="F96" t="str">
            <v>JUNIOR</v>
          </cell>
          <cell r="G96">
            <v>3</v>
          </cell>
          <cell r="H96">
            <v>0</v>
          </cell>
          <cell r="I96">
            <v>0</v>
          </cell>
          <cell r="J96">
            <v>0</v>
          </cell>
          <cell r="K96">
            <v>1</v>
          </cell>
        </row>
        <row r="97">
          <cell r="C97" t="str">
            <v>B114</v>
          </cell>
          <cell r="D97" t="str">
            <v>AMEEN RAHMAN MTP</v>
          </cell>
          <cell r="E97" t="str">
            <v>B</v>
          </cell>
          <cell r="F97" t="str">
            <v>JUNIOR</v>
          </cell>
          <cell r="G97">
            <v>3</v>
          </cell>
          <cell r="H97">
            <v>0</v>
          </cell>
          <cell r="I97">
            <v>0</v>
          </cell>
          <cell r="J97">
            <v>0</v>
          </cell>
          <cell r="K97">
            <v>1</v>
          </cell>
        </row>
        <row r="98">
          <cell r="C98" t="str">
            <v>B115</v>
          </cell>
          <cell r="D98" t="str">
            <v>HASSAN SAHAL N A</v>
          </cell>
          <cell r="E98" t="str">
            <v>A</v>
          </cell>
          <cell r="F98" t="str">
            <v>JUNIOR</v>
          </cell>
          <cell r="G98">
            <v>3</v>
          </cell>
          <cell r="H98">
            <v>0</v>
          </cell>
          <cell r="I98">
            <v>0</v>
          </cell>
          <cell r="J98">
            <v>0</v>
          </cell>
          <cell r="K98">
            <v>1</v>
          </cell>
        </row>
        <row r="99">
          <cell r="C99" t="str">
            <v>B116</v>
          </cell>
          <cell r="D99" t="str">
            <v>MOHAMMED SABIK BM</v>
          </cell>
          <cell r="E99" t="str">
            <v>D</v>
          </cell>
          <cell r="F99" t="str">
            <v>JUNIOR</v>
          </cell>
          <cell r="G99">
            <v>3</v>
          </cell>
          <cell r="H99">
            <v>0</v>
          </cell>
          <cell r="I99">
            <v>0</v>
          </cell>
          <cell r="J99">
            <v>0</v>
          </cell>
          <cell r="K99">
            <v>1</v>
          </cell>
        </row>
        <row r="100">
          <cell r="C100" t="str">
            <v>B117</v>
          </cell>
          <cell r="D100" t="str">
            <v>MUHAMMAD SABITH V K P</v>
          </cell>
          <cell r="E100" t="str">
            <v>C</v>
          </cell>
          <cell r="F100" t="str">
            <v>JUNIOR</v>
          </cell>
          <cell r="G100">
            <v>3</v>
          </cell>
          <cell r="H100">
            <v>0</v>
          </cell>
          <cell r="I100">
            <v>0</v>
          </cell>
          <cell r="J100">
            <v>0</v>
          </cell>
          <cell r="K100">
            <v>1</v>
          </cell>
        </row>
        <row r="101">
          <cell r="C101" t="str">
            <v>B118</v>
          </cell>
          <cell r="D101" t="str">
            <v>Muhammad Muaaz</v>
          </cell>
          <cell r="E101" t="str">
            <v>D</v>
          </cell>
          <cell r="F101" t="str">
            <v>JUNIOR</v>
          </cell>
          <cell r="G101">
            <v>3</v>
          </cell>
          <cell r="H101">
            <v>0</v>
          </cell>
          <cell r="I101">
            <v>0</v>
          </cell>
          <cell r="J101">
            <v>0</v>
          </cell>
          <cell r="K101">
            <v>1</v>
          </cell>
        </row>
        <row r="102">
          <cell r="C102" t="str">
            <v>B119</v>
          </cell>
          <cell r="D102" t="str">
            <v>ABDUL SA-AD</v>
          </cell>
          <cell r="E102" t="str">
            <v>D</v>
          </cell>
          <cell r="F102" t="str">
            <v>JUNIOR</v>
          </cell>
          <cell r="G102">
            <v>3</v>
          </cell>
          <cell r="H102">
            <v>0</v>
          </cell>
          <cell r="I102">
            <v>0</v>
          </cell>
          <cell r="J102">
            <v>0</v>
          </cell>
          <cell r="K102">
            <v>1</v>
          </cell>
        </row>
        <row r="103">
          <cell r="C103" t="str">
            <v>B120</v>
          </cell>
          <cell r="D103" t="str">
            <v>MOHAMMED RIYAN</v>
          </cell>
          <cell r="E103" t="str">
            <v>A</v>
          </cell>
          <cell r="F103" t="str">
            <v>JUNIOR</v>
          </cell>
          <cell r="G103">
            <v>3</v>
          </cell>
          <cell r="H103">
            <v>0</v>
          </cell>
          <cell r="I103">
            <v>0</v>
          </cell>
          <cell r="J103">
            <v>0</v>
          </cell>
          <cell r="K103">
            <v>1</v>
          </cell>
        </row>
        <row r="104">
          <cell r="C104" t="str">
            <v>B121</v>
          </cell>
          <cell r="D104" t="str">
            <v>MOHIDDEEN SHAHSHAD</v>
          </cell>
          <cell r="E104" t="str">
            <v>C</v>
          </cell>
          <cell r="F104" t="str">
            <v>JUNIOR</v>
          </cell>
          <cell r="G104">
            <v>3</v>
          </cell>
          <cell r="H104">
            <v>0</v>
          </cell>
          <cell r="I104">
            <v>0</v>
          </cell>
          <cell r="J104">
            <v>0</v>
          </cell>
          <cell r="K104">
            <v>1</v>
          </cell>
        </row>
        <row r="105">
          <cell r="C105" t="str">
            <v>B122</v>
          </cell>
          <cell r="D105" t="str">
            <v>MUHAMMAD FAYIZ B</v>
          </cell>
          <cell r="E105" t="str">
            <v>B</v>
          </cell>
          <cell r="F105" t="str">
            <v>JUNIOR</v>
          </cell>
          <cell r="G105">
            <v>3</v>
          </cell>
          <cell r="H105">
            <v>0</v>
          </cell>
          <cell r="I105">
            <v>0</v>
          </cell>
          <cell r="J105">
            <v>0</v>
          </cell>
          <cell r="K105">
            <v>1</v>
          </cell>
        </row>
        <row r="106">
          <cell r="C106" t="str">
            <v>B123</v>
          </cell>
          <cell r="D106" t="str">
            <v>MUHAMMED YASEEN</v>
          </cell>
          <cell r="E106" t="str">
            <v>A</v>
          </cell>
          <cell r="F106" t="str">
            <v>JUNIOR</v>
          </cell>
          <cell r="G106">
            <v>3</v>
          </cell>
          <cell r="H106">
            <v>0</v>
          </cell>
          <cell r="I106">
            <v>0</v>
          </cell>
          <cell r="J106">
            <v>0</v>
          </cell>
          <cell r="K106">
            <v>1</v>
          </cell>
        </row>
        <row r="107">
          <cell r="C107" t="str">
            <v>B124</v>
          </cell>
          <cell r="D107" t="str">
            <v>MOHAMMED RAED. UA</v>
          </cell>
          <cell r="E107" t="str">
            <v>B</v>
          </cell>
          <cell r="F107" t="str">
            <v>JUNIOR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1</v>
          </cell>
        </row>
        <row r="108">
          <cell r="C108" t="str">
            <v>B125</v>
          </cell>
          <cell r="D108" t="str">
            <v>MUHAMMED SHANIFM P</v>
          </cell>
          <cell r="E108" t="str">
            <v>B</v>
          </cell>
          <cell r="F108" t="str">
            <v>JUNIOR</v>
          </cell>
          <cell r="G108">
            <v>3</v>
          </cell>
          <cell r="H108">
            <v>0</v>
          </cell>
          <cell r="I108">
            <v>0</v>
          </cell>
          <cell r="J108">
            <v>0</v>
          </cell>
          <cell r="K108">
            <v>1</v>
          </cell>
        </row>
        <row r="109">
          <cell r="C109" t="str">
            <v>B126</v>
          </cell>
          <cell r="D109" t="str">
            <v>AHAMMED JABIR K H</v>
          </cell>
          <cell r="E109" t="str">
            <v>D</v>
          </cell>
          <cell r="F109" t="str">
            <v>JUNIOR</v>
          </cell>
          <cell r="G109">
            <v>3</v>
          </cell>
          <cell r="H109">
            <v>0</v>
          </cell>
          <cell r="I109">
            <v>0</v>
          </cell>
          <cell r="J109">
            <v>0</v>
          </cell>
          <cell r="K109">
            <v>1</v>
          </cell>
        </row>
        <row r="110">
          <cell r="C110" t="str">
            <v>B127</v>
          </cell>
          <cell r="D110" t="str">
            <v>THANSEEHU RAHMAN</v>
          </cell>
          <cell r="E110" t="str">
            <v>B</v>
          </cell>
          <cell r="F110" t="str">
            <v>JUNIOR</v>
          </cell>
          <cell r="G110">
            <v>3</v>
          </cell>
          <cell r="H110">
            <v>0</v>
          </cell>
          <cell r="I110">
            <v>0</v>
          </cell>
          <cell r="J110">
            <v>0</v>
          </cell>
          <cell r="K110">
            <v>1</v>
          </cell>
        </row>
        <row r="111">
          <cell r="C111" t="str">
            <v>B128</v>
          </cell>
          <cell r="D111" t="str">
            <v>MOHAMMED AFNAN</v>
          </cell>
          <cell r="E111" t="str">
            <v>C</v>
          </cell>
          <cell r="F111" t="str">
            <v>JUNIOR</v>
          </cell>
          <cell r="G111">
            <v>3</v>
          </cell>
          <cell r="H111">
            <v>0</v>
          </cell>
          <cell r="I111">
            <v>0</v>
          </cell>
          <cell r="J111">
            <v>0</v>
          </cell>
          <cell r="K111">
            <v>1</v>
          </cell>
        </row>
        <row r="112">
          <cell r="C112" t="str">
            <v>B129</v>
          </cell>
          <cell r="D112" t="str">
            <v>MOHAMMED SABITH KU</v>
          </cell>
          <cell r="E112" t="str">
            <v>A</v>
          </cell>
          <cell r="F112" t="str">
            <v>JUNIOR</v>
          </cell>
          <cell r="G112">
            <v>3</v>
          </cell>
          <cell r="H112">
            <v>0</v>
          </cell>
          <cell r="I112">
            <v>0</v>
          </cell>
          <cell r="J112">
            <v>0</v>
          </cell>
          <cell r="K112">
            <v>1</v>
          </cell>
        </row>
        <row r="113">
          <cell r="C113" t="str">
            <v>B130</v>
          </cell>
          <cell r="D113" t="str">
            <v>HAFIL ADIL AMANULLAH K K</v>
          </cell>
          <cell r="E113" t="str">
            <v>A</v>
          </cell>
          <cell r="F113" t="str">
            <v>JUNIOR</v>
          </cell>
          <cell r="G113">
            <v>3</v>
          </cell>
          <cell r="H113">
            <v>0</v>
          </cell>
          <cell r="I113">
            <v>0</v>
          </cell>
          <cell r="J113">
            <v>0</v>
          </cell>
          <cell r="K113">
            <v>1</v>
          </cell>
        </row>
        <row r="114">
          <cell r="C114" t="str">
            <v>B131</v>
          </cell>
          <cell r="D114" t="str">
            <v>MUHAMMED BASSIM. E</v>
          </cell>
          <cell r="E114" t="str">
            <v>D</v>
          </cell>
          <cell r="F114" t="str">
            <v>JUNIOR</v>
          </cell>
          <cell r="G114">
            <v>3</v>
          </cell>
          <cell r="H114">
            <v>0</v>
          </cell>
          <cell r="I114">
            <v>0</v>
          </cell>
          <cell r="J114">
            <v>0</v>
          </cell>
          <cell r="K114">
            <v>1</v>
          </cell>
        </row>
        <row r="115">
          <cell r="C115" t="str">
            <v>B132</v>
          </cell>
          <cell r="D115" t="str">
            <v>MUHAMMED SAEED THUFAIL</v>
          </cell>
          <cell r="E115" t="str">
            <v>B</v>
          </cell>
          <cell r="F115" t="str">
            <v>JUNIOR</v>
          </cell>
          <cell r="G115">
            <v>3</v>
          </cell>
          <cell r="H115">
            <v>0</v>
          </cell>
          <cell r="I115">
            <v>0</v>
          </cell>
          <cell r="J115">
            <v>0</v>
          </cell>
          <cell r="K115">
            <v>1</v>
          </cell>
        </row>
        <row r="116">
          <cell r="C116" t="str">
            <v>B133</v>
          </cell>
          <cell r="D116" t="str">
            <v>MEERAN MOHIUDHEEN RAFIH</v>
          </cell>
          <cell r="E116" t="str">
            <v>D</v>
          </cell>
          <cell r="F116" t="str">
            <v>JUNIOR</v>
          </cell>
          <cell r="G116">
            <v>3</v>
          </cell>
          <cell r="H116">
            <v>0</v>
          </cell>
          <cell r="I116">
            <v>0</v>
          </cell>
          <cell r="J116">
            <v>0</v>
          </cell>
          <cell r="K116">
            <v>1</v>
          </cell>
        </row>
        <row r="117">
          <cell r="C117" t="str">
            <v>B134</v>
          </cell>
          <cell r="D117" t="str">
            <v>ABDUL RAHIMAN AZAAN</v>
          </cell>
          <cell r="E117" t="str">
            <v>D</v>
          </cell>
          <cell r="F117" t="str">
            <v>JUNIOR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1</v>
          </cell>
        </row>
        <row r="118">
          <cell r="C118" t="str">
            <v>B135</v>
          </cell>
          <cell r="D118" t="str">
            <v>MOHAMMED RAFIH M R</v>
          </cell>
          <cell r="E118" t="str">
            <v>A</v>
          </cell>
          <cell r="F118" t="str">
            <v>JUNIOR</v>
          </cell>
          <cell r="G118">
            <v>3</v>
          </cell>
          <cell r="H118">
            <v>0</v>
          </cell>
          <cell r="I118">
            <v>0</v>
          </cell>
          <cell r="J118">
            <v>0</v>
          </cell>
          <cell r="K118">
            <v>1</v>
          </cell>
        </row>
        <row r="119">
          <cell r="C119" t="str">
            <v>B136</v>
          </cell>
          <cell r="D119" t="str">
            <v>MUHAMMAD MIJVAD K</v>
          </cell>
          <cell r="E119" t="str">
            <v>C</v>
          </cell>
          <cell r="F119" t="str">
            <v>JUNIOR</v>
          </cell>
          <cell r="G119">
            <v>3</v>
          </cell>
          <cell r="H119">
            <v>0</v>
          </cell>
          <cell r="I119">
            <v>0</v>
          </cell>
          <cell r="J119">
            <v>0</v>
          </cell>
          <cell r="K119">
            <v>1</v>
          </cell>
        </row>
        <row r="120">
          <cell r="C120" t="str">
            <v>B137</v>
          </cell>
          <cell r="D120" t="str">
            <v>MOHAMMAD IJAN</v>
          </cell>
          <cell r="E120" t="str">
            <v>C</v>
          </cell>
          <cell r="F120" t="str">
            <v>JUNIOR</v>
          </cell>
          <cell r="G120">
            <v>3</v>
          </cell>
          <cell r="H120">
            <v>0</v>
          </cell>
          <cell r="I120">
            <v>0</v>
          </cell>
          <cell r="J120">
            <v>0</v>
          </cell>
          <cell r="K120">
            <v>1</v>
          </cell>
        </row>
        <row r="121">
          <cell r="C121" t="str">
            <v>B138</v>
          </cell>
          <cell r="D121" t="str">
            <v>HABEEB RAHMAN CA</v>
          </cell>
          <cell r="E121" t="str">
            <v>C</v>
          </cell>
          <cell r="F121" t="str">
            <v>JUNIOR</v>
          </cell>
          <cell r="G121">
            <v>3</v>
          </cell>
          <cell r="H121">
            <v>0</v>
          </cell>
          <cell r="I121">
            <v>0</v>
          </cell>
          <cell r="J121">
            <v>0</v>
          </cell>
          <cell r="K121">
            <v>1</v>
          </cell>
        </row>
        <row r="122">
          <cell r="C122" t="str">
            <v>B139</v>
          </cell>
          <cell r="D122" t="str">
            <v>Muhammad</v>
          </cell>
          <cell r="E122" t="str">
            <v>B</v>
          </cell>
          <cell r="F122" t="str">
            <v>JUNIOR</v>
          </cell>
          <cell r="G122">
            <v>3</v>
          </cell>
          <cell r="H122">
            <v>0</v>
          </cell>
          <cell r="I122">
            <v>0</v>
          </cell>
          <cell r="J122">
            <v>0</v>
          </cell>
          <cell r="K122">
            <v>1</v>
          </cell>
        </row>
        <row r="123">
          <cell r="C123" t="str">
            <v>B140</v>
          </cell>
          <cell r="D123" t="str">
            <v>MOHAMMED SHAHID</v>
          </cell>
          <cell r="E123" t="str">
            <v>C</v>
          </cell>
          <cell r="F123" t="str">
            <v>JUNIOR</v>
          </cell>
          <cell r="G123">
            <v>4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</row>
        <row r="124">
          <cell r="C124" t="str">
            <v>B141</v>
          </cell>
          <cell r="D124" t="str">
            <v>RAFNAS P</v>
          </cell>
          <cell r="E124" t="str">
            <v>A</v>
          </cell>
          <cell r="F124" t="str">
            <v>JUNIOR</v>
          </cell>
          <cell r="G124">
            <v>4</v>
          </cell>
          <cell r="H124">
            <v>0</v>
          </cell>
          <cell r="I124">
            <v>0</v>
          </cell>
          <cell r="J124">
            <v>0</v>
          </cell>
          <cell r="K124">
            <v>1</v>
          </cell>
        </row>
        <row r="125">
          <cell r="C125" t="str">
            <v>B142</v>
          </cell>
          <cell r="D125" t="str">
            <v>MUHAMMED HAMDAN A.P</v>
          </cell>
          <cell r="E125" t="str">
            <v>C</v>
          </cell>
          <cell r="F125" t="str">
            <v>JUNIOR</v>
          </cell>
          <cell r="G125">
            <v>4</v>
          </cell>
          <cell r="H125">
            <v>0</v>
          </cell>
          <cell r="I125">
            <v>0</v>
          </cell>
          <cell r="J125">
            <v>0</v>
          </cell>
          <cell r="K125">
            <v>1</v>
          </cell>
        </row>
        <row r="126">
          <cell r="C126" t="str">
            <v>B143</v>
          </cell>
          <cell r="D126" t="str">
            <v>MOHAMMED SHADIL AP</v>
          </cell>
          <cell r="E126" t="str">
            <v>A</v>
          </cell>
          <cell r="F126" t="str">
            <v>JUNIOR</v>
          </cell>
          <cell r="G126">
            <v>4</v>
          </cell>
          <cell r="H126">
            <v>0</v>
          </cell>
          <cell r="I126">
            <v>0</v>
          </cell>
          <cell r="J126">
            <v>0</v>
          </cell>
          <cell r="K126">
            <v>1</v>
          </cell>
        </row>
        <row r="127">
          <cell r="C127" t="str">
            <v>B144</v>
          </cell>
          <cell r="D127" t="str">
            <v>MUHAMMED NAFIH CI</v>
          </cell>
          <cell r="E127" t="str">
            <v>A</v>
          </cell>
          <cell r="F127" t="str">
            <v>JUNIOR</v>
          </cell>
          <cell r="G127">
            <v>4</v>
          </cell>
          <cell r="H127">
            <v>0</v>
          </cell>
          <cell r="I127">
            <v>0</v>
          </cell>
          <cell r="J127">
            <v>0</v>
          </cell>
          <cell r="K127">
            <v>1</v>
          </cell>
        </row>
        <row r="128">
          <cell r="C128" t="str">
            <v>B145</v>
          </cell>
          <cell r="D128" t="str">
            <v>YASEEN NOORULLA PH</v>
          </cell>
          <cell r="E128" t="str">
            <v>A</v>
          </cell>
          <cell r="F128" t="str">
            <v>JUNIOR</v>
          </cell>
          <cell r="G128">
            <v>4</v>
          </cell>
          <cell r="H128">
            <v>0</v>
          </cell>
          <cell r="I128">
            <v>0</v>
          </cell>
          <cell r="J128">
            <v>0</v>
          </cell>
          <cell r="K128">
            <v>1</v>
          </cell>
        </row>
        <row r="129">
          <cell r="C129" t="str">
            <v>B146</v>
          </cell>
          <cell r="D129" t="str">
            <v>WASEEM NIHAD A M</v>
          </cell>
          <cell r="E129" t="str">
            <v>C</v>
          </cell>
          <cell r="F129" t="str">
            <v>JUNIOR</v>
          </cell>
          <cell r="G129">
            <v>4</v>
          </cell>
          <cell r="H129">
            <v>0</v>
          </cell>
          <cell r="I129">
            <v>0</v>
          </cell>
          <cell r="J129">
            <v>0</v>
          </cell>
          <cell r="K129">
            <v>1</v>
          </cell>
        </row>
        <row r="130">
          <cell r="C130" t="str">
            <v>B147</v>
          </cell>
          <cell r="D130" t="str">
            <v>MOHAMMED SHAMEEM B K</v>
          </cell>
          <cell r="E130" t="str">
            <v>D</v>
          </cell>
          <cell r="F130" t="str">
            <v>JUNIOR</v>
          </cell>
          <cell r="G130">
            <v>4</v>
          </cell>
          <cell r="H130">
            <v>0</v>
          </cell>
          <cell r="I130">
            <v>0</v>
          </cell>
          <cell r="J130">
            <v>0</v>
          </cell>
          <cell r="K130">
            <v>1</v>
          </cell>
        </row>
        <row r="131">
          <cell r="C131" t="str">
            <v>B148</v>
          </cell>
          <cell r="D131" t="str">
            <v>MOHAMMED BAQIR TS</v>
          </cell>
          <cell r="E131" t="str">
            <v>D</v>
          </cell>
          <cell r="F131" t="str">
            <v>JUNIOR</v>
          </cell>
          <cell r="G131">
            <v>4</v>
          </cell>
          <cell r="H131">
            <v>0</v>
          </cell>
          <cell r="I131">
            <v>0</v>
          </cell>
          <cell r="J131">
            <v>0</v>
          </cell>
          <cell r="K131">
            <v>1</v>
          </cell>
        </row>
        <row r="132">
          <cell r="C132" t="str">
            <v>B149</v>
          </cell>
          <cell r="D132" t="str">
            <v>MUHAMMED FARHAN PH</v>
          </cell>
          <cell r="E132" t="str">
            <v>B</v>
          </cell>
          <cell r="F132" t="str">
            <v>JUNIOR</v>
          </cell>
          <cell r="G132">
            <v>4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</row>
        <row r="133">
          <cell r="C133" t="str">
            <v>B150</v>
          </cell>
          <cell r="D133" t="str">
            <v>ABDULLA FAHAD T.U</v>
          </cell>
          <cell r="E133" t="str">
            <v>A</v>
          </cell>
          <cell r="F133" t="str">
            <v>JUNIOR</v>
          </cell>
          <cell r="G133">
            <v>4</v>
          </cell>
          <cell r="H133">
            <v>0</v>
          </cell>
          <cell r="I133">
            <v>0</v>
          </cell>
          <cell r="J133">
            <v>0</v>
          </cell>
          <cell r="K133">
            <v>1</v>
          </cell>
        </row>
        <row r="134">
          <cell r="C134" t="str">
            <v>B151</v>
          </cell>
          <cell r="D134" t="str">
            <v>ABDUL GAFOOR</v>
          </cell>
          <cell r="E134" t="str">
            <v>C</v>
          </cell>
          <cell r="F134" t="str">
            <v>JUNIOR</v>
          </cell>
          <cell r="G134">
            <v>4</v>
          </cell>
          <cell r="H134">
            <v>0</v>
          </cell>
          <cell r="I134">
            <v>0</v>
          </cell>
          <cell r="J134">
            <v>0</v>
          </cell>
          <cell r="K134">
            <v>1</v>
          </cell>
        </row>
        <row r="135">
          <cell r="C135" t="str">
            <v>B152</v>
          </cell>
          <cell r="D135" t="str">
            <v>MUHAMMED MUNAZIR MM</v>
          </cell>
          <cell r="E135" t="str">
            <v>D</v>
          </cell>
          <cell r="F135" t="str">
            <v>JUNIOR</v>
          </cell>
          <cell r="G135">
            <v>4</v>
          </cell>
          <cell r="H135">
            <v>0</v>
          </cell>
          <cell r="I135">
            <v>0</v>
          </cell>
          <cell r="J135">
            <v>0</v>
          </cell>
          <cell r="K135">
            <v>1</v>
          </cell>
        </row>
        <row r="136">
          <cell r="C136" t="str">
            <v>B153</v>
          </cell>
          <cell r="D136" t="str">
            <v>ABDUL KHADER ISHAQUE</v>
          </cell>
          <cell r="E136" t="str">
            <v>C</v>
          </cell>
          <cell r="F136" t="str">
            <v>JUNIOR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1</v>
          </cell>
        </row>
        <row r="137">
          <cell r="C137" t="str">
            <v>B154</v>
          </cell>
          <cell r="D137" t="str">
            <v>ABDULLA ALBAS</v>
          </cell>
          <cell r="E137" t="str">
            <v>B</v>
          </cell>
          <cell r="F137" t="str">
            <v>JUNIOR</v>
          </cell>
          <cell r="G137">
            <v>4</v>
          </cell>
          <cell r="H137">
            <v>0</v>
          </cell>
          <cell r="I137">
            <v>0</v>
          </cell>
          <cell r="J137">
            <v>0</v>
          </cell>
          <cell r="K137">
            <v>1</v>
          </cell>
        </row>
        <row r="138">
          <cell r="C138" t="str">
            <v>B155</v>
          </cell>
          <cell r="D138" t="str">
            <v>MUHAMMED A</v>
          </cell>
          <cell r="E138" t="str">
            <v>B</v>
          </cell>
          <cell r="F138" t="str">
            <v>JUNIOR</v>
          </cell>
          <cell r="G138">
            <v>4</v>
          </cell>
          <cell r="H138">
            <v>0</v>
          </cell>
          <cell r="I138">
            <v>0</v>
          </cell>
          <cell r="J138">
            <v>0</v>
          </cell>
          <cell r="K138">
            <v>1</v>
          </cell>
        </row>
        <row r="139">
          <cell r="C139" t="str">
            <v>B156</v>
          </cell>
          <cell r="D139" t="str">
            <v>MOHAMMED ANAS A.A</v>
          </cell>
          <cell r="E139" t="str">
            <v>D</v>
          </cell>
          <cell r="F139" t="str">
            <v>JUNIOR</v>
          </cell>
          <cell r="G139">
            <v>4</v>
          </cell>
          <cell r="H139">
            <v>0</v>
          </cell>
          <cell r="I139">
            <v>0</v>
          </cell>
          <cell r="J139">
            <v>0</v>
          </cell>
          <cell r="K139">
            <v>1</v>
          </cell>
        </row>
        <row r="140">
          <cell r="C140" t="str">
            <v>B157</v>
          </cell>
          <cell r="D140" t="str">
            <v>MUHAMMED MIHRAZ</v>
          </cell>
          <cell r="E140" t="str">
            <v>A</v>
          </cell>
          <cell r="F140" t="str">
            <v>JUNIOR</v>
          </cell>
          <cell r="G140">
            <v>4</v>
          </cell>
          <cell r="H140">
            <v>0</v>
          </cell>
          <cell r="I140">
            <v>0</v>
          </cell>
          <cell r="J140">
            <v>0</v>
          </cell>
          <cell r="K140">
            <v>1</v>
          </cell>
        </row>
        <row r="141">
          <cell r="C141" t="str">
            <v>B158</v>
          </cell>
          <cell r="D141" t="str">
            <v>FADIL MOHAMMED K M</v>
          </cell>
          <cell r="E141" t="str">
            <v>B</v>
          </cell>
          <cell r="F141" t="str">
            <v>JUNIOR</v>
          </cell>
          <cell r="G141">
            <v>4</v>
          </cell>
          <cell r="H141">
            <v>0</v>
          </cell>
          <cell r="I141">
            <v>0</v>
          </cell>
          <cell r="J141">
            <v>0</v>
          </cell>
          <cell r="K141">
            <v>1</v>
          </cell>
        </row>
        <row r="142">
          <cell r="C142" t="str">
            <v>B159</v>
          </cell>
          <cell r="D142" t="str">
            <v>AJMAL AHMED MT</v>
          </cell>
          <cell r="E142" t="str">
            <v>B</v>
          </cell>
          <cell r="F142" t="str">
            <v>JUNIOR</v>
          </cell>
          <cell r="G142">
            <v>4</v>
          </cell>
          <cell r="H142">
            <v>0</v>
          </cell>
          <cell r="I142">
            <v>0</v>
          </cell>
          <cell r="J142">
            <v>0</v>
          </cell>
          <cell r="K142">
            <v>1</v>
          </cell>
        </row>
        <row r="143">
          <cell r="C143" t="str">
            <v>B160</v>
          </cell>
          <cell r="D143" t="str">
            <v>MOHAMMED DAWOOD K</v>
          </cell>
          <cell r="E143" t="str">
            <v>D</v>
          </cell>
          <cell r="F143" t="str">
            <v>JUNIOR</v>
          </cell>
          <cell r="G143">
            <v>4</v>
          </cell>
          <cell r="H143">
            <v>0</v>
          </cell>
          <cell r="I143">
            <v>0</v>
          </cell>
          <cell r="J143">
            <v>0</v>
          </cell>
          <cell r="K143">
            <v>1</v>
          </cell>
        </row>
        <row r="144">
          <cell r="C144" t="str">
            <v>B161</v>
          </cell>
          <cell r="D144" t="str">
            <v>MUHAMMED RAZI TM</v>
          </cell>
          <cell r="E144" t="str">
            <v>B</v>
          </cell>
          <cell r="F144" t="str">
            <v>JUNIOR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1</v>
          </cell>
        </row>
        <row r="145">
          <cell r="C145" t="str">
            <v>B162</v>
          </cell>
          <cell r="D145" t="str">
            <v>RAYHAN PH</v>
          </cell>
          <cell r="E145" t="str">
            <v>D</v>
          </cell>
          <cell r="F145" t="str">
            <v>JUNIOR</v>
          </cell>
          <cell r="G145">
            <v>4</v>
          </cell>
          <cell r="H145">
            <v>0</v>
          </cell>
          <cell r="I145">
            <v>0</v>
          </cell>
          <cell r="J145">
            <v>0</v>
          </cell>
          <cell r="K145">
            <v>1</v>
          </cell>
        </row>
        <row r="146">
          <cell r="C146" t="str">
            <v>B163</v>
          </cell>
          <cell r="D146" t="str">
            <v>MOHAMMED YOUNUS</v>
          </cell>
          <cell r="E146" t="str">
            <v>D</v>
          </cell>
          <cell r="F146" t="str">
            <v>JUNIOR</v>
          </cell>
          <cell r="G146">
            <v>4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</row>
        <row r="147">
          <cell r="C147" t="str">
            <v>B164</v>
          </cell>
          <cell r="D147" t="str">
            <v>RASALUL AMEEN T</v>
          </cell>
          <cell r="E147" t="str">
            <v>C</v>
          </cell>
          <cell r="F147" t="str">
            <v>JUNIOR</v>
          </cell>
          <cell r="G147">
            <v>4</v>
          </cell>
          <cell r="H147">
            <v>0</v>
          </cell>
          <cell r="I147">
            <v>0</v>
          </cell>
          <cell r="J147">
            <v>0</v>
          </cell>
          <cell r="K147">
            <v>1</v>
          </cell>
        </row>
        <row r="148">
          <cell r="C148" t="str">
            <v>C100</v>
          </cell>
          <cell r="D148" t="str">
            <v>IBRAHIM AFIL</v>
          </cell>
          <cell r="E148" t="str">
            <v>B</v>
          </cell>
          <cell r="F148" t="str">
            <v>SENIOR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1</v>
          </cell>
        </row>
        <row r="149">
          <cell r="C149" t="str">
            <v>C101</v>
          </cell>
          <cell r="D149" t="str">
            <v>MUHAMMED KASHIF</v>
          </cell>
          <cell r="E149" t="str">
            <v>A</v>
          </cell>
          <cell r="F149" t="str">
            <v>SENIOR</v>
          </cell>
          <cell r="G149">
            <v>5</v>
          </cell>
          <cell r="H149">
            <v>0</v>
          </cell>
          <cell r="I149">
            <v>0</v>
          </cell>
          <cell r="J149">
            <v>0</v>
          </cell>
          <cell r="K149">
            <v>1</v>
          </cell>
        </row>
        <row r="150">
          <cell r="C150" t="str">
            <v>C102</v>
          </cell>
          <cell r="D150" t="str">
            <v>AHAMMED MAHSHOOK M.B</v>
          </cell>
          <cell r="E150" t="str">
            <v>B</v>
          </cell>
          <cell r="F150" t="str">
            <v>SENIOR</v>
          </cell>
          <cell r="G150">
            <v>5</v>
          </cell>
          <cell r="H150">
            <v>0</v>
          </cell>
          <cell r="I150">
            <v>0</v>
          </cell>
          <cell r="J150">
            <v>0</v>
          </cell>
          <cell r="K150">
            <v>1</v>
          </cell>
        </row>
        <row r="151">
          <cell r="C151" t="str">
            <v>C103</v>
          </cell>
          <cell r="D151" t="str">
            <v>MUHAMMED ABDUL KADER</v>
          </cell>
          <cell r="E151" t="str">
            <v>C</v>
          </cell>
          <cell r="F151" t="str">
            <v>SENIOR</v>
          </cell>
          <cell r="G151">
            <v>5</v>
          </cell>
          <cell r="H151">
            <v>0</v>
          </cell>
          <cell r="I151">
            <v>0</v>
          </cell>
          <cell r="J151">
            <v>0</v>
          </cell>
          <cell r="K151">
            <v>1</v>
          </cell>
        </row>
        <row r="152">
          <cell r="C152" t="str">
            <v>C104</v>
          </cell>
          <cell r="D152" t="str">
            <v>HADIL RIJAS</v>
          </cell>
          <cell r="E152" t="str">
            <v>C</v>
          </cell>
          <cell r="F152" t="str">
            <v>SENIOR</v>
          </cell>
          <cell r="G152">
            <v>5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</row>
        <row r="153">
          <cell r="C153" t="str">
            <v>C105</v>
          </cell>
          <cell r="D153" t="str">
            <v>AHMAD MANAL KUDINGILA</v>
          </cell>
          <cell r="E153" t="str">
            <v>D</v>
          </cell>
          <cell r="F153" t="str">
            <v>SENIOR</v>
          </cell>
          <cell r="G153">
            <v>5</v>
          </cell>
          <cell r="H153">
            <v>0</v>
          </cell>
          <cell r="I153">
            <v>0</v>
          </cell>
          <cell r="J153">
            <v>0</v>
          </cell>
          <cell r="K153">
            <v>1</v>
          </cell>
        </row>
        <row r="154">
          <cell r="C154" t="str">
            <v>C106</v>
          </cell>
          <cell r="D154" t="str">
            <v>ABDUL RAHMAN ANFHAL M I</v>
          </cell>
          <cell r="E154" t="str">
            <v>C</v>
          </cell>
          <cell r="F154" t="str">
            <v>SENIOR</v>
          </cell>
          <cell r="G154">
            <v>5</v>
          </cell>
          <cell r="H154">
            <v>0</v>
          </cell>
          <cell r="I154">
            <v>0</v>
          </cell>
          <cell r="J154">
            <v>0</v>
          </cell>
          <cell r="K154">
            <v>1</v>
          </cell>
        </row>
        <row r="155">
          <cell r="C155" t="str">
            <v>C107</v>
          </cell>
          <cell r="D155" t="str">
            <v>ADIL ABDULLA A</v>
          </cell>
          <cell r="E155" t="str">
            <v>B</v>
          </cell>
          <cell r="F155" t="str">
            <v>SENIOR</v>
          </cell>
          <cell r="G155">
            <v>5</v>
          </cell>
          <cell r="H155">
            <v>0</v>
          </cell>
          <cell r="I155">
            <v>0</v>
          </cell>
          <cell r="J155">
            <v>0</v>
          </cell>
          <cell r="K155">
            <v>1</v>
          </cell>
        </row>
        <row r="156">
          <cell r="C156" t="str">
            <v>C108</v>
          </cell>
          <cell r="D156" t="str">
            <v>ABDULLA SALMAN FARIS M</v>
          </cell>
          <cell r="E156" t="str">
            <v>A</v>
          </cell>
          <cell r="F156" t="str">
            <v>SENIOR</v>
          </cell>
          <cell r="G156">
            <v>5</v>
          </cell>
          <cell r="H156">
            <v>0</v>
          </cell>
          <cell r="I156">
            <v>0</v>
          </cell>
          <cell r="J156">
            <v>0</v>
          </cell>
          <cell r="K156">
            <v>1</v>
          </cell>
        </row>
        <row r="157">
          <cell r="C157" t="str">
            <v>C109</v>
          </cell>
          <cell r="D157" t="str">
            <v>ABDULLA FARHAN M</v>
          </cell>
          <cell r="E157" t="str">
            <v>C</v>
          </cell>
          <cell r="F157" t="str">
            <v>SENIOR</v>
          </cell>
          <cell r="G157">
            <v>5</v>
          </cell>
          <cell r="H157">
            <v>0</v>
          </cell>
          <cell r="I157">
            <v>0</v>
          </cell>
          <cell r="J157">
            <v>0</v>
          </cell>
          <cell r="K157">
            <v>1</v>
          </cell>
        </row>
        <row r="158">
          <cell r="C158" t="str">
            <v>C110</v>
          </cell>
          <cell r="D158" t="str">
            <v>SHADIL AHAMED</v>
          </cell>
          <cell r="E158" t="str">
            <v>B</v>
          </cell>
          <cell r="F158" t="str">
            <v>SENIOR</v>
          </cell>
          <cell r="G158">
            <v>5</v>
          </cell>
          <cell r="H158">
            <v>0</v>
          </cell>
          <cell r="I158">
            <v>0</v>
          </cell>
          <cell r="J158">
            <v>0</v>
          </cell>
          <cell r="K158">
            <v>1</v>
          </cell>
        </row>
        <row r="159">
          <cell r="C159" t="str">
            <v>C111</v>
          </cell>
          <cell r="D159" t="str">
            <v>MUHAMMAD ISMAIL HAMDULLA V K</v>
          </cell>
          <cell r="E159" t="str">
            <v>D</v>
          </cell>
          <cell r="F159" t="str">
            <v>SENIOR</v>
          </cell>
          <cell r="G159">
            <v>5</v>
          </cell>
          <cell r="H159">
            <v>0</v>
          </cell>
          <cell r="I159">
            <v>0</v>
          </cell>
          <cell r="J159">
            <v>0</v>
          </cell>
          <cell r="K159">
            <v>1</v>
          </cell>
        </row>
        <row r="160">
          <cell r="C160" t="str">
            <v>C112</v>
          </cell>
          <cell r="D160" t="str">
            <v>MOHAMMED SA'DUDDEEN K</v>
          </cell>
          <cell r="E160" t="str">
            <v>A</v>
          </cell>
          <cell r="F160" t="str">
            <v>SENIOR</v>
          </cell>
          <cell r="G160">
            <v>5</v>
          </cell>
          <cell r="H160">
            <v>0</v>
          </cell>
          <cell r="I160">
            <v>0</v>
          </cell>
          <cell r="J160">
            <v>0</v>
          </cell>
          <cell r="K160">
            <v>1</v>
          </cell>
        </row>
        <row r="161">
          <cell r="C161" t="str">
            <v>C113</v>
          </cell>
          <cell r="D161" t="str">
            <v>SEYYAD MUHAMMED FAHMAN</v>
          </cell>
          <cell r="E161" t="str">
            <v>D</v>
          </cell>
          <cell r="F161" t="str">
            <v>SENIOR</v>
          </cell>
          <cell r="G161">
            <v>5</v>
          </cell>
          <cell r="H161">
            <v>0</v>
          </cell>
          <cell r="I161">
            <v>0</v>
          </cell>
          <cell r="J161">
            <v>0</v>
          </cell>
          <cell r="K161">
            <v>1</v>
          </cell>
        </row>
        <row r="162">
          <cell r="C162" t="str">
            <v>C114</v>
          </cell>
          <cell r="D162" t="str">
            <v>AJMAL RUWAIS</v>
          </cell>
          <cell r="E162" t="str">
            <v>C</v>
          </cell>
          <cell r="F162" t="str">
            <v>SENIOR</v>
          </cell>
          <cell r="G162">
            <v>5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</row>
        <row r="163">
          <cell r="C163" t="str">
            <v>C115</v>
          </cell>
          <cell r="D163" t="str">
            <v>MOHAMMED ABDUL KHADER K</v>
          </cell>
          <cell r="E163" t="str">
            <v>A</v>
          </cell>
          <cell r="F163" t="str">
            <v>SENIOR</v>
          </cell>
          <cell r="G163">
            <v>5</v>
          </cell>
          <cell r="H163">
            <v>0</v>
          </cell>
          <cell r="I163">
            <v>0</v>
          </cell>
          <cell r="J163">
            <v>0</v>
          </cell>
          <cell r="K163">
            <v>1</v>
          </cell>
        </row>
        <row r="164">
          <cell r="C164" t="str">
            <v>C116</v>
          </cell>
          <cell r="D164" t="str">
            <v>MUAHMMED ANAS P A</v>
          </cell>
          <cell r="E164" t="str">
            <v>D</v>
          </cell>
          <cell r="F164" t="str">
            <v>SENIOR</v>
          </cell>
          <cell r="G164">
            <v>5</v>
          </cell>
          <cell r="H164">
            <v>0</v>
          </cell>
          <cell r="I164">
            <v>0</v>
          </cell>
          <cell r="J164">
            <v>0</v>
          </cell>
          <cell r="K164">
            <v>1</v>
          </cell>
        </row>
        <row r="165">
          <cell r="C165" t="str">
            <v>C117</v>
          </cell>
          <cell r="D165" t="str">
            <v>Muhammed fahiz A K</v>
          </cell>
          <cell r="E165" t="str">
            <v>B</v>
          </cell>
          <cell r="F165" t="str">
            <v>SENIOR</v>
          </cell>
          <cell r="G165">
            <v>5</v>
          </cell>
          <cell r="H165">
            <v>0</v>
          </cell>
          <cell r="I165">
            <v>0</v>
          </cell>
          <cell r="J165">
            <v>0</v>
          </cell>
          <cell r="K165">
            <v>1</v>
          </cell>
        </row>
        <row r="166">
          <cell r="C166" t="str">
            <v>C118</v>
          </cell>
          <cell r="D166" t="str">
            <v>MUHAMMAD SHAMMAS</v>
          </cell>
          <cell r="E166" t="str">
            <v>A</v>
          </cell>
          <cell r="F166" t="str">
            <v>SENIOR</v>
          </cell>
          <cell r="G166">
            <v>5</v>
          </cell>
          <cell r="H166">
            <v>0</v>
          </cell>
          <cell r="I166">
            <v>0</v>
          </cell>
          <cell r="J166">
            <v>0</v>
          </cell>
          <cell r="K166">
            <v>1</v>
          </cell>
        </row>
        <row r="167">
          <cell r="C167" t="str">
            <v>C119</v>
          </cell>
          <cell r="D167" t="str">
            <v>ARIFUDEEN ABBAS A</v>
          </cell>
          <cell r="E167" t="str">
            <v>D</v>
          </cell>
          <cell r="F167" t="str">
            <v>SENIOR</v>
          </cell>
          <cell r="G167">
            <v>5</v>
          </cell>
          <cell r="H167">
            <v>0</v>
          </cell>
          <cell r="I167">
            <v>0</v>
          </cell>
          <cell r="J167">
            <v>0</v>
          </cell>
          <cell r="K167">
            <v>1</v>
          </cell>
        </row>
        <row r="168">
          <cell r="C168" t="str">
            <v>C120</v>
          </cell>
          <cell r="D168" t="str">
            <v>MAJID MUHAMMED M</v>
          </cell>
          <cell r="E168" t="str">
            <v>B</v>
          </cell>
          <cell r="F168" t="str">
            <v>SENIOR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1</v>
          </cell>
        </row>
        <row r="169">
          <cell r="C169" t="str">
            <v>C121</v>
          </cell>
          <cell r="D169" t="str">
            <v>ABDUL SALAM ARIF</v>
          </cell>
          <cell r="E169" t="str">
            <v>D</v>
          </cell>
          <cell r="F169" t="str">
            <v>SENIOR</v>
          </cell>
          <cell r="G169">
            <v>5</v>
          </cell>
          <cell r="H169">
            <v>0</v>
          </cell>
          <cell r="I169">
            <v>0</v>
          </cell>
          <cell r="J169">
            <v>0</v>
          </cell>
          <cell r="K169">
            <v>1</v>
          </cell>
        </row>
        <row r="170">
          <cell r="C170" t="str">
            <v>C122</v>
          </cell>
          <cell r="D170" t="str">
            <v>MOHAMMED K H</v>
          </cell>
          <cell r="E170" t="str">
            <v>C</v>
          </cell>
          <cell r="F170" t="str">
            <v>SENIOR</v>
          </cell>
          <cell r="G170">
            <v>5</v>
          </cell>
          <cell r="H170">
            <v>0</v>
          </cell>
          <cell r="I170">
            <v>0</v>
          </cell>
          <cell r="J170">
            <v>0</v>
          </cell>
          <cell r="K170">
            <v>1</v>
          </cell>
        </row>
        <row r="171">
          <cell r="C171" t="str">
            <v>C123</v>
          </cell>
          <cell r="D171" t="str">
            <v>MOHAMMED FAQRUDDEEN RAZI</v>
          </cell>
          <cell r="E171" t="str">
            <v>C</v>
          </cell>
          <cell r="F171" t="str">
            <v>SENIOR</v>
          </cell>
          <cell r="G171">
            <v>5</v>
          </cell>
          <cell r="H171">
            <v>0</v>
          </cell>
          <cell r="I171">
            <v>0</v>
          </cell>
          <cell r="J171">
            <v>0</v>
          </cell>
          <cell r="K171">
            <v>1</v>
          </cell>
        </row>
        <row r="172">
          <cell r="C172" t="str">
            <v>C124</v>
          </cell>
          <cell r="D172" t="str">
            <v>MOHAMMED MUBASHIR</v>
          </cell>
          <cell r="E172" t="str">
            <v>C</v>
          </cell>
          <cell r="F172" t="str">
            <v>SENIOR</v>
          </cell>
          <cell r="G172">
            <v>5</v>
          </cell>
          <cell r="H172">
            <v>0</v>
          </cell>
          <cell r="I172">
            <v>0</v>
          </cell>
          <cell r="J172">
            <v>0</v>
          </cell>
          <cell r="K172">
            <v>1</v>
          </cell>
        </row>
        <row r="173">
          <cell r="C173" t="str">
            <v>C125</v>
          </cell>
          <cell r="D173" t="str">
            <v>AHAMMED MINHAJ E M</v>
          </cell>
          <cell r="E173" t="str">
            <v>A</v>
          </cell>
          <cell r="F173" t="str">
            <v>SENIOR</v>
          </cell>
          <cell r="G173">
            <v>5</v>
          </cell>
          <cell r="H173">
            <v>0</v>
          </cell>
          <cell r="I173">
            <v>0</v>
          </cell>
          <cell r="J173">
            <v>0</v>
          </cell>
          <cell r="K173">
            <v>1</v>
          </cell>
        </row>
        <row r="174">
          <cell r="C174" t="str">
            <v>C126</v>
          </cell>
          <cell r="D174" t="str">
            <v>ADNAN ABDULLAH B A</v>
          </cell>
          <cell r="E174" t="str">
            <v>D</v>
          </cell>
          <cell r="F174" t="str">
            <v>SENIOR</v>
          </cell>
          <cell r="G174">
            <v>5</v>
          </cell>
          <cell r="H174">
            <v>0</v>
          </cell>
          <cell r="I174">
            <v>0</v>
          </cell>
          <cell r="J174">
            <v>0</v>
          </cell>
          <cell r="K174">
            <v>1</v>
          </cell>
        </row>
        <row r="175">
          <cell r="C175" t="str">
            <v>C127</v>
          </cell>
          <cell r="D175" t="str">
            <v>SHAMMAZ P A</v>
          </cell>
          <cell r="E175" t="str">
            <v>A</v>
          </cell>
          <cell r="F175" t="str">
            <v>SENIOR</v>
          </cell>
          <cell r="G175">
            <v>5</v>
          </cell>
          <cell r="H175">
            <v>0</v>
          </cell>
          <cell r="I175">
            <v>0</v>
          </cell>
          <cell r="J175">
            <v>0</v>
          </cell>
          <cell r="K175">
            <v>1</v>
          </cell>
        </row>
        <row r="176">
          <cell r="C176" t="str">
            <v>C128</v>
          </cell>
          <cell r="D176" t="str">
            <v>MAHIN SINAN</v>
          </cell>
          <cell r="E176" t="str">
            <v>B</v>
          </cell>
          <cell r="F176" t="str">
            <v>SENIOR</v>
          </cell>
          <cell r="G176">
            <v>5</v>
          </cell>
          <cell r="H176">
            <v>0</v>
          </cell>
          <cell r="I176">
            <v>0</v>
          </cell>
          <cell r="J176">
            <v>0</v>
          </cell>
          <cell r="K176">
            <v>1</v>
          </cell>
        </row>
        <row r="177">
          <cell r="C177" t="str">
            <v>C129</v>
          </cell>
          <cell r="D177" t="str">
            <v>P K ZAMEEL AHMED</v>
          </cell>
          <cell r="E177" t="str">
            <v>C</v>
          </cell>
          <cell r="F177" t="str">
            <v>SENIOR</v>
          </cell>
          <cell r="G177">
            <v>5</v>
          </cell>
          <cell r="H177">
            <v>0</v>
          </cell>
          <cell r="I177">
            <v>0</v>
          </cell>
          <cell r="J177">
            <v>0</v>
          </cell>
          <cell r="K177">
            <v>1</v>
          </cell>
        </row>
        <row r="178">
          <cell r="C178" t="str">
            <v>C130</v>
          </cell>
          <cell r="D178" t="str">
            <v>MOHAMMED HISHAM</v>
          </cell>
          <cell r="E178" t="str">
            <v>B</v>
          </cell>
          <cell r="F178" t="str">
            <v>SENIOR</v>
          </cell>
          <cell r="G178">
            <v>5</v>
          </cell>
          <cell r="H178">
            <v>0</v>
          </cell>
          <cell r="I178">
            <v>0</v>
          </cell>
          <cell r="J178">
            <v>0</v>
          </cell>
          <cell r="K178">
            <v>1</v>
          </cell>
        </row>
        <row r="179">
          <cell r="C179" t="str">
            <v>C131</v>
          </cell>
          <cell r="D179" t="str">
            <v>IBRAHIM AHRAZ</v>
          </cell>
          <cell r="E179" t="str">
            <v>A</v>
          </cell>
          <cell r="F179" t="str">
            <v>SENIOR</v>
          </cell>
          <cell r="G179">
            <v>6</v>
          </cell>
          <cell r="H179">
            <v>0</v>
          </cell>
          <cell r="I179">
            <v>0</v>
          </cell>
          <cell r="J179">
            <v>0</v>
          </cell>
          <cell r="K179">
            <v>1</v>
          </cell>
        </row>
        <row r="180">
          <cell r="C180" t="str">
            <v>C132</v>
          </cell>
          <cell r="D180" t="str">
            <v>MUHAMMAD SHAZIN</v>
          </cell>
          <cell r="E180" t="str">
            <v>C</v>
          </cell>
          <cell r="F180" t="str">
            <v>SENIOR</v>
          </cell>
          <cell r="G180">
            <v>6</v>
          </cell>
          <cell r="H180">
            <v>0</v>
          </cell>
          <cell r="I180">
            <v>0</v>
          </cell>
          <cell r="J180">
            <v>0</v>
          </cell>
          <cell r="K180">
            <v>1</v>
          </cell>
        </row>
        <row r="181">
          <cell r="C181" t="str">
            <v>C133</v>
          </cell>
          <cell r="D181" t="str">
            <v>SALMANUL FARIS</v>
          </cell>
          <cell r="E181" t="str">
            <v>B</v>
          </cell>
          <cell r="F181" t="str">
            <v>SENIOR</v>
          </cell>
          <cell r="G181">
            <v>6</v>
          </cell>
          <cell r="H181">
            <v>0</v>
          </cell>
          <cell r="I181">
            <v>0</v>
          </cell>
          <cell r="J181">
            <v>0</v>
          </cell>
          <cell r="K181">
            <v>1</v>
          </cell>
        </row>
        <row r="182">
          <cell r="C182" t="str">
            <v>C134</v>
          </cell>
          <cell r="D182" t="str">
            <v>MUHAMMED ABDUL NASIF P.A</v>
          </cell>
          <cell r="E182" t="str">
            <v>A</v>
          </cell>
          <cell r="F182" t="str">
            <v>SENIOR</v>
          </cell>
          <cell r="G182">
            <v>6</v>
          </cell>
          <cell r="H182">
            <v>0</v>
          </cell>
          <cell r="I182">
            <v>0</v>
          </cell>
          <cell r="J182">
            <v>0</v>
          </cell>
          <cell r="K182">
            <v>1</v>
          </cell>
        </row>
        <row r="183">
          <cell r="C183" t="str">
            <v>C135</v>
          </cell>
          <cell r="D183" t="str">
            <v>AHAMAD SHABAB P A</v>
          </cell>
          <cell r="E183" t="str">
            <v>D</v>
          </cell>
          <cell r="F183" t="str">
            <v>SENIOR</v>
          </cell>
          <cell r="G183">
            <v>6</v>
          </cell>
          <cell r="H183">
            <v>0</v>
          </cell>
          <cell r="I183">
            <v>0</v>
          </cell>
          <cell r="J183">
            <v>0</v>
          </cell>
          <cell r="K183">
            <v>1</v>
          </cell>
        </row>
        <row r="184">
          <cell r="C184" t="str">
            <v>C136</v>
          </cell>
          <cell r="D184" t="str">
            <v>MOHAMMED SHAKIR HUSSAIN K.Y</v>
          </cell>
          <cell r="E184" t="str">
            <v>B</v>
          </cell>
          <cell r="F184" t="str">
            <v>SENIOR</v>
          </cell>
          <cell r="G184">
            <v>6</v>
          </cell>
          <cell r="H184">
            <v>0</v>
          </cell>
          <cell r="I184">
            <v>0</v>
          </cell>
          <cell r="J184">
            <v>0</v>
          </cell>
          <cell r="K184">
            <v>1</v>
          </cell>
        </row>
        <row r="185">
          <cell r="C185" t="str">
            <v>C137</v>
          </cell>
          <cell r="D185" t="str">
            <v>MUHAMMED SHUHAIB S</v>
          </cell>
          <cell r="E185" t="str">
            <v>A</v>
          </cell>
          <cell r="F185" t="str">
            <v>SENIOR</v>
          </cell>
          <cell r="G185">
            <v>6</v>
          </cell>
          <cell r="H185">
            <v>0</v>
          </cell>
          <cell r="I185">
            <v>0</v>
          </cell>
          <cell r="J185">
            <v>0</v>
          </cell>
          <cell r="K185">
            <v>1</v>
          </cell>
        </row>
        <row r="186">
          <cell r="C186" t="str">
            <v>C138</v>
          </cell>
          <cell r="D186" t="str">
            <v>MOHAMMED MOINUDDEEN CHISTY</v>
          </cell>
          <cell r="E186" t="str">
            <v>A</v>
          </cell>
          <cell r="F186" t="str">
            <v>SENIOR</v>
          </cell>
          <cell r="G186">
            <v>6</v>
          </cell>
          <cell r="H186">
            <v>0</v>
          </cell>
          <cell r="I186">
            <v>0</v>
          </cell>
          <cell r="J186">
            <v>0</v>
          </cell>
          <cell r="K186">
            <v>1</v>
          </cell>
        </row>
        <row r="187">
          <cell r="C187" t="str">
            <v>C139</v>
          </cell>
          <cell r="D187" t="str">
            <v>SULAIMAN FAHAD AP</v>
          </cell>
          <cell r="E187" t="str">
            <v>C</v>
          </cell>
          <cell r="F187" t="str">
            <v>SENIOR</v>
          </cell>
          <cell r="G187">
            <v>6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</row>
        <row r="188">
          <cell r="C188" t="str">
            <v>C140</v>
          </cell>
          <cell r="D188" t="str">
            <v>IJAS EBRAHIM</v>
          </cell>
          <cell r="E188" t="str">
            <v>D</v>
          </cell>
          <cell r="F188" t="str">
            <v>SENIOR</v>
          </cell>
          <cell r="G188">
            <v>6</v>
          </cell>
          <cell r="H188">
            <v>0</v>
          </cell>
          <cell r="I188">
            <v>0</v>
          </cell>
          <cell r="J188">
            <v>0</v>
          </cell>
          <cell r="K188">
            <v>1</v>
          </cell>
        </row>
        <row r="189">
          <cell r="C189" t="str">
            <v>C141</v>
          </cell>
          <cell r="D189" t="str">
            <v>AHMAD MINHAJ</v>
          </cell>
          <cell r="E189" t="str">
            <v>C</v>
          </cell>
          <cell r="F189" t="str">
            <v>SENIOR</v>
          </cell>
          <cell r="G189">
            <v>6</v>
          </cell>
          <cell r="H189">
            <v>0</v>
          </cell>
          <cell r="I189">
            <v>0</v>
          </cell>
          <cell r="J189">
            <v>0</v>
          </cell>
          <cell r="K189">
            <v>1</v>
          </cell>
        </row>
        <row r="190">
          <cell r="C190" t="str">
            <v>C142</v>
          </cell>
          <cell r="D190" t="str">
            <v>AHMAD AMEEN T S</v>
          </cell>
          <cell r="E190" t="str">
            <v>A</v>
          </cell>
          <cell r="F190" t="str">
            <v>SENIOR</v>
          </cell>
          <cell r="G190">
            <v>6</v>
          </cell>
          <cell r="H190">
            <v>0</v>
          </cell>
          <cell r="I190">
            <v>0</v>
          </cell>
          <cell r="J190">
            <v>0</v>
          </cell>
          <cell r="K190">
            <v>1</v>
          </cell>
        </row>
        <row r="191">
          <cell r="C191" t="str">
            <v>C143</v>
          </cell>
          <cell r="D191" t="str">
            <v>MUHAMMED SINAN M</v>
          </cell>
          <cell r="E191" t="str">
            <v>D</v>
          </cell>
          <cell r="F191" t="str">
            <v>SENIOR</v>
          </cell>
          <cell r="G191">
            <v>6</v>
          </cell>
          <cell r="H191">
            <v>0</v>
          </cell>
          <cell r="I191">
            <v>0</v>
          </cell>
          <cell r="J191">
            <v>0</v>
          </cell>
          <cell r="K191">
            <v>1</v>
          </cell>
        </row>
        <row r="192">
          <cell r="C192" t="str">
            <v>C144</v>
          </cell>
          <cell r="D192" t="str">
            <v>MUHAMMED ASHKKAR ALI</v>
          </cell>
          <cell r="E192" t="str">
            <v>B</v>
          </cell>
          <cell r="F192" t="str">
            <v>SENIOR</v>
          </cell>
          <cell r="G192">
            <v>6</v>
          </cell>
          <cell r="H192">
            <v>0</v>
          </cell>
          <cell r="I192">
            <v>0</v>
          </cell>
          <cell r="J192">
            <v>0</v>
          </cell>
          <cell r="K192">
            <v>1</v>
          </cell>
        </row>
        <row r="193">
          <cell r="C193" t="str">
            <v>C145</v>
          </cell>
          <cell r="D193" t="str">
            <v>SHAMEEL AHAMMED P</v>
          </cell>
          <cell r="E193" t="str">
            <v>C</v>
          </cell>
          <cell r="F193" t="str">
            <v>SENIOR</v>
          </cell>
          <cell r="G193">
            <v>6</v>
          </cell>
          <cell r="H193">
            <v>0</v>
          </cell>
          <cell r="I193">
            <v>0</v>
          </cell>
          <cell r="J193">
            <v>0</v>
          </cell>
          <cell r="K193">
            <v>1</v>
          </cell>
        </row>
        <row r="194">
          <cell r="C194" t="str">
            <v>C146</v>
          </cell>
          <cell r="D194" t="str">
            <v>IMRAN HUSSAIN TI</v>
          </cell>
          <cell r="E194" t="str">
            <v>D</v>
          </cell>
          <cell r="F194" t="str">
            <v>SENIOR</v>
          </cell>
          <cell r="G194">
            <v>6</v>
          </cell>
          <cell r="H194">
            <v>0</v>
          </cell>
          <cell r="I194">
            <v>0</v>
          </cell>
          <cell r="J194">
            <v>0</v>
          </cell>
          <cell r="K194">
            <v>1</v>
          </cell>
        </row>
        <row r="195">
          <cell r="C195" t="str">
            <v>C147</v>
          </cell>
          <cell r="D195" t="str">
            <v>AHAMED ZAKI FOUZAN T.Z</v>
          </cell>
          <cell r="E195" t="str">
            <v>D</v>
          </cell>
          <cell r="F195" t="str">
            <v>SENIOR</v>
          </cell>
          <cell r="G195">
            <v>6</v>
          </cell>
          <cell r="H195">
            <v>0</v>
          </cell>
          <cell r="I195">
            <v>0</v>
          </cell>
          <cell r="J195">
            <v>0</v>
          </cell>
          <cell r="K195">
            <v>1</v>
          </cell>
        </row>
        <row r="196">
          <cell r="C196" t="str">
            <v>C148</v>
          </cell>
          <cell r="D196" t="str">
            <v>MUHAMMED SHABEEB</v>
          </cell>
          <cell r="E196" t="str">
            <v>C</v>
          </cell>
          <cell r="F196" t="str">
            <v>SENIOR</v>
          </cell>
          <cell r="G196">
            <v>6</v>
          </cell>
          <cell r="H196">
            <v>0</v>
          </cell>
          <cell r="I196">
            <v>0</v>
          </cell>
          <cell r="J196">
            <v>0</v>
          </cell>
          <cell r="K196">
            <v>1</v>
          </cell>
        </row>
        <row r="197">
          <cell r="C197" t="str">
            <v>C149</v>
          </cell>
          <cell r="D197" t="str">
            <v>ABDUL BAAIS N.A</v>
          </cell>
          <cell r="E197" t="str">
            <v>A</v>
          </cell>
          <cell r="F197" t="str">
            <v>SENIOR</v>
          </cell>
          <cell r="G197">
            <v>6</v>
          </cell>
          <cell r="H197">
            <v>0</v>
          </cell>
          <cell r="I197">
            <v>0</v>
          </cell>
          <cell r="J197">
            <v>0</v>
          </cell>
          <cell r="K197">
            <v>1</v>
          </cell>
        </row>
        <row r="198">
          <cell r="C198" t="str">
            <v>C150</v>
          </cell>
          <cell r="D198" t="str">
            <v>MUHAMMED PK</v>
          </cell>
          <cell r="E198" t="str">
            <v>B</v>
          </cell>
          <cell r="F198" t="str">
            <v>SENIOR</v>
          </cell>
          <cell r="G198">
            <v>6</v>
          </cell>
          <cell r="H198">
            <v>0</v>
          </cell>
          <cell r="I198">
            <v>0</v>
          </cell>
          <cell r="J198">
            <v>0</v>
          </cell>
          <cell r="K198">
            <v>1</v>
          </cell>
        </row>
        <row r="199">
          <cell r="C199" t="str">
            <v>C151</v>
          </cell>
          <cell r="D199" t="str">
            <v>MOHAMMED ASHMIL K A</v>
          </cell>
          <cell r="E199" t="str">
            <v>D</v>
          </cell>
          <cell r="F199" t="str">
            <v>SENIOR</v>
          </cell>
          <cell r="G199">
            <v>6</v>
          </cell>
          <cell r="H199">
            <v>0</v>
          </cell>
          <cell r="I199">
            <v>0</v>
          </cell>
          <cell r="J199">
            <v>0</v>
          </cell>
          <cell r="K199">
            <v>1</v>
          </cell>
        </row>
        <row r="200">
          <cell r="C200" t="str">
            <v>C152</v>
          </cell>
          <cell r="D200" t="str">
            <v>MUHAMMED SABITH ALI TM</v>
          </cell>
          <cell r="E200" t="str">
            <v>D</v>
          </cell>
          <cell r="F200" t="str">
            <v>SENIOR</v>
          </cell>
          <cell r="G200">
            <v>6</v>
          </cell>
          <cell r="H200">
            <v>0</v>
          </cell>
          <cell r="I200">
            <v>0</v>
          </cell>
          <cell r="J200">
            <v>0</v>
          </cell>
          <cell r="K200">
            <v>1</v>
          </cell>
        </row>
        <row r="201">
          <cell r="C201" t="str">
            <v>C153</v>
          </cell>
          <cell r="D201" t="str">
            <v>MUHAMMED AHMASH K</v>
          </cell>
          <cell r="E201" t="str">
            <v>B</v>
          </cell>
          <cell r="F201" t="str">
            <v>SENIOR</v>
          </cell>
          <cell r="G201">
            <v>6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</row>
        <row r="202">
          <cell r="C202" t="str">
            <v>C154</v>
          </cell>
          <cell r="D202" t="str">
            <v>MOHAMMED RAZEEN S.P</v>
          </cell>
          <cell r="E202" t="str">
            <v>B</v>
          </cell>
          <cell r="F202" t="str">
            <v>SENIOR</v>
          </cell>
          <cell r="G202">
            <v>6</v>
          </cell>
          <cell r="H202">
            <v>0</v>
          </cell>
          <cell r="I202">
            <v>0</v>
          </cell>
          <cell r="J202">
            <v>0</v>
          </cell>
          <cell r="K202">
            <v>1</v>
          </cell>
        </row>
        <row r="203">
          <cell r="C203" t="str">
            <v>C155</v>
          </cell>
          <cell r="D203" t="str">
            <v>HASSAN ZARKASH</v>
          </cell>
          <cell r="E203" t="str">
            <v>A</v>
          </cell>
          <cell r="F203" t="str">
            <v>SENIOR</v>
          </cell>
          <cell r="G203">
            <v>6</v>
          </cell>
          <cell r="H203">
            <v>0</v>
          </cell>
          <cell r="I203">
            <v>0</v>
          </cell>
          <cell r="J203">
            <v>0</v>
          </cell>
          <cell r="K203">
            <v>1</v>
          </cell>
        </row>
        <row r="204">
          <cell r="C204" t="str">
            <v>C156</v>
          </cell>
          <cell r="D204" t="str">
            <v>ABDULLA RAMSHAD</v>
          </cell>
          <cell r="E204" t="str">
            <v>A</v>
          </cell>
          <cell r="F204" t="str">
            <v>SENIOR</v>
          </cell>
          <cell r="G204">
            <v>6</v>
          </cell>
          <cell r="H204">
            <v>0</v>
          </cell>
          <cell r="I204">
            <v>0</v>
          </cell>
          <cell r="J204">
            <v>0</v>
          </cell>
          <cell r="K204">
            <v>1</v>
          </cell>
        </row>
        <row r="205">
          <cell r="C205" t="str">
            <v>C157</v>
          </cell>
          <cell r="D205" t="str">
            <v>HASAN YASIR</v>
          </cell>
          <cell r="E205" t="str">
            <v>C</v>
          </cell>
          <cell r="F205" t="str">
            <v>SENIOR</v>
          </cell>
          <cell r="G205">
            <v>6</v>
          </cell>
          <cell r="H205">
            <v>0</v>
          </cell>
          <cell r="I205">
            <v>0</v>
          </cell>
          <cell r="J205">
            <v>0</v>
          </cell>
          <cell r="K205">
            <v>1</v>
          </cell>
        </row>
        <row r="206">
          <cell r="C206" t="str">
            <v>C158</v>
          </cell>
          <cell r="D206" t="str">
            <v>ABDUL FATHAH AHAMMED C</v>
          </cell>
          <cell r="E206" t="str">
            <v>B</v>
          </cell>
          <cell r="F206" t="str">
            <v>SENIOR</v>
          </cell>
          <cell r="G206">
            <v>6</v>
          </cell>
          <cell r="H206">
            <v>0</v>
          </cell>
          <cell r="I206">
            <v>0</v>
          </cell>
          <cell r="J206">
            <v>0</v>
          </cell>
          <cell r="K206">
            <v>1</v>
          </cell>
        </row>
        <row r="207">
          <cell r="C207" t="str">
            <v>C159</v>
          </cell>
          <cell r="D207" t="str">
            <v>MUHAMMED KAIF BS</v>
          </cell>
          <cell r="E207" t="str">
            <v>C</v>
          </cell>
          <cell r="F207" t="str">
            <v>SENIOR</v>
          </cell>
          <cell r="G207">
            <v>6</v>
          </cell>
          <cell r="H207">
            <v>0</v>
          </cell>
          <cell r="I207">
            <v>0</v>
          </cell>
          <cell r="J207">
            <v>0</v>
          </cell>
          <cell r="K207">
            <v>1</v>
          </cell>
        </row>
        <row r="208">
          <cell r="C208" t="str">
            <v>C160</v>
          </cell>
          <cell r="D208" t="str">
            <v>AJMAL AM</v>
          </cell>
          <cell r="E208" t="str">
            <v>C</v>
          </cell>
          <cell r="F208" t="str">
            <v>SENIOR</v>
          </cell>
          <cell r="G208">
            <v>7</v>
          </cell>
          <cell r="H208">
            <v>0</v>
          </cell>
          <cell r="I208">
            <v>0</v>
          </cell>
          <cell r="J208">
            <v>0</v>
          </cell>
          <cell r="K208">
            <v>1</v>
          </cell>
        </row>
        <row r="209">
          <cell r="C209" t="str">
            <v>C161</v>
          </cell>
          <cell r="D209" t="str">
            <v>MOHAMMED ABDUL KHADER NABAVI E A</v>
          </cell>
          <cell r="E209" t="str">
            <v>B</v>
          </cell>
          <cell r="F209" t="str">
            <v>SENIOR</v>
          </cell>
          <cell r="G209">
            <v>7</v>
          </cell>
          <cell r="H209">
            <v>0</v>
          </cell>
          <cell r="I209">
            <v>0</v>
          </cell>
          <cell r="J209">
            <v>0</v>
          </cell>
          <cell r="K209">
            <v>1</v>
          </cell>
        </row>
        <row r="210">
          <cell r="C210" t="str">
            <v>C162</v>
          </cell>
          <cell r="D210" t="str">
            <v>MUHAMMAD K.A</v>
          </cell>
          <cell r="E210" t="str">
            <v>A</v>
          </cell>
          <cell r="F210" t="str">
            <v>SENIOR</v>
          </cell>
          <cell r="G210">
            <v>7</v>
          </cell>
          <cell r="H210">
            <v>0</v>
          </cell>
          <cell r="I210">
            <v>0</v>
          </cell>
          <cell r="J210">
            <v>0</v>
          </cell>
          <cell r="K210">
            <v>1</v>
          </cell>
        </row>
        <row r="211">
          <cell r="C211" t="str">
            <v>C163</v>
          </cell>
          <cell r="D211" t="str">
            <v>MOHAMMED SAHEED A.K</v>
          </cell>
          <cell r="E211" t="str">
            <v>D</v>
          </cell>
          <cell r="F211" t="str">
            <v>SENIOR</v>
          </cell>
          <cell r="G211">
            <v>7</v>
          </cell>
          <cell r="H211">
            <v>0</v>
          </cell>
          <cell r="I211">
            <v>0</v>
          </cell>
          <cell r="J211">
            <v>0</v>
          </cell>
          <cell r="K211">
            <v>1</v>
          </cell>
        </row>
        <row r="212">
          <cell r="C212" t="str">
            <v>C164</v>
          </cell>
          <cell r="D212" t="str">
            <v>AHMED FAHEEM MA</v>
          </cell>
          <cell r="E212" t="str">
            <v>A</v>
          </cell>
          <cell r="F212" t="str">
            <v>SENIOR</v>
          </cell>
          <cell r="G212">
            <v>7</v>
          </cell>
          <cell r="H212">
            <v>0</v>
          </cell>
          <cell r="I212">
            <v>0</v>
          </cell>
          <cell r="J212">
            <v>0</v>
          </cell>
          <cell r="K212">
            <v>1</v>
          </cell>
        </row>
        <row r="213">
          <cell r="C213" t="str">
            <v>C165</v>
          </cell>
          <cell r="D213" t="str">
            <v>MUHAMMAD IBN AHMAD</v>
          </cell>
          <cell r="E213" t="str">
            <v>D</v>
          </cell>
          <cell r="F213" t="str">
            <v>SENIOR</v>
          </cell>
          <cell r="G213">
            <v>7</v>
          </cell>
          <cell r="H213">
            <v>0</v>
          </cell>
          <cell r="I213">
            <v>0</v>
          </cell>
          <cell r="J213">
            <v>0</v>
          </cell>
          <cell r="K213">
            <v>1</v>
          </cell>
        </row>
        <row r="214">
          <cell r="C214" t="str">
            <v>C166</v>
          </cell>
          <cell r="D214" t="str">
            <v>RESWAN</v>
          </cell>
          <cell r="E214" t="str">
            <v>B</v>
          </cell>
          <cell r="F214" t="str">
            <v>SENIOR</v>
          </cell>
          <cell r="G214">
            <v>7</v>
          </cell>
          <cell r="H214">
            <v>0</v>
          </cell>
          <cell r="I214">
            <v>0</v>
          </cell>
          <cell r="J214">
            <v>0</v>
          </cell>
          <cell r="K214">
            <v>1</v>
          </cell>
        </row>
        <row r="215">
          <cell r="C215" t="str">
            <v>C167</v>
          </cell>
          <cell r="D215" t="str">
            <v>MUHAMMED MUJTHABA MK</v>
          </cell>
          <cell r="E215" t="str">
            <v>D</v>
          </cell>
          <cell r="F215" t="str">
            <v>SENIOR</v>
          </cell>
          <cell r="G215">
            <v>7</v>
          </cell>
          <cell r="H215">
            <v>0</v>
          </cell>
          <cell r="I215">
            <v>0</v>
          </cell>
          <cell r="J215">
            <v>0</v>
          </cell>
          <cell r="K215">
            <v>1</v>
          </cell>
        </row>
        <row r="216">
          <cell r="C216" t="str">
            <v>C168</v>
          </cell>
          <cell r="D216" t="str">
            <v>MUHAMMED SHAHAN P.S</v>
          </cell>
          <cell r="E216" t="str">
            <v>A</v>
          </cell>
          <cell r="F216" t="str">
            <v>SENIOR</v>
          </cell>
          <cell r="G216">
            <v>7</v>
          </cell>
          <cell r="H216">
            <v>0</v>
          </cell>
          <cell r="I216">
            <v>0</v>
          </cell>
          <cell r="J216">
            <v>0</v>
          </cell>
          <cell r="K216">
            <v>1</v>
          </cell>
        </row>
        <row r="217">
          <cell r="C217" t="str">
            <v>C169</v>
          </cell>
          <cell r="D217" t="str">
            <v>MOHAMMED THAJUDDEEN A R P</v>
          </cell>
          <cell r="E217" t="str">
            <v>C</v>
          </cell>
          <cell r="F217" t="str">
            <v>SENIOR</v>
          </cell>
          <cell r="G217">
            <v>7</v>
          </cell>
          <cell r="H217">
            <v>0</v>
          </cell>
          <cell r="I217">
            <v>0</v>
          </cell>
          <cell r="J217">
            <v>0</v>
          </cell>
          <cell r="K217">
            <v>1</v>
          </cell>
        </row>
        <row r="218">
          <cell r="C218" t="str">
            <v>C170</v>
          </cell>
          <cell r="D218" t="str">
            <v>RUMAIZALI R IBRAHIM</v>
          </cell>
          <cell r="E218" t="str">
            <v>C</v>
          </cell>
          <cell r="F218" t="str">
            <v>SENIOR</v>
          </cell>
          <cell r="G218">
            <v>7</v>
          </cell>
          <cell r="H218">
            <v>0</v>
          </cell>
          <cell r="I218">
            <v>0</v>
          </cell>
          <cell r="J218">
            <v>0</v>
          </cell>
          <cell r="K218">
            <v>1</v>
          </cell>
        </row>
        <row r="219">
          <cell r="C219" t="str">
            <v>C171</v>
          </cell>
          <cell r="D219" t="str">
            <v>MUHAMMED THASLEEM</v>
          </cell>
          <cell r="E219" t="str">
            <v>C</v>
          </cell>
          <cell r="F219" t="str">
            <v>SENIOR</v>
          </cell>
          <cell r="G219">
            <v>7</v>
          </cell>
          <cell r="H219">
            <v>0</v>
          </cell>
          <cell r="I219">
            <v>0</v>
          </cell>
          <cell r="J219">
            <v>0</v>
          </cell>
          <cell r="K219">
            <v>1</v>
          </cell>
        </row>
        <row r="220">
          <cell r="C220" t="str">
            <v>C172</v>
          </cell>
          <cell r="D220" t="str">
            <v>AHAMED SHAMMAS C.M</v>
          </cell>
          <cell r="E220" t="str">
            <v>B</v>
          </cell>
          <cell r="F220" t="str">
            <v>SENIOR</v>
          </cell>
          <cell r="G220">
            <v>7</v>
          </cell>
          <cell r="H220">
            <v>0</v>
          </cell>
          <cell r="I220">
            <v>0</v>
          </cell>
          <cell r="J220">
            <v>0</v>
          </cell>
          <cell r="K220">
            <v>1</v>
          </cell>
        </row>
        <row r="221">
          <cell r="C221" t="str">
            <v>C173</v>
          </cell>
          <cell r="D221" t="str">
            <v>ABDUL HADIL P.M</v>
          </cell>
          <cell r="E221" t="str">
            <v>A</v>
          </cell>
          <cell r="F221" t="str">
            <v>SENIOR</v>
          </cell>
          <cell r="G221">
            <v>7</v>
          </cell>
          <cell r="H221">
            <v>0</v>
          </cell>
          <cell r="I221">
            <v>0</v>
          </cell>
          <cell r="J221">
            <v>0</v>
          </cell>
          <cell r="K221">
            <v>1</v>
          </cell>
        </row>
        <row r="222">
          <cell r="C222" t="str">
            <v>C174</v>
          </cell>
          <cell r="D222" t="str">
            <v>MUHAMMAD MUSTHAFA K.M</v>
          </cell>
          <cell r="E222" t="str">
            <v>C</v>
          </cell>
          <cell r="F222" t="str">
            <v>SENIOR</v>
          </cell>
          <cell r="G222">
            <v>7</v>
          </cell>
          <cell r="H222">
            <v>0</v>
          </cell>
          <cell r="I222">
            <v>0</v>
          </cell>
          <cell r="J222">
            <v>0</v>
          </cell>
          <cell r="K222">
            <v>1</v>
          </cell>
        </row>
        <row r="223">
          <cell r="C223" t="str">
            <v>C175</v>
          </cell>
          <cell r="D223" t="str">
            <v>ABDULLAH MAZIN</v>
          </cell>
          <cell r="E223" t="str">
            <v>D</v>
          </cell>
          <cell r="F223" t="str">
            <v>SENIOR</v>
          </cell>
          <cell r="G223">
            <v>7</v>
          </cell>
          <cell r="H223">
            <v>0</v>
          </cell>
          <cell r="I223">
            <v>0</v>
          </cell>
          <cell r="J223">
            <v>0</v>
          </cell>
          <cell r="K223">
            <v>1</v>
          </cell>
        </row>
        <row r="224">
          <cell r="C224" t="str">
            <v>C176</v>
          </cell>
          <cell r="D224" t="str">
            <v>MUHAMMED T A</v>
          </cell>
          <cell r="E224" t="str">
            <v>A</v>
          </cell>
          <cell r="F224" t="str">
            <v>SENIOR</v>
          </cell>
          <cell r="G224">
            <v>7</v>
          </cell>
          <cell r="H224">
            <v>0</v>
          </cell>
          <cell r="I224">
            <v>0</v>
          </cell>
          <cell r="J224">
            <v>0</v>
          </cell>
          <cell r="K224">
            <v>1</v>
          </cell>
        </row>
        <row r="225">
          <cell r="C225" t="str">
            <v>C177</v>
          </cell>
          <cell r="D225" t="str">
            <v>MOHAMMED HUSSAIN</v>
          </cell>
          <cell r="E225" t="str">
            <v>B</v>
          </cell>
          <cell r="F225" t="str">
            <v>SENIOR</v>
          </cell>
          <cell r="G225">
            <v>7</v>
          </cell>
          <cell r="H225">
            <v>0</v>
          </cell>
          <cell r="I225">
            <v>0</v>
          </cell>
          <cell r="J225">
            <v>0</v>
          </cell>
          <cell r="K225">
            <v>1</v>
          </cell>
        </row>
        <row r="226">
          <cell r="C226" t="str">
            <v>C178</v>
          </cell>
          <cell r="D226" t="str">
            <v>MUHAMMED ZAYAN N.S</v>
          </cell>
          <cell r="E226" t="str">
            <v>D</v>
          </cell>
          <cell r="F226" t="str">
            <v>SENIOR</v>
          </cell>
          <cell r="G226">
            <v>7</v>
          </cell>
          <cell r="H226">
            <v>0</v>
          </cell>
          <cell r="I226">
            <v>0</v>
          </cell>
          <cell r="J226">
            <v>0</v>
          </cell>
          <cell r="K226">
            <v>1</v>
          </cell>
        </row>
        <row r="227">
          <cell r="C227" t="str">
            <v>C179</v>
          </cell>
          <cell r="D227" t="str">
            <v>MUHAMMED FARHAN</v>
          </cell>
          <cell r="E227" t="str">
            <v>B</v>
          </cell>
          <cell r="F227" t="str">
            <v>SENIOR</v>
          </cell>
          <cell r="G227">
            <v>7</v>
          </cell>
          <cell r="H227">
            <v>0</v>
          </cell>
          <cell r="I227">
            <v>0</v>
          </cell>
          <cell r="J227">
            <v>0</v>
          </cell>
          <cell r="K227">
            <v>1</v>
          </cell>
        </row>
        <row r="228">
          <cell r="C228" t="str">
            <v>D100</v>
          </cell>
          <cell r="D228" t="str">
            <v>MOHAMMED RAZI</v>
          </cell>
          <cell r="E228" t="str">
            <v>D</v>
          </cell>
          <cell r="F228" t="str">
            <v>SUPER SENIOR</v>
          </cell>
          <cell r="G228">
            <v>8</v>
          </cell>
          <cell r="H228">
            <v>0</v>
          </cell>
          <cell r="I228">
            <v>0</v>
          </cell>
          <cell r="J228">
            <v>0</v>
          </cell>
          <cell r="K228">
            <v>1</v>
          </cell>
        </row>
        <row r="229">
          <cell r="C229" t="str">
            <v>D101</v>
          </cell>
          <cell r="D229" t="str">
            <v>MOHAMMED AFSAL</v>
          </cell>
          <cell r="E229" t="str">
            <v>D</v>
          </cell>
          <cell r="F229" t="str">
            <v>SUPER SENIOR</v>
          </cell>
          <cell r="G229">
            <v>8</v>
          </cell>
          <cell r="H229">
            <v>0</v>
          </cell>
          <cell r="I229">
            <v>0</v>
          </cell>
          <cell r="J229">
            <v>0</v>
          </cell>
          <cell r="K229">
            <v>1</v>
          </cell>
        </row>
        <row r="230">
          <cell r="C230" t="str">
            <v>D102</v>
          </cell>
          <cell r="D230" t="str">
            <v>JALALUDHEEN K</v>
          </cell>
          <cell r="E230" t="str">
            <v>B</v>
          </cell>
          <cell r="F230" t="str">
            <v>SUPER SENIOR</v>
          </cell>
          <cell r="G230">
            <v>8</v>
          </cell>
          <cell r="H230">
            <v>0</v>
          </cell>
          <cell r="I230">
            <v>0</v>
          </cell>
          <cell r="J230">
            <v>0</v>
          </cell>
          <cell r="K230">
            <v>1</v>
          </cell>
        </row>
        <row r="231">
          <cell r="C231" t="str">
            <v>D103</v>
          </cell>
          <cell r="D231" t="str">
            <v>MUHAMMAD RAZI</v>
          </cell>
          <cell r="E231" t="str">
            <v>B</v>
          </cell>
          <cell r="F231" t="str">
            <v>SUPER SENIOR</v>
          </cell>
          <cell r="G231">
            <v>8</v>
          </cell>
          <cell r="H231">
            <v>0</v>
          </cell>
          <cell r="I231">
            <v>0</v>
          </cell>
          <cell r="J231">
            <v>0</v>
          </cell>
          <cell r="K231">
            <v>1</v>
          </cell>
        </row>
        <row r="232">
          <cell r="C232" t="str">
            <v>D104</v>
          </cell>
          <cell r="D232" t="str">
            <v>MUHAMMAD SHANEED.</v>
          </cell>
          <cell r="E232" t="str">
            <v>D</v>
          </cell>
          <cell r="F232" t="str">
            <v>SUPER SENIOR</v>
          </cell>
          <cell r="G232">
            <v>8</v>
          </cell>
          <cell r="H232">
            <v>0</v>
          </cell>
          <cell r="I232">
            <v>0</v>
          </cell>
          <cell r="J232">
            <v>0</v>
          </cell>
          <cell r="K232">
            <v>1</v>
          </cell>
        </row>
        <row r="233">
          <cell r="C233" t="str">
            <v>D105</v>
          </cell>
          <cell r="D233" t="str">
            <v>ABDUL WADHOOD</v>
          </cell>
          <cell r="E233" t="str">
            <v>A</v>
          </cell>
          <cell r="F233" t="str">
            <v>SUPER SENIOR</v>
          </cell>
          <cell r="G233">
            <v>8</v>
          </cell>
          <cell r="H233">
            <v>0</v>
          </cell>
          <cell r="I233">
            <v>0</v>
          </cell>
          <cell r="J233">
            <v>0</v>
          </cell>
          <cell r="K233">
            <v>1</v>
          </cell>
        </row>
        <row r="234">
          <cell r="C234" t="str">
            <v>D106</v>
          </cell>
          <cell r="D234" t="str">
            <v>MOHAMMED SHAMMAS S.I</v>
          </cell>
          <cell r="E234" t="str">
            <v>B</v>
          </cell>
          <cell r="F234" t="str">
            <v>SUPER SENIOR</v>
          </cell>
          <cell r="G234">
            <v>8</v>
          </cell>
          <cell r="H234">
            <v>0</v>
          </cell>
          <cell r="I234">
            <v>0</v>
          </cell>
          <cell r="J234">
            <v>0</v>
          </cell>
          <cell r="K234">
            <v>1</v>
          </cell>
        </row>
        <row r="235">
          <cell r="C235" t="str">
            <v>D107</v>
          </cell>
          <cell r="D235" t="str">
            <v>AHMMED HASHIM M</v>
          </cell>
          <cell r="E235" t="str">
            <v>B</v>
          </cell>
          <cell r="F235" t="str">
            <v>SUPER SENIOR</v>
          </cell>
          <cell r="G235">
            <v>8</v>
          </cell>
          <cell r="H235">
            <v>0</v>
          </cell>
          <cell r="I235">
            <v>0</v>
          </cell>
          <cell r="J235">
            <v>0</v>
          </cell>
          <cell r="K235">
            <v>1</v>
          </cell>
        </row>
        <row r="236">
          <cell r="C236" t="str">
            <v>D108</v>
          </cell>
          <cell r="D236" t="str">
            <v>MOHAMMED HASHIR</v>
          </cell>
          <cell r="F236" t="str">
            <v>SUPER SENIOR</v>
          </cell>
          <cell r="G236">
            <v>8</v>
          </cell>
          <cell r="H236">
            <v>0</v>
          </cell>
          <cell r="I236">
            <v>0</v>
          </cell>
          <cell r="J236">
            <v>0</v>
          </cell>
          <cell r="K236">
            <v>1</v>
          </cell>
        </row>
        <row r="237">
          <cell r="C237" t="str">
            <v>D109</v>
          </cell>
          <cell r="D237" t="str">
            <v>AHAMMED AJEER</v>
          </cell>
          <cell r="E237" t="str">
            <v>C</v>
          </cell>
          <cell r="F237" t="str">
            <v>SUPER SENIOR</v>
          </cell>
          <cell r="G237">
            <v>8</v>
          </cell>
          <cell r="H237">
            <v>0</v>
          </cell>
          <cell r="I237">
            <v>0</v>
          </cell>
          <cell r="J237">
            <v>0</v>
          </cell>
          <cell r="K237">
            <v>1</v>
          </cell>
        </row>
        <row r="238">
          <cell r="C238" t="str">
            <v>D110</v>
          </cell>
          <cell r="D238" t="str">
            <v>ABBAS AZNAB M.A</v>
          </cell>
          <cell r="E238" t="str">
            <v>C</v>
          </cell>
          <cell r="F238" t="str">
            <v>SUPER SENIOR</v>
          </cell>
          <cell r="G238">
            <v>8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</row>
        <row r="239">
          <cell r="C239" t="str">
            <v>D111</v>
          </cell>
          <cell r="D239" t="str">
            <v>MAHAMMED SHAMEEL</v>
          </cell>
          <cell r="E239" t="str">
            <v>D</v>
          </cell>
          <cell r="F239" t="str">
            <v>SUPER SENIOR</v>
          </cell>
          <cell r="G239">
            <v>8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</row>
        <row r="240">
          <cell r="C240" t="str">
            <v>D112</v>
          </cell>
          <cell r="D240" t="str">
            <v>AMEEN ABDULLA</v>
          </cell>
          <cell r="E240" t="str">
            <v>A</v>
          </cell>
          <cell r="F240" t="str">
            <v>SUPER SENIOR</v>
          </cell>
          <cell r="G240">
            <v>8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</row>
        <row r="241">
          <cell r="C241" t="str">
            <v>D113</v>
          </cell>
          <cell r="D241" t="str">
            <v>ZULFIKARALI</v>
          </cell>
          <cell r="E241" t="str">
            <v>D</v>
          </cell>
          <cell r="F241" t="str">
            <v>SUPER SENIOR</v>
          </cell>
          <cell r="G241">
            <v>8</v>
          </cell>
          <cell r="H241">
            <v>0</v>
          </cell>
          <cell r="I241">
            <v>0</v>
          </cell>
          <cell r="J241">
            <v>0</v>
          </cell>
          <cell r="K241">
            <v>1</v>
          </cell>
        </row>
        <row r="242">
          <cell r="C242" t="str">
            <v>D114</v>
          </cell>
          <cell r="D242" t="str">
            <v>MUHAMMED ANAS M.N</v>
          </cell>
          <cell r="E242" t="str">
            <v>A</v>
          </cell>
          <cell r="F242" t="str">
            <v>SUPER SENIOR</v>
          </cell>
          <cell r="G242">
            <v>8</v>
          </cell>
          <cell r="H242">
            <v>0</v>
          </cell>
          <cell r="I242">
            <v>0</v>
          </cell>
          <cell r="J242">
            <v>0</v>
          </cell>
          <cell r="K242">
            <v>1</v>
          </cell>
        </row>
        <row r="243">
          <cell r="C243" t="str">
            <v>D115</v>
          </cell>
          <cell r="D243" t="str">
            <v>ABDULLA M HAKEEM</v>
          </cell>
          <cell r="E243" t="str">
            <v>B</v>
          </cell>
          <cell r="F243" t="str">
            <v>SUPER SENIOR</v>
          </cell>
          <cell r="G243">
            <v>8</v>
          </cell>
          <cell r="H243">
            <v>0</v>
          </cell>
          <cell r="I243">
            <v>0</v>
          </cell>
          <cell r="J243">
            <v>0</v>
          </cell>
          <cell r="K243">
            <v>1</v>
          </cell>
        </row>
        <row r="244">
          <cell r="C244" t="str">
            <v>D116</v>
          </cell>
          <cell r="D244" t="str">
            <v>HASSAN SHADDAD UM</v>
          </cell>
          <cell r="E244" t="str">
            <v>D</v>
          </cell>
          <cell r="F244" t="str">
            <v>SUPER SENIOR</v>
          </cell>
          <cell r="G244">
            <v>8</v>
          </cell>
          <cell r="H244">
            <v>0</v>
          </cell>
          <cell r="I244">
            <v>0</v>
          </cell>
          <cell r="J244">
            <v>0</v>
          </cell>
          <cell r="K244">
            <v>1</v>
          </cell>
        </row>
        <row r="245">
          <cell r="C245" t="str">
            <v>D117</v>
          </cell>
          <cell r="D245" t="str">
            <v>MOHAMMED SAHL CS</v>
          </cell>
          <cell r="E245" t="str">
            <v>A</v>
          </cell>
          <cell r="F245" t="str">
            <v>SUPER SENIOR</v>
          </cell>
          <cell r="G245">
            <v>8</v>
          </cell>
          <cell r="H245">
            <v>0</v>
          </cell>
          <cell r="I245">
            <v>0</v>
          </cell>
          <cell r="J245">
            <v>0</v>
          </cell>
          <cell r="K245">
            <v>1</v>
          </cell>
        </row>
        <row r="246">
          <cell r="C246" t="str">
            <v>D118</v>
          </cell>
          <cell r="D246" t="str">
            <v>MOHAMMAD KHALANDAR ZIYAD</v>
          </cell>
          <cell r="E246" t="str">
            <v>C</v>
          </cell>
          <cell r="F246" t="str">
            <v>SUPER SENIOR</v>
          </cell>
          <cell r="G246">
            <v>8</v>
          </cell>
          <cell r="H246">
            <v>0</v>
          </cell>
          <cell r="I246">
            <v>0</v>
          </cell>
          <cell r="J246">
            <v>0</v>
          </cell>
          <cell r="K246">
            <v>1</v>
          </cell>
        </row>
        <row r="247">
          <cell r="C247" t="str">
            <v>D119</v>
          </cell>
          <cell r="D247" t="str">
            <v>ABU THAHIR</v>
          </cell>
          <cell r="E247" t="str">
            <v>C</v>
          </cell>
          <cell r="F247" t="str">
            <v>SUPER SENIOR</v>
          </cell>
          <cell r="G247">
            <v>8</v>
          </cell>
          <cell r="H247">
            <v>0</v>
          </cell>
          <cell r="I247">
            <v>0</v>
          </cell>
          <cell r="J247">
            <v>0</v>
          </cell>
          <cell r="K247">
            <v>1</v>
          </cell>
        </row>
        <row r="248">
          <cell r="C248" t="str">
            <v>D120</v>
          </cell>
          <cell r="D248" t="str">
            <v>MUHAMMAD SINAN NP</v>
          </cell>
          <cell r="E248" t="str">
            <v>A</v>
          </cell>
          <cell r="F248" t="str">
            <v>SUPER SENIOR</v>
          </cell>
          <cell r="G248">
            <v>8</v>
          </cell>
          <cell r="H248">
            <v>0</v>
          </cell>
          <cell r="I248">
            <v>0</v>
          </cell>
          <cell r="J248">
            <v>0</v>
          </cell>
          <cell r="K248">
            <v>1</v>
          </cell>
        </row>
        <row r="249">
          <cell r="C249" t="str">
            <v>D121</v>
          </cell>
          <cell r="D249" t="str">
            <v>ABDUL RAHMAN MUNZIR</v>
          </cell>
          <cell r="E249" t="str">
            <v>B</v>
          </cell>
          <cell r="F249" t="str">
            <v>SUPER SENIOR</v>
          </cell>
          <cell r="G249">
            <v>8</v>
          </cell>
          <cell r="H249">
            <v>0</v>
          </cell>
          <cell r="I249">
            <v>0</v>
          </cell>
          <cell r="J249">
            <v>0</v>
          </cell>
          <cell r="K249">
            <v>1</v>
          </cell>
        </row>
        <row r="250">
          <cell r="C250" t="str">
            <v>D122</v>
          </cell>
          <cell r="D250" t="str">
            <v>MUHAMMED MUZAMMIL P.M</v>
          </cell>
          <cell r="F250" t="str">
            <v>SUPER SENIOR</v>
          </cell>
          <cell r="G250">
            <v>8</v>
          </cell>
          <cell r="H250">
            <v>0</v>
          </cell>
          <cell r="I250">
            <v>0</v>
          </cell>
          <cell r="J250">
            <v>0</v>
          </cell>
          <cell r="K250">
            <v>1</v>
          </cell>
        </row>
        <row r="251">
          <cell r="C251" t="str">
            <v>D123</v>
          </cell>
          <cell r="D251" t="str">
            <v>MOHAMMED SALIH</v>
          </cell>
          <cell r="E251" t="str">
            <v>D</v>
          </cell>
          <cell r="F251" t="str">
            <v>SUPER SENIOR</v>
          </cell>
          <cell r="G251">
            <v>8</v>
          </cell>
          <cell r="H251">
            <v>0</v>
          </cell>
          <cell r="I251">
            <v>0</v>
          </cell>
          <cell r="J251">
            <v>0</v>
          </cell>
          <cell r="K251">
            <v>1</v>
          </cell>
        </row>
        <row r="252">
          <cell r="C252" t="str">
            <v>D124</v>
          </cell>
          <cell r="D252" t="str">
            <v>MUHAMMED SUFAZ P</v>
          </cell>
          <cell r="E252" t="str">
            <v>C</v>
          </cell>
          <cell r="F252" t="str">
            <v>SUPER SENIOR</v>
          </cell>
          <cell r="G252">
            <v>8</v>
          </cell>
          <cell r="H252">
            <v>0</v>
          </cell>
          <cell r="I252">
            <v>0</v>
          </cell>
          <cell r="J252">
            <v>0</v>
          </cell>
          <cell r="K252">
            <v>1</v>
          </cell>
        </row>
        <row r="253">
          <cell r="C253" t="str">
            <v>D125</v>
          </cell>
          <cell r="D253" t="str">
            <v>SAYYAD MOHAMMED VASIL</v>
          </cell>
          <cell r="E253" t="str">
            <v>B</v>
          </cell>
          <cell r="F253" t="str">
            <v>SUPER SENIOR</v>
          </cell>
          <cell r="G253">
            <v>8</v>
          </cell>
          <cell r="H253">
            <v>0</v>
          </cell>
          <cell r="I253">
            <v>0</v>
          </cell>
          <cell r="J253">
            <v>0</v>
          </cell>
          <cell r="K253">
            <v>1</v>
          </cell>
        </row>
        <row r="254">
          <cell r="C254" t="str">
            <v>D126</v>
          </cell>
          <cell r="D254" t="str">
            <v>MUHAMMED MIDHLAJ KK</v>
          </cell>
          <cell r="E254" t="str">
            <v>C</v>
          </cell>
          <cell r="F254" t="str">
            <v>SUPER SENIOR</v>
          </cell>
          <cell r="G254">
            <v>8</v>
          </cell>
          <cell r="H254">
            <v>0</v>
          </cell>
          <cell r="I254">
            <v>0</v>
          </cell>
          <cell r="J254">
            <v>0</v>
          </cell>
          <cell r="K254">
            <v>1</v>
          </cell>
        </row>
        <row r="255">
          <cell r="C255" t="str">
            <v>D127</v>
          </cell>
          <cell r="D255" t="str">
            <v>SHADIN G</v>
          </cell>
          <cell r="E255" t="str">
            <v>A</v>
          </cell>
          <cell r="F255" t="str">
            <v>SUPER SENIOR</v>
          </cell>
          <cell r="G255">
            <v>8</v>
          </cell>
          <cell r="H255">
            <v>0</v>
          </cell>
          <cell r="I255">
            <v>0</v>
          </cell>
          <cell r="J255">
            <v>0</v>
          </cell>
          <cell r="K255">
            <v>1</v>
          </cell>
        </row>
        <row r="256">
          <cell r="C256" t="str">
            <v>D128</v>
          </cell>
          <cell r="D256" t="str">
            <v>MEHAZIN AMAN T</v>
          </cell>
          <cell r="E256" t="str">
            <v>A</v>
          </cell>
          <cell r="F256" t="str">
            <v>SUPER SENIOR</v>
          </cell>
          <cell r="G256">
            <v>8</v>
          </cell>
          <cell r="H256">
            <v>0</v>
          </cell>
          <cell r="I256">
            <v>0</v>
          </cell>
          <cell r="J256">
            <v>0</v>
          </cell>
          <cell r="K256">
            <v>1</v>
          </cell>
        </row>
        <row r="257">
          <cell r="C257" t="str">
            <v>D129</v>
          </cell>
          <cell r="D257" t="str">
            <v>MUHAMMED UNAIS CK</v>
          </cell>
          <cell r="E257" t="str">
            <v>C</v>
          </cell>
          <cell r="F257" t="str">
            <v>SUPER SENIOR</v>
          </cell>
          <cell r="G257">
            <v>8</v>
          </cell>
          <cell r="H257">
            <v>0</v>
          </cell>
          <cell r="I257">
            <v>0</v>
          </cell>
          <cell r="J257">
            <v>0</v>
          </cell>
          <cell r="K257">
            <v>1</v>
          </cell>
        </row>
        <row r="258">
          <cell r="C258" t="str">
            <v>D130</v>
          </cell>
          <cell r="D258" t="str">
            <v>ZAINUDEEN</v>
          </cell>
          <cell r="E258" t="str">
            <v>B</v>
          </cell>
          <cell r="F258" t="str">
            <v>SUPER SENIOR</v>
          </cell>
          <cell r="G258">
            <v>9</v>
          </cell>
          <cell r="H258">
            <v>0</v>
          </cell>
          <cell r="I258">
            <v>0</v>
          </cell>
          <cell r="J258">
            <v>0</v>
          </cell>
          <cell r="K258">
            <v>1</v>
          </cell>
        </row>
        <row r="259">
          <cell r="C259" t="str">
            <v>D131</v>
          </cell>
          <cell r="D259" t="str">
            <v>MAHAMMAD RIYAZ</v>
          </cell>
          <cell r="E259" t="str">
            <v>B</v>
          </cell>
          <cell r="F259" t="str">
            <v>SUPER SENIOR</v>
          </cell>
          <cell r="G259">
            <v>9</v>
          </cell>
          <cell r="H259">
            <v>0</v>
          </cell>
          <cell r="I259">
            <v>0</v>
          </cell>
          <cell r="J259">
            <v>0</v>
          </cell>
          <cell r="K259">
            <v>1</v>
          </cell>
        </row>
        <row r="260">
          <cell r="C260" t="str">
            <v>D132</v>
          </cell>
          <cell r="D260" t="str">
            <v>ABOOBAKR MA'ROOF</v>
          </cell>
          <cell r="E260" t="str">
            <v>A</v>
          </cell>
          <cell r="F260" t="str">
            <v>SUPER SENIOR</v>
          </cell>
          <cell r="G260">
            <v>9</v>
          </cell>
          <cell r="H260">
            <v>0</v>
          </cell>
          <cell r="I260">
            <v>0</v>
          </cell>
          <cell r="J260">
            <v>0</v>
          </cell>
          <cell r="K260">
            <v>1</v>
          </cell>
        </row>
        <row r="261">
          <cell r="C261" t="str">
            <v>D133</v>
          </cell>
          <cell r="D261" t="str">
            <v>MOHAMMED SHAMSHEER</v>
          </cell>
          <cell r="E261" t="str">
            <v>A</v>
          </cell>
          <cell r="F261" t="str">
            <v>SUPER SENIOR</v>
          </cell>
          <cell r="G261">
            <v>9</v>
          </cell>
          <cell r="H261">
            <v>0</v>
          </cell>
          <cell r="I261">
            <v>0</v>
          </cell>
          <cell r="J261">
            <v>0</v>
          </cell>
          <cell r="K261">
            <v>1</v>
          </cell>
        </row>
        <row r="262">
          <cell r="C262" t="str">
            <v>D134</v>
          </cell>
          <cell r="D262" t="str">
            <v>AJMAL ANEES</v>
          </cell>
          <cell r="E262" t="str">
            <v>A</v>
          </cell>
          <cell r="F262" t="str">
            <v>SUPER SENIOR</v>
          </cell>
          <cell r="G262">
            <v>9</v>
          </cell>
          <cell r="H262">
            <v>0</v>
          </cell>
          <cell r="I262">
            <v>0</v>
          </cell>
          <cell r="J262">
            <v>0</v>
          </cell>
          <cell r="K262">
            <v>1</v>
          </cell>
        </row>
        <row r="263">
          <cell r="C263" t="str">
            <v>D135</v>
          </cell>
          <cell r="D263" t="str">
            <v>HASHIR HUSSAIN IK</v>
          </cell>
          <cell r="E263" t="str">
            <v>B</v>
          </cell>
          <cell r="F263" t="str">
            <v>SUPER SENIOR</v>
          </cell>
          <cell r="G263">
            <v>9</v>
          </cell>
          <cell r="H263">
            <v>0</v>
          </cell>
          <cell r="I263">
            <v>0</v>
          </cell>
          <cell r="J263">
            <v>0</v>
          </cell>
          <cell r="K263">
            <v>1</v>
          </cell>
        </row>
        <row r="264">
          <cell r="C264" t="str">
            <v>D136</v>
          </cell>
          <cell r="D264" t="str">
            <v>MUHAMMED ASBAQUE</v>
          </cell>
          <cell r="E264" t="str">
            <v>D</v>
          </cell>
          <cell r="F264" t="str">
            <v>SUPER SENIOR</v>
          </cell>
          <cell r="G264">
            <v>9</v>
          </cell>
          <cell r="H264">
            <v>0</v>
          </cell>
          <cell r="I264">
            <v>0</v>
          </cell>
          <cell r="J264">
            <v>0</v>
          </cell>
          <cell r="K264">
            <v>1</v>
          </cell>
        </row>
        <row r="265">
          <cell r="C265" t="str">
            <v>D137</v>
          </cell>
          <cell r="D265" t="str">
            <v>AYYOOB V.N</v>
          </cell>
          <cell r="E265" t="str">
            <v>C</v>
          </cell>
          <cell r="F265" t="str">
            <v>SUPER SENIOR</v>
          </cell>
          <cell r="G265">
            <v>9</v>
          </cell>
          <cell r="H265">
            <v>0</v>
          </cell>
          <cell r="I265">
            <v>0</v>
          </cell>
          <cell r="J265">
            <v>0</v>
          </cell>
          <cell r="K265">
            <v>1</v>
          </cell>
        </row>
        <row r="266">
          <cell r="C266" t="str">
            <v>D138</v>
          </cell>
          <cell r="D266" t="str">
            <v>MOHAMMED JAWAD A</v>
          </cell>
          <cell r="E266" t="str">
            <v>A</v>
          </cell>
          <cell r="F266" t="str">
            <v>SUPER SENIOR</v>
          </cell>
          <cell r="G266">
            <v>9</v>
          </cell>
          <cell r="H266">
            <v>0</v>
          </cell>
          <cell r="I266">
            <v>0</v>
          </cell>
          <cell r="J266">
            <v>0</v>
          </cell>
          <cell r="K266">
            <v>1</v>
          </cell>
        </row>
        <row r="267">
          <cell r="C267" t="str">
            <v>D139</v>
          </cell>
          <cell r="D267" t="str">
            <v>AHAMMED MUBARAK KA</v>
          </cell>
          <cell r="E267" t="str">
            <v>D</v>
          </cell>
          <cell r="F267" t="str">
            <v>SUPER SENIOR</v>
          </cell>
          <cell r="G267">
            <v>9</v>
          </cell>
          <cell r="H267">
            <v>0</v>
          </cell>
          <cell r="I267">
            <v>0</v>
          </cell>
          <cell r="J267">
            <v>0</v>
          </cell>
          <cell r="K267">
            <v>1</v>
          </cell>
        </row>
        <row r="268">
          <cell r="C268" t="str">
            <v>D140</v>
          </cell>
          <cell r="D268" t="str">
            <v>MUHAMMED FAISAL A K</v>
          </cell>
          <cell r="E268" t="str">
            <v>B</v>
          </cell>
          <cell r="F268" t="str">
            <v>SUPER SENIOR</v>
          </cell>
          <cell r="G268">
            <v>9</v>
          </cell>
          <cell r="H268">
            <v>0</v>
          </cell>
          <cell r="I268">
            <v>0</v>
          </cell>
          <cell r="J268">
            <v>0</v>
          </cell>
          <cell r="K268">
            <v>1</v>
          </cell>
        </row>
        <row r="269">
          <cell r="C269" t="str">
            <v>D141</v>
          </cell>
          <cell r="D269" t="str">
            <v>MUHAMMAD MUSTHAFA P.K</v>
          </cell>
          <cell r="E269" t="str">
            <v>C</v>
          </cell>
          <cell r="F269" t="str">
            <v>SUPER SENIOR</v>
          </cell>
          <cell r="G269">
            <v>9</v>
          </cell>
          <cell r="H269">
            <v>0</v>
          </cell>
          <cell r="I269">
            <v>0</v>
          </cell>
          <cell r="J269">
            <v>0</v>
          </cell>
          <cell r="K269">
            <v>1</v>
          </cell>
        </row>
        <row r="270">
          <cell r="C270" t="str">
            <v>D142</v>
          </cell>
          <cell r="D270" t="str">
            <v>ISHAM V.K</v>
          </cell>
          <cell r="E270" t="str">
            <v>A</v>
          </cell>
          <cell r="F270" t="str">
            <v>SUPER SENIOR</v>
          </cell>
          <cell r="G270">
            <v>9</v>
          </cell>
          <cell r="H270">
            <v>0</v>
          </cell>
          <cell r="I270">
            <v>0</v>
          </cell>
          <cell r="J270">
            <v>0</v>
          </cell>
          <cell r="K270">
            <v>1</v>
          </cell>
        </row>
        <row r="271">
          <cell r="C271" t="str">
            <v>D143</v>
          </cell>
          <cell r="D271" t="str">
            <v>MUHAMMED MA</v>
          </cell>
          <cell r="E271" t="str">
            <v>C</v>
          </cell>
          <cell r="F271" t="str">
            <v>SUPER SENIOR</v>
          </cell>
          <cell r="G271">
            <v>9</v>
          </cell>
          <cell r="H271">
            <v>0</v>
          </cell>
          <cell r="I271">
            <v>0</v>
          </cell>
          <cell r="J271">
            <v>0</v>
          </cell>
          <cell r="K271">
            <v>1</v>
          </cell>
        </row>
        <row r="272">
          <cell r="C272" t="str">
            <v>D144</v>
          </cell>
          <cell r="D272" t="str">
            <v>MUHAMMED RASHAD KA</v>
          </cell>
          <cell r="E272" t="str">
            <v>D</v>
          </cell>
          <cell r="F272" t="str">
            <v>SUPER SENIOR</v>
          </cell>
          <cell r="G272">
            <v>9</v>
          </cell>
          <cell r="H272">
            <v>0</v>
          </cell>
          <cell r="I272">
            <v>0</v>
          </cell>
          <cell r="J272">
            <v>0</v>
          </cell>
          <cell r="K272">
            <v>1</v>
          </cell>
        </row>
        <row r="273">
          <cell r="C273" t="str">
            <v>D145</v>
          </cell>
          <cell r="D273" t="str">
            <v>ABBAS ARFAS O.R</v>
          </cell>
          <cell r="E273" t="str">
            <v>C</v>
          </cell>
          <cell r="F273" t="str">
            <v>SUPER SENIOR</v>
          </cell>
          <cell r="G273">
            <v>9</v>
          </cell>
          <cell r="H273">
            <v>0</v>
          </cell>
          <cell r="I273">
            <v>0</v>
          </cell>
          <cell r="J273">
            <v>0</v>
          </cell>
          <cell r="K273">
            <v>1</v>
          </cell>
        </row>
        <row r="274">
          <cell r="C274" t="str">
            <v>D146</v>
          </cell>
          <cell r="D274" t="str">
            <v>ABDUL YOUNUS</v>
          </cell>
          <cell r="E274" t="str">
            <v>B</v>
          </cell>
          <cell r="F274" t="str">
            <v>SUPER SENIOR</v>
          </cell>
          <cell r="G274">
            <v>9</v>
          </cell>
          <cell r="H274">
            <v>0</v>
          </cell>
          <cell r="I274">
            <v>0</v>
          </cell>
          <cell r="J274">
            <v>0</v>
          </cell>
          <cell r="K274">
            <v>1</v>
          </cell>
        </row>
        <row r="275">
          <cell r="C275" t="str">
            <v>D147</v>
          </cell>
          <cell r="D275" t="str">
            <v>MOHAMMED SHAHZAN T.K</v>
          </cell>
          <cell r="E275" t="str">
            <v>A</v>
          </cell>
          <cell r="F275" t="str">
            <v>SUPER SENIOR</v>
          </cell>
          <cell r="G275">
            <v>9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</row>
        <row r="276">
          <cell r="C276" t="str">
            <v>D148</v>
          </cell>
          <cell r="D276" t="str">
            <v>UMARUL FAROOK K .K</v>
          </cell>
          <cell r="E276" t="str">
            <v>B</v>
          </cell>
          <cell r="F276" t="str">
            <v>SUPER SENIOR</v>
          </cell>
          <cell r="G276">
            <v>9</v>
          </cell>
          <cell r="H276">
            <v>0</v>
          </cell>
          <cell r="I276">
            <v>0</v>
          </cell>
          <cell r="J276">
            <v>0</v>
          </cell>
          <cell r="K276">
            <v>1</v>
          </cell>
        </row>
        <row r="277">
          <cell r="C277" t="str">
            <v>D149</v>
          </cell>
          <cell r="D277" t="str">
            <v>MOHAMMED MARZOOK AM</v>
          </cell>
          <cell r="E277" t="str">
            <v>D</v>
          </cell>
          <cell r="F277" t="str">
            <v>SUPER SENIOR</v>
          </cell>
          <cell r="G277">
            <v>9</v>
          </cell>
          <cell r="H277">
            <v>0</v>
          </cell>
          <cell r="I277">
            <v>0</v>
          </cell>
          <cell r="J277">
            <v>0</v>
          </cell>
          <cell r="K277">
            <v>1</v>
          </cell>
        </row>
        <row r="278">
          <cell r="C278" t="str">
            <v>D150</v>
          </cell>
          <cell r="D278" t="str">
            <v>ABDUL KHADER</v>
          </cell>
          <cell r="E278" t="str">
            <v>B</v>
          </cell>
          <cell r="F278" t="str">
            <v>SUPER SENIOR</v>
          </cell>
          <cell r="G278">
            <v>9</v>
          </cell>
          <cell r="H278">
            <v>0</v>
          </cell>
          <cell r="I278">
            <v>0</v>
          </cell>
          <cell r="J278">
            <v>0</v>
          </cell>
          <cell r="K278">
            <v>1</v>
          </cell>
        </row>
        <row r="279">
          <cell r="C279" t="str">
            <v>D151</v>
          </cell>
          <cell r="D279" t="str">
            <v>MUHAMMED SHANAVAS M.A</v>
          </cell>
          <cell r="E279" t="str">
            <v>D</v>
          </cell>
          <cell r="F279" t="str">
            <v>SUPER SENIOR</v>
          </cell>
          <cell r="G279">
            <v>9</v>
          </cell>
          <cell r="H279">
            <v>0</v>
          </cell>
          <cell r="I279">
            <v>0</v>
          </cell>
          <cell r="J279">
            <v>0</v>
          </cell>
          <cell r="K279">
            <v>1</v>
          </cell>
        </row>
        <row r="280">
          <cell r="C280" t="str">
            <v>D152</v>
          </cell>
          <cell r="D280" t="str">
            <v>MOHAMMAD ISMAIL SINAN KM</v>
          </cell>
          <cell r="E280" t="str">
            <v>B</v>
          </cell>
          <cell r="F280" t="str">
            <v>SUPER SENIOR</v>
          </cell>
          <cell r="G280">
            <v>9</v>
          </cell>
          <cell r="H280">
            <v>0</v>
          </cell>
          <cell r="I280">
            <v>0</v>
          </cell>
          <cell r="J280">
            <v>0</v>
          </cell>
          <cell r="K280">
            <v>1</v>
          </cell>
        </row>
        <row r="281">
          <cell r="C281" t="str">
            <v>D153</v>
          </cell>
          <cell r="D281" t="str">
            <v>MUHAMMED UNAIS PT</v>
          </cell>
          <cell r="E281" t="str">
            <v>D</v>
          </cell>
          <cell r="F281" t="str">
            <v>SUPER SENIOR</v>
          </cell>
          <cell r="G281">
            <v>9</v>
          </cell>
          <cell r="H281">
            <v>0</v>
          </cell>
          <cell r="I281">
            <v>0</v>
          </cell>
          <cell r="J281">
            <v>0</v>
          </cell>
          <cell r="K281">
            <v>1</v>
          </cell>
        </row>
        <row r="282">
          <cell r="C282" t="str">
            <v>D154</v>
          </cell>
          <cell r="D282" t="str">
            <v>ASHIKK.I</v>
          </cell>
          <cell r="E282" t="str">
            <v>D</v>
          </cell>
          <cell r="F282" t="str">
            <v>SUPER SENIOR</v>
          </cell>
          <cell r="G282">
            <v>9</v>
          </cell>
          <cell r="H282">
            <v>0</v>
          </cell>
          <cell r="I282">
            <v>0</v>
          </cell>
          <cell r="J282">
            <v>0</v>
          </cell>
          <cell r="K282">
            <v>1</v>
          </cell>
        </row>
        <row r="283">
          <cell r="C283" t="str">
            <v>D155</v>
          </cell>
          <cell r="D283" t="str">
            <v>MUHAMMED YASIR K</v>
          </cell>
          <cell r="E283" t="str">
            <v>C</v>
          </cell>
          <cell r="F283" t="str">
            <v>SUPER SENIOR</v>
          </cell>
          <cell r="G283">
            <v>9</v>
          </cell>
          <cell r="H283">
            <v>0</v>
          </cell>
          <cell r="I283">
            <v>0</v>
          </cell>
          <cell r="J283">
            <v>0</v>
          </cell>
          <cell r="K283">
            <v>1</v>
          </cell>
        </row>
        <row r="284">
          <cell r="C284" t="str">
            <v>D156</v>
          </cell>
          <cell r="D284" t="str">
            <v>MUHAMMED BIN ABDUL KADHAR</v>
          </cell>
          <cell r="F284" t="str">
            <v>SUPER SENIOR</v>
          </cell>
          <cell r="G284">
            <v>9</v>
          </cell>
          <cell r="H284">
            <v>0</v>
          </cell>
          <cell r="I284">
            <v>0</v>
          </cell>
          <cell r="J284">
            <v>0</v>
          </cell>
          <cell r="K284">
            <v>1</v>
          </cell>
        </row>
        <row r="285">
          <cell r="C285" t="str">
            <v>D157</v>
          </cell>
          <cell r="D285" t="str">
            <v>MUHAMMAD MUZAMMIL E.A</v>
          </cell>
          <cell r="E285" t="str">
            <v>C</v>
          </cell>
          <cell r="F285" t="str">
            <v>SUPER SENIOR</v>
          </cell>
          <cell r="G285">
            <v>9</v>
          </cell>
          <cell r="H285">
            <v>0</v>
          </cell>
          <cell r="I285">
            <v>0</v>
          </cell>
          <cell r="J285">
            <v>0</v>
          </cell>
          <cell r="K285">
            <v>1</v>
          </cell>
        </row>
        <row r="286">
          <cell r="C286" t="str">
            <v>D158</v>
          </cell>
          <cell r="D286" t="str">
            <v>MUHAMMED UNAIS</v>
          </cell>
          <cell r="F286" t="str">
            <v>SUPER SENIOR</v>
          </cell>
          <cell r="G286">
            <v>9</v>
          </cell>
          <cell r="H286">
            <v>0</v>
          </cell>
          <cell r="I286">
            <v>0</v>
          </cell>
          <cell r="J286">
            <v>0</v>
          </cell>
          <cell r="K286">
            <v>1</v>
          </cell>
        </row>
        <row r="287">
          <cell r="C287" t="str">
            <v>D159</v>
          </cell>
          <cell r="D287" t="str">
            <v>MUHAMMED MUZAMMIL</v>
          </cell>
          <cell r="E287" t="str">
            <v>A</v>
          </cell>
          <cell r="F287" t="str">
            <v>SUPER SENIOR</v>
          </cell>
          <cell r="G287">
            <v>9</v>
          </cell>
          <cell r="H287">
            <v>0</v>
          </cell>
          <cell r="I287">
            <v>0</v>
          </cell>
          <cell r="J287">
            <v>0</v>
          </cell>
          <cell r="K287">
            <v>1</v>
          </cell>
        </row>
        <row r="288">
          <cell r="C288" t="str">
            <v>D160</v>
          </cell>
          <cell r="D288" t="str">
            <v>SALMAN FARIS</v>
          </cell>
          <cell r="E288" t="str">
            <v>D</v>
          </cell>
          <cell r="F288" t="str">
            <v>SUPER SENIOR</v>
          </cell>
          <cell r="G288">
            <v>9</v>
          </cell>
          <cell r="H288">
            <v>0</v>
          </cell>
          <cell r="I288">
            <v>0</v>
          </cell>
          <cell r="J288">
            <v>0</v>
          </cell>
          <cell r="K288">
            <v>1</v>
          </cell>
        </row>
        <row r="289">
          <cell r="C289" t="str">
            <v>D161</v>
          </cell>
          <cell r="D289" t="str">
            <v>MOHAMMED ATHHAR THAYYIB MS</v>
          </cell>
          <cell r="E289" t="str">
            <v>C</v>
          </cell>
          <cell r="F289" t="str">
            <v>SUPER SENIOR</v>
          </cell>
          <cell r="G289">
            <v>9</v>
          </cell>
          <cell r="H289">
            <v>0</v>
          </cell>
          <cell r="I289">
            <v>0</v>
          </cell>
          <cell r="J289">
            <v>0</v>
          </cell>
          <cell r="K289">
            <v>1</v>
          </cell>
        </row>
        <row r="290">
          <cell r="C290" t="str">
            <v>D162</v>
          </cell>
          <cell r="D290" t="str">
            <v>ABDURAHMAN P.H</v>
          </cell>
          <cell r="E290" t="str">
            <v>C</v>
          </cell>
          <cell r="F290" t="str">
            <v>SUPER SENIOR</v>
          </cell>
          <cell r="G290">
            <v>9</v>
          </cell>
          <cell r="H290">
            <v>0</v>
          </cell>
          <cell r="I290">
            <v>0</v>
          </cell>
          <cell r="J290">
            <v>0</v>
          </cell>
          <cell r="K290">
            <v>1</v>
          </cell>
        </row>
        <row r="291">
          <cell r="C291" t="str">
            <v>D163</v>
          </cell>
          <cell r="D291" t="str">
            <v>ABDUL JANIS</v>
          </cell>
          <cell r="E291" t="str">
            <v>A</v>
          </cell>
          <cell r="F291" t="str">
            <v>SUPER SENIOR</v>
          </cell>
          <cell r="G291">
            <v>9</v>
          </cell>
          <cell r="H291">
            <v>0</v>
          </cell>
          <cell r="I291">
            <v>0</v>
          </cell>
          <cell r="J291">
            <v>0</v>
          </cell>
          <cell r="K291">
            <v>1</v>
          </cell>
        </row>
        <row r="292">
          <cell r="C292" t="str">
            <v>D164</v>
          </cell>
          <cell r="D292" t="str">
            <v>AHMED SULTHAN</v>
          </cell>
          <cell r="E292" t="str">
            <v>D</v>
          </cell>
          <cell r="F292" t="str">
            <v>SUPER SENIOR</v>
          </cell>
          <cell r="G292">
            <v>9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</row>
        <row r="293">
          <cell r="C293" t="str">
            <v>D165</v>
          </cell>
          <cell r="D293" t="str">
            <v>AJMAL KI</v>
          </cell>
          <cell r="E293" t="str">
            <v>A</v>
          </cell>
          <cell r="F293" t="str">
            <v>SUPER SENIOR</v>
          </cell>
          <cell r="G293">
            <v>9</v>
          </cell>
          <cell r="H293">
            <v>0</v>
          </cell>
          <cell r="I293">
            <v>0</v>
          </cell>
          <cell r="J293">
            <v>0</v>
          </cell>
          <cell r="K293">
            <v>1</v>
          </cell>
        </row>
        <row r="294">
          <cell r="C294" t="str">
            <v>D166</v>
          </cell>
          <cell r="D294" t="str">
            <v>MOHAMMED IRFAN C</v>
          </cell>
          <cell r="E294" t="str">
            <v>B</v>
          </cell>
          <cell r="F294" t="str">
            <v>SUPER SENIOR</v>
          </cell>
          <cell r="G294">
            <v>9</v>
          </cell>
          <cell r="H294">
            <v>0</v>
          </cell>
          <cell r="I294">
            <v>0</v>
          </cell>
          <cell r="J294">
            <v>0</v>
          </cell>
          <cell r="K294">
            <v>1</v>
          </cell>
        </row>
        <row r="295">
          <cell r="C295" t="str">
            <v>D167</v>
          </cell>
          <cell r="D295" t="str">
            <v>AHMAD BINYAMUL ASHIQUE</v>
          </cell>
          <cell r="E295" t="str">
            <v>D</v>
          </cell>
          <cell r="F295" t="str">
            <v>SUPER SENIOR</v>
          </cell>
          <cell r="G295">
            <v>10</v>
          </cell>
          <cell r="H295">
            <v>0</v>
          </cell>
          <cell r="I295">
            <v>0</v>
          </cell>
          <cell r="J295">
            <v>0</v>
          </cell>
          <cell r="K295">
            <v>1</v>
          </cell>
        </row>
        <row r="296">
          <cell r="C296" t="str">
            <v>D168</v>
          </cell>
          <cell r="D296" t="str">
            <v>MOHAMMED NAFIH KA</v>
          </cell>
          <cell r="E296" t="str">
            <v>A</v>
          </cell>
          <cell r="F296" t="str">
            <v>SUPER SENIOR</v>
          </cell>
          <cell r="G296">
            <v>10</v>
          </cell>
          <cell r="H296">
            <v>0</v>
          </cell>
          <cell r="I296">
            <v>0</v>
          </cell>
          <cell r="J296">
            <v>0</v>
          </cell>
          <cell r="K296">
            <v>1</v>
          </cell>
        </row>
        <row r="297">
          <cell r="C297" t="str">
            <v>D169</v>
          </cell>
          <cell r="D297" t="str">
            <v>MUHAMMED AYIZ</v>
          </cell>
          <cell r="E297" t="str">
            <v>C</v>
          </cell>
          <cell r="F297" t="str">
            <v>SUPER SENIOR</v>
          </cell>
          <cell r="G297">
            <v>10</v>
          </cell>
          <cell r="H297">
            <v>0</v>
          </cell>
          <cell r="I297">
            <v>0</v>
          </cell>
          <cell r="J297">
            <v>0</v>
          </cell>
          <cell r="K297">
            <v>1</v>
          </cell>
        </row>
        <row r="298">
          <cell r="C298" t="str">
            <v>D170</v>
          </cell>
          <cell r="D298" t="str">
            <v>AHMED ADIL B.K</v>
          </cell>
          <cell r="E298" t="str">
            <v>D</v>
          </cell>
          <cell r="F298" t="str">
            <v>SUPER SENIOR</v>
          </cell>
          <cell r="G298">
            <v>10</v>
          </cell>
          <cell r="H298">
            <v>0</v>
          </cell>
          <cell r="I298">
            <v>0</v>
          </cell>
          <cell r="J298">
            <v>0</v>
          </cell>
          <cell r="K298">
            <v>1</v>
          </cell>
        </row>
        <row r="299">
          <cell r="C299" t="str">
            <v>D171</v>
          </cell>
          <cell r="D299" t="str">
            <v>MOHAMMED ANFAHUDEEN T.A</v>
          </cell>
          <cell r="E299" t="str">
            <v>A</v>
          </cell>
          <cell r="F299" t="str">
            <v>SUPER SENIOR</v>
          </cell>
          <cell r="G299">
            <v>10</v>
          </cell>
          <cell r="H299">
            <v>0</v>
          </cell>
          <cell r="I299">
            <v>0</v>
          </cell>
          <cell r="J299">
            <v>0</v>
          </cell>
          <cell r="K299">
            <v>1</v>
          </cell>
        </row>
        <row r="300">
          <cell r="C300" t="str">
            <v>D172</v>
          </cell>
          <cell r="D300" t="str">
            <v>MUHAMMED MUFEED</v>
          </cell>
          <cell r="E300" t="str">
            <v>B</v>
          </cell>
          <cell r="F300" t="str">
            <v>SUPER SENIOR</v>
          </cell>
          <cell r="G300">
            <v>10</v>
          </cell>
          <cell r="H300">
            <v>0</v>
          </cell>
          <cell r="I300">
            <v>0</v>
          </cell>
          <cell r="J300">
            <v>0</v>
          </cell>
          <cell r="K300">
            <v>1</v>
          </cell>
        </row>
        <row r="301">
          <cell r="C301" t="str">
            <v>D173</v>
          </cell>
          <cell r="D301" t="str">
            <v>ABOOBACKER SIDDIK</v>
          </cell>
          <cell r="E301" t="str">
            <v>C</v>
          </cell>
          <cell r="F301" t="str">
            <v>SUPER SENIOR</v>
          </cell>
          <cell r="G301">
            <v>10</v>
          </cell>
          <cell r="H301">
            <v>0</v>
          </cell>
          <cell r="I301">
            <v>0</v>
          </cell>
          <cell r="J301">
            <v>0</v>
          </cell>
          <cell r="K301">
            <v>1</v>
          </cell>
        </row>
        <row r="302">
          <cell r="C302" t="str">
            <v>D174</v>
          </cell>
          <cell r="D302" t="str">
            <v>BADRUDHIN A</v>
          </cell>
          <cell r="E302" t="str">
            <v>C</v>
          </cell>
          <cell r="F302" t="str">
            <v>SUPER SENIOR</v>
          </cell>
          <cell r="G302">
            <v>10</v>
          </cell>
          <cell r="H302">
            <v>0</v>
          </cell>
          <cell r="I302">
            <v>0</v>
          </cell>
          <cell r="J302">
            <v>0</v>
          </cell>
          <cell r="K302">
            <v>1</v>
          </cell>
        </row>
        <row r="303">
          <cell r="C303" t="str">
            <v>D175</v>
          </cell>
          <cell r="D303" t="str">
            <v>AKBAR P</v>
          </cell>
          <cell r="E303" t="str">
            <v>A</v>
          </cell>
          <cell r="F303" t="str">
            <v>SUPER SENIOR</v>
          </cell>
          <cell r="G303">
            <v>10</v>
          </cell>
          <cell r="H303">
            <v>0</v>
          </cell>
          <cell r="I303">
            <v>0</v>
          </cell>
          <cell r="J303">
            <v>0</v>
          </cell>
          <cell r="K303">
            <v>1</v>
          </cell>
        </row>
        <row r="304">
          <cell r="C304" t="str">
            <v>D176</v>
          </cell>
          <cell r="D304" t="str">
            <v>MOHAMMED NASFAR AFNAN H</v>
          </cell>
          <cell r="E304" t="str">
            <v>D</v>
          </cell>
          <cell r="F304" t="str">
            <v>SUPER SENIOR</v>
          </cell>
          <cell r="G304">
            <v>10</v>
          </cell>
          <cell r="H304">
            <v>0</v>
          </cell>
          <cell r="I304">
            <v>0</v>
          </cell>
          <cell r="J304">
            <v>0</v>
          </cell>
          <cell r="K304">
            <v>1</v>
          </cell>
        </row>
        <row r="305">
          <cell r="C305" t="str">
            <v>D177</v>
          </cell>
          <cell r="D305" t="str">
            <v>SHAMEEM ABDULLA P.S</v>
          </cell>
          <cell r="E305" t="str">
            <v>A</v>
          </cell>
          <cell r="F305" t="str">
            <v>SUPER SENIOR</v>
          </cell>
          <cell r="G305">
            <v>10</v>
          </cell>
          <cell r="H305">
            <v>0</v>
          </cell>
          <cell r="I305">
            <v>0</v>
          </cell>
          <cell r="J305">
            <v>0</v>
          </cell>
          <cell r="K305">
            <v>1</v>
          </cell>
        </row>
        <row r="306">
          <cell r="C306" t="str">
            <v>D178</v>
          </cell>
          <cell r="D306" t="str">
            <v>AHMED BK</v>
          </cell>
          <cell r="E306" t="str">
            <v>C</v>
          </cell>
          <cell r="F306" t="str">
            <v>SUPER SENIOR</v>
          </cell>
          <cell r="G306">
            <v>10</v>
          </cell>
          <cell r="H306">
            <v>0</v>
          </cell>
          <cell r="I306">
            <v>0</v>
          </cell>
          <cell r="J306">
            <v>0</v>
          </cell>
          <cell r="K306">
            <v>1</v>
          </cell>
        </row>
        <row r="307">
          <cell r="C307" t="str">
            <v>D179</v>
          </cell>
          <cell r="D307" t="str">
            <v>MUHAMMED AKBAR NP</v>
          </cell>
          <cell r="E307" t="str">
            <v>B</v>
          </cell>
          <cell r="F307" t="str">
            <v>SUPER SENIOR</v>
          </cell>
          <cell r="G307">
            <v>10</v>
          </cell>
          <cell r="H307">
            <v>0</v>
          </cell>
          <cell r="I307">
            <v>0</v>
          </cell>
          <cell r="J307">
            <v>0</v>
          </cell>
          <cell r="K307">
            <v>1</v>
          </cell>
        </row>
        <row r="308">
          <cell r="C308" t="str">
            <v>D180</v>
          </cell>
          <cell r="D308" t="str">
            <v>ATHIF ABDULKHADER</v>
          </cell>
          <cell r="E308" t="str">
            <v>A</v>
          </cell>
          <cell r="F308" t="str">
            <v>SUPER SENIOR</v>
          </cell>
          <cell r="G308">
            <v>10</v>
          </cell>
          <cell r="H308">
            <v>0</v>
          </cell>
          <cell r="I308">
            <v>0</v>
          </cell>
          <cell r="J308">
            <v>0</v>
          </cell>
          <cell r="K308">
            <v>1</v>
          </cell>
        </row>
        <row r="309">
          <cell r="C309" t="str">
            <v>D181</v>
          </cell>
          <cell r="D309" t="str">
            <v>MUHAMMED SAJJAD</v>
          </cell>
          <cell r="E309" t="str">
            <v>B</v>
          </cell>
          <cell r="F309" t="str">
            <v>SUPER SENIOR</v>
          </cell>
          <cell r="G309">
            <v>10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</row>
        <row r="310">
          <cell r="C310" t="str">
            <v>D182</v>
          </cell>
          <cell r="D310" t="str">
            <v>AHAMED ASIF M</v>
          </cell>
          <cell r="E310" t="str">
            <v>D</v>
          </cell>
          <cell r="F310" t="str">
            <v>SUPER SENIOR</v>
          </cell>
          <cell r="G310">
            <v>10</v>
          </cell>
          <cell r="H310">
            <v>0</v>
          </cell>
          <cell r="I310">
            <v>0</v>
          </cell>
          <cell r="J310">
            <v>0</v>
          </cell>
          <cell r="K310">
            <v>1</v>
          </cell>
        </row>
        <row r="311">
          <cell r="C311" t="str">
            <v>D183</v>
          </cell>
          <cell r="D311" t="str">
            <v>MOHAMMAD SWALIH K</v>
          </cell>
          <cell r="E311" t="str">
            <v>B</v>
          </cell>
          <cell r="F311" t="str">
            <v>SUPER SENIOR</v>
          </cell>
          <cell r="G311">
            <v>10</v>
          </cell>
          <cell r="H311">
            <v>0</v>
          </cell>
          <cell r="I311">
            <v>0</v>
          </cell>
          <cell r="J311">
            <v>0</v>
          </cell>
          <cell r="K311">
            <v>1</v>
          </cell>
        </row>
        <row r="312">
          <cell r="C312" t="str">
            <v>D184</v>
          </cell>
          <cell r="D312" t="str">
            <v>YASEEN</v>
          </cell>
          <cell r="E312" t="str">
            <v>A</v>
          </cell>
          <cell r="F312" t="str">
            <v>SUPER SENIOR</v>
          </cell>
          <cell r="G312">
            <v>10</v>
          </cell>
          <cell r="H312">
            <v>0</v>
          </cell>
          <cell r="I312">
            <v>0</v>
          </cell>
          <cell r="J312">
            <v>0</v>
          </cell>
          <cell r="K312">
            <v>1</v>
          </cell>
        </row>
        <row r="313">
          <cell r="C313" t="str">
            <v>D185</v>
          </cell>
          <cell r="D313" t="str">
            <v>MAHAMMED ASHIK</v>
          </cell>
          <cell r="F313" t="str">
            <v>SUPER SENIOR</v>
          </cell>
          <cell r="G313">
            <v>10</v>
          </cell>
          <cell r="H313">
            <v>0</v>
          </cell>
          <cell r="I313">
            <v>0</v>
          </cell>
          <cell r="J313">
            <v>0</v>
          </cell>
          <cell r="K313">
            <v>1</v>
          </cell>
        </row>
        <row r="314">
          <cell r="C314" t="str">
            <v>D186</v>
          </cell>
          <cell r="D314" t="str">
            <v>SALAHUDDEEN AYYOOBI KM</v>
          </cell>
          <cell r="E314" t="str">
            <v>A</v>
          </cell>
          <cell r="F314" t="str">
            <v>SUPER SENIOR</v>
          </cell>
          <cell r="G314">
            <v>10</v>
          </cell>
          <cell r="H314">
            <v>0</v>
          </cell>
          <cell r="I314">
            <v>0</v>
          </cell>
          <cell r="J314">
            <v>0</v>
          </cell>
          <cell r="K314">
            <v>1</v>
          </cell>
        </row>
        <row r="315">
          <cell r="C315" t="str">
            <v>D187</v>
          </cell>
          <cell r="D315" t="str">
            <v>ABDUL RAHMAN</v>
          </cell>
          <cell r="E315" t="str">
            <v>B</v>
          </cell>
          <cell r="F315" t="str">
            <v>SUPER SENIOR</v>
          </cell>
          <cell r="G315">
            <v>10</v>
          </cell>
          <cell r="H315">
            <v>0</v>
          </cell>
          <cell r="I315">
            <v>0</v>
          </cell>
          <cell r="J315">
            <v>0</v>
          </cell>
          <cell r="K315">
            <v>1</v>
          </cell>
        </row>
        <row r="316">
          <cell r="C316" t="str">
            <v>D188</v>
          </cell>
          <cell r="D316" t="str">
            <v>AHMED MANHAL HUSSAIN</v>
          </cell>
          <cell r="E316" t="str">
            <v>A</v>
          </cell>
          <cell r="F316" t="str">
            <v>SUPER SENIOR</v>
          </cell>
          <cell r="G316">
            <v>10</v>
          </cell>
          <cell r="H316">
            <v>0</v>
          </cell>
          <cell r="I316">
            <v>0</v>
          </cell>
          <cell r="J316">
            <v>0</v>
          </cell>
          <cell r="K316">
            <v>1</v>
          </cell>
        </row>
        <row r="317">
          <cell r="C317" t="str">
            <v>D189</v>
          </cell>
          <cell r="D317" t="str">
            <v>ASGAR ALI</v>
          </cell>
          <cell r="E317" t="str">
            <v>C</v>
          </cell>
          <cell r="F317" t="str">
            <v>SUPER SENIOR</v>
          </cell>
          <cell r="G317">
            <v>10</v>
          </cell>
          <cell r="H317">
            <v>0</v>
          </cell>
          <cell r="I317">
            <v>0</v>
          </cell>
          <cell r="J317">
            <v>0</v>
          </cell>
          <cell r="K317">
            <v>1</v>
          </cell>
        </row>
        <row r="318">
          <cell r="C318" t="str">
            <v>D190</v>
          </cell>
          <cell r="D318" t="str">
            <v>MOHAMMED AMEEN B.A</v>
          </cell>
          <cell r="E318" t="str">
            <v>C</v>
          </cell>
          <cell r="F318" t="str">
            <v>SUPER SENIOR</v>
          </cell>
          <cell r="G318">
            <v>10</v>
          </cell>
          <cell r="H318">
            <v>0</v>
          </cell>
          <cell r="I318">
            <v>0</v>
          </cell>
          <cell r="J318">
            <v>0</v>
          </cell>
          <cell r="K318">
            <v>1</v>
          </cell>
        </row>
        <row r="319">
          <cell r="C319" t="str">
            <v>D191</v>
          </cell>
          <cell r="D319" t="str">
            <v>THAMJEED TM</v>
          </cell>
          <cell r="E319" t="str">
            <v>D</v>
          </cell>
          <cell r="F319" t="str">
            <v>SUPER SENIOR</v>
          </cell>
          <cell r="G319">
            <v>10</v>
          </cell>
          <cell r="H319">
            <v>0</v>
          </cell>
          <cell r="I319">
            <v>0</v>
          </cell>
          <cell r="J319">
            <v>0</v>
          </cell>
          <cell r="K319">
            <v>1</v>
          </cell>
        </row>
        <row r="320">
          <cell r="C320" t="str">
            <v>D192</v>
          </cell>
          <cell r="D320" t="str">
            <v>MUHAMMED SIFARATH T A</v>
          </cell>
          <cell r="E320" t="str">
            <v>B</v>
          </cell>
          <cell r="F320" t="str">
            <v>SUPER SENIOR</v>
          </cell>
          <cell r="G320">
            <v>10</v>
          </cell>
          <cell r="H320">
            <v>0</v>
          </cell>
          <cell r="I320">
            <v>0</v>
          </cell>
          <cell r="J320">
            <v>0</v>
          </cell>
          <cell r="K320">
            <v>1</v>
          </cell>
        </row>
        <row r="321">
          <cell r="C321" t="str">
            <v>D193</v>
          </cell>
          <cell r="D321" t="str">
            <v>MUHAMMED ABDUL GHANI M.A</v>
          </cell>
          <cell r="E321" t="str">
            <v>D</v>
          </cell>
          <cell r="F321" t="str">
            <v>SUPER SENIOR</v>
          </cell>
          <cell r="G321">
            <v>10</v>
          </cell>
          <cell r="H321">
            <v>0</v>
          </cell>
          <cell r="I321">
            <v>0</v>
          </cell>
          <cell r="J321">
            <v>0</v>
          </cell>
          <cell r="K321">
            <v>1</v>
          </cell>
        </row>
        <row r="322">
          <cell r="C322" t="str">
            <v>D194</v>
          </cell>
          <cell r="D322" t="str">
            <v>AYAZ RAHMAN T</v>
          </cell>
          <cell r="E322" t="str">
            <v>D</v>
          </cell>
          <cell r="F322" t="str">
            <v>SUPER SENIOR</v>
          </cell>
          <cell r="G322">
            <v>10</v>
          </cell>
          <cell r="H322">
            <v>0</v>
          </cell>
          <cell r="I322">
            <v>0</v>
          </cell>
          <cell r="J322">
            <v>0</v>
          </cell>
          <cell r="K322">
            <v>1</v>
          </cell>
        </row>
        <row r="323">
          <cell r="C323" t="str">
            <v>D195</v>
          </cell>
          <cell r="D323" t="str">
            <v>AHMED SWALAHUDHEEN PI</v>
          </cell>
          <cell r="E323" t="str">
            <v>C</v>
          </cell>
          <cell r="F323" t="str">
            <v>SUPER SENIOR</v>
          </cell>
          <cell r="G323">
            <v>10</v>
          </cell>
          <cell r="H323">
            <v>0</v>
          </cell>
          <cell r="I323">
            <v>0</v>
          </cell>
          <cell r="J323">
            <v>0</v>
          </cell>
          <cell r="K323">
            <v>1</v>
          </cell>
        </row>
        <row r="324">
          <cell r="C324" t="str">
            <v>D196</v>
          </cell>
          <cell r="D324" t="str">
            <v>ABDUL VAJID K</v>
          </cell>
          <cell r="E324" t="str">
            <v>B</v>
          </cell>
          <cell r="F324" t="str">
            <v>SUPER SENIOR</v>
          </cell>
          <cell r="G324">
            <v>10</v>
          </cell>
          <cell r="H324">
            <v>0</v>
          </cell>
          <cell r="I324">
            <v>0</v>
          </cell>
          <cell r="J324">
            <v>0</v>
          </cell>
          <cell r="K324">
            <v>1</v>
          </cell>
        </row>
        <row r="325">
          <cell r="C325" t="str">
            <v>D197</v>
          </cell>
          <cell r="D325" t="str">
            <v>MUHAMMED ASHFAK K</v>
          </cell>
          <cell r="E325" t="str">
            <v>B</v>
          </cell>
          <cell r="F325" t="str">
            <v>SUPER SENIOR</v>
          </cell>
          <cell r="G325">
            <v>10</v>
          </cell>
          <cell r="H325">
            <v>0</v>
          </cell>
          <cell r="I325">
            <v>0</v>
          </cell>
          <cell r="J325">
            <v>0</v>
          </cell>
          <cell r="K325">
            <v>1</v>
          </cell>
        </row>
        <row r="326">
          <cell r="C326" t="str">
            <v>D198</v>
          </cell>
          <cell r="D326" t="str">
            <v>MUHAMMED SAFWAN</v>
          </cell>
          <cell r="E326" t="str">
            <v>A</v>
          </cell>
          <cell r="F326" t="str">
            <v>SUPER SENIOR</v>
          </cell>
          <cell r="G326">
            <v>10</v>
          </cell>
          <cell r="H326">
            <v>0</v>
          </cell>
          <cell r="I326">
            <v>0</v>
          </cell>
          <cell r="J326">
            <v>0</v>
          </cell>
          <cell r="K326">
            <v>1</v>
          </cell>
        </row>
        <row r="327">
          <cell r="C327" t="str">
            <v>D199</v>
          </cell>
          <cell r="D327" t="str">
            <v>Simsarul Haq VPM</v>
          </cell>
          <cell r="E327" t="str">
            <v>C</v>
          </cell>
          <cell r="F327" t="str">
            <v>SUPER SENIOR</v>
          </cell>
          <cell r="G327">
            <v>10</v>
          </cell>
          <cell r="H327">
            <v>0</v>
          </cell>
          <cell r="I327">
            <v>0</v>
          </cell>
          <cell r="J327">
            <v>0</v>
          </cell>
          <cell r="K327">
            <v>1</v>
          </cell>
        </row>
        <row r="328">
          <cell r="H328">
            <v>0</v>
          </cell>
          <cell r="I328">
            <v>0</v>
          </cell>
          <cell r="J328">
            <v>0</v>
          </cell>
          <cell r="K328">
            <v>1</v>
          </cell>
        </row>
        <row r="329">
          <cell r="H329">
            <v>0</v>
          </cell>
          <cell r="I329">
            <v>0</v>
          </cell>
          <cell r="J329">
            <v>0</v>
          </cell>
          <cell r="K329">
            <v>1</v>
          </cell>
        </row>
        <row r="330">
          <cell r="H330">
            <v>0</v>
          </cell>
          <cell r="I330">
            <v>0</v>
          </cell>
          <cell r="J330">
            <v>0</v>
          </cell>
          <cell r="K330">
            <v>1</v>
          </cell>
        </row>
        <row r="331">
          <cell r="H331">
            <v>0</v>
          </cell>
          <cell r="I331">
            <v>0</v>
          </cell>
          <cell r="J331">
            <v>0</v>
          </cell>
          <cell r="K331">
            <v>1</v>
          </cell>
        </row>
        <row r="332">
          <cell r="H332">
            <v>0</v>
          </cell>
          <cell r="I332">
            <v>0</v>
          </cell>
          <cell r="J332">
            <v>0</v>
          </cell>
          <cell r="K332">
            <v>1</v>
          </cell>
        </row>
        <row r="333">
          <cell r="H333">
            <v>0</v>
          </cell>
          <cell r="I333">
            <v>0</v>
          </cell>
          <cell r="J333">
            <v>0</v>
          </cell>
          <cell r="K333">
            <v>1</v>
          </cell>
        </row>
        <row r="334">
          <cell r="H334">
            <v>0</v>
          </cell>
          <cell r="I334">
            <v>0</v>
          </cell>
          <cell r="J334">
            <v>0</v>
          </cell>
          <cell r="K334">
            <v>1</v>
          </cell>
        </row>
        <row r="335">
          <cell r="H335">
            <v>0</v>
          </cell>
          <cell r="I335">
            <v>0</v>
          </cell>
          <cell r="J335">
            <v>0</v>
          </cell>
          <cell r="K335">
            <v>1</v>
          </cell>
        </row>
        <row r="336">
          <cell r="H336">
            <v>0</v>
          </cell>
          <cell r="I336">
            <v>0</v>
          </cell>
          <cell r="J336">
            <v>0</v>
          </cell>
          <cell r="K336">
            <v>1</v>
          </cell>
        </row>
        <row r="337">
          <cell r="H337">
            <v>0</v>
          </cell>
          <cell r="I337">
            <v>0</v>
          </cell>
          <cell r="J337">
            <v>0</v>
          </cell>
          <cell r="K337">
            <v>1</v>
          </cell>
        </row>
        <row r="338">
          <cell r="H338">
            <v>0</v>
          </cell>
          <cell r="I338">
            <v>0</v>
          </cell>
          <cell r="J338">
            <v>0</v>
          </cell>
          <cell r="K338">
            <v>1</v>
          </cell>
        </row>
        <row r="339">
          <cell r="H339">
            <v>0</v>
          </cell>
          <cell r="I339">
            <v>0</v>
          </cell>
          <cell r="J339">
            <v>0</v>
          </cell>
          <cell r="K339">
            <v>1</v>
          </cell>
        </row>
        <row r="340">
          <cell r="H340">
            <v>0</v>
          </cell>
          <cell r="I340">
            <v>0</v>
          </cell>
          <cell r="J340">
            <v>0</v>
          </cell>
          <cell r="K340">
            <v>1</v>
          </cell>
        </row>
        <row r="341">
          <cell r="H341">
            <v>0</v>
          </cell>
          <cell r="I341">
            <v>0</v>
          </cell>
          <cell r="J341">
            <v>0</v>
          </cell>
          <cell r="K341">
            <v>1</v>
          </cell>
        </row>
        <row r="342">
          <cell r="H342">
            <v>0</v>
          </cell>
          <cell r="I342">
            <v>0</v>
          </cell>
          <cell r="J342">
            <v>0</v>
          </cell>
          <cell r="K342">
            <v>1</v>
          </cell>
        </row>
        <row r="343">
          <cell r="H343">
            <v>0</v>
          </cell>
          <cell r="I343">
            <v>0</v>
          </cell>
          <cell r="J343">
            <v>0</v>
          </cell>
          <cell r="K343">
            <v>1</v>
          </cell>
        </row>
        <row r="344">
          <cell r="H344">
            <v>0</v>
          </cell>
          <cell r="I344">
            <v>0</v>
          </cell>
          <cell r="J344">
            <v>0</v>
          </cell>
          <cell r="K344">
            <v>1</v>
          </cell>
        </row>
        <row r="345">
          <cell r="H345">
            <v>0</v>
          </cell>
          <cell r="I345">
            <v>0</v>
          </cell>
          <cell r="J345">
            <v>0</v>
          </cell>
          <cell r="K345">
            <v>1</v>
          </cell>
        </row>
        <row r="346">
          <cell r="H346">
            <v>0</v>
          </cell>
          <cell r="I346">
            <v>0</v>
          </cell>
          <cell r="J346">
            <v>0</v>
          </cell>
          <cell r="K346">
            <v>1</v>
          </cell>
        </row>
        <row r="347">
          <cell r="H347">
            <v>0</v>
          </cell>
          <cell r="I347">
            <v>0</v>
          </cell>
          <cell r="J347">
            <v>0</v>
          </cell>
          <cell r="K347">
            <v>1</v>
          </cell>
        </row>
        <row r="348">
          <cell r="H348">
            <v>0</v>
          </cell>
          <cell r="I348">
            <v>0</v>
          </cell>
          <cell r="J348">
            <v>0</v>
          </cell>
          <cell r="K348">
            <v>1</v>
          </cell>
        </row>
        <row r="349">
          <cell r="H349">
            <v>0</v>
          </cell>
          <cell r="I349">
            <v>0</v>
          </cell>
          <cell r="J349">
            <v>0</v>
          </cell>
          <cell r="K349">
            <v>1</v>
          </cell>
        </row>
        <row r="350">
          <cell r="H350">
            <v>0</v>
          </cell>
          <cell r="I350">
            <v>0</v>
          </cell>
          <cell r="J350">
            <v>0</v>
          </cell>
          <cell r="K350">
            <v>1</v>
          </cell>
        </row>
        <row r="351">
          <cell r="H351">
            <v>0</v>
          </cell>
          <cell r="I351">
            <v>0</v>
          </cell>
          <cell r="J351">
            <v>0</v>
          </cell>
          <cell r="K351">
            <v>1</v>
          </cell>
        </row>
        <row r="352">
          <cell r="H352">
            <v>0</v>
          </cell>
          <cell r="I352">
            <v>0</v>
          </cell>
          <cell r="J352">
            <v>0</v>
          </cell>
          <cell r="K352">
            <v>1</v>
          </cell>
        </row>
        <row r="353">
          <cell r="H353">
            <v>0</v>
          </cell>
          <cell r="I353">
            <v>0</v>
          </cell>
          <cell r="J353">
            <v>0</v>
          </cell>
          <cell r="K353">
            <v>1</v>
          </cell>
        </row>
        <row r="354">
          <cell r="H354">
            <v>0</v>
          </cell>
          <cell r="I354">
            <v>0</v>
          </cell>
          <cell r="J354">
            <v>0</v>
          </cell>
          <cell r="K354">
            <v>1</v>
          </cell>
        </row>
        <row r="355">
          <cell r="H355">
            <v>0</v>
          </cell>
          <cell r="I355">
            <v>0</v>
          </cell>
          <cell r="J355">
            <v>0</v>
          </cell>
          <cell r="K355">
            <v>1</v>
          </cell>
        </row>
        <row r="356">
          <cell r="H356">
            <v>0</v>
          </cell>
          <cell r="I356">
            <v>0</v>
          </cell>
          <cell r="J356">
            <v>0</v>
          </cell>
          <cell r="K356">
            <v>1</v>
          </cell>
        </row>
        <row r="357">
          <cell r="H357">
            <v>0</v>
          </cell>
          <cell r="I357">
            <v>0</v>
          </cell>
          <cell r="J357">
            <v>0</v>
          </cell>
          <cell r="K357">
            <v>1</v>
          </cell>
        </row>
        <row r="358">
          <cell r="H358">
            <v>0</v>
          </cell>
          <cell r="I358">
            <v>0</v>
          </cell>
          <cell r="J358">
            <v>0</v>
          </cell>
          <cell r="K358">
            <v>1</v>
          </cell>
        </row>
        <row r="359">
          <cell r="H359">
            <v>0</v>
          </cell>
          <cell r="I359">
            <v>0</v>
          </cell>
          <cell r="J359">
            <v>0</v>
          </cell>
          <cell r="K359">
            <v>1</v>
          </cell>
        </row>
        <row r="360">
          <cell r="H360">
            <v>0</v>
          </cell>
          <cell r="I360">
            <v>0</v>
          </cell>
          <cell r="J360">
            <v>0</v>
          </cell>
          <cell r="K360">
            <v>1</v>
          </cell>
        </row>
        <row r="361">
          <cell r="H361">
            <v>0</v>
          </cell>
          <cell r="I361">
            <v>0</v>
          </cell>
          <cell r="J361">
            <v>0</v>
          </cell>
          <cell r="K361">
            <v>1</v>
          </cell>
        </row>
        <row r="362">
          <cell r="H362">
            <v>0</v>
          </cell>
          <cell r="I362">
            <v>0</v>
          </cell>
          <cell r="J362">
            <v>0</v>
          </cell>
          <cell r="K362">
            <v>1</v>
          </cell>
        </row>
        <row r="363">
          <cell r="H363">
            <v>0</v>
          </cell>
          <cell r="I363">
            <v>0</v>
          </cell>
          <cell r="J363">
            <v>0</v>
          </cell>
          <cell r="K363">
            <v>1</v>
          </cell>
        </row>
        <row r="364">
          <cell r="H364">
            <v>0</v>
          </cell>
          <cell r="I364">
            <v>0</v>
          </cell>
          <cell r="J364">
            <v>0</v>
          </cell>
          <cell r="K364">
            <v>1</v>
          </cell>
        </row>
        <row r="365">
          <cell r="H365">
            <v>0</v>
          </cell>
          <cell r="I365">
            <v>0</v>
          </cell>
          <cell r="J365">
            <v>0</v>
          </cell>
          <cell r="K365">
            <v>1</v>
          </cell>
        </row>
        <row r="366">
          <cell r="H366">
            <v>0</v>
          </cell>
          <cell r="I366">
            <v>0</v>
          </cell>
          <cell r="J366">
            <v>0</v>
          </cell>
          <cell r="K366">
            <v>1</v>
          </cell>
        </row>
        <row r="367">
          <cell r="H367">
            <v>0</v>
          </cell>
          <cell r="I367">
            <v>0</v>
          </cell>
          <cell r="J367">
            <v>0</v>
          </cell>
          <cell r="K367">
            <v>1</v>
          </cell>
        </row>
        <row r="368">
          <cell r="H368">
            <v>0</v>
          </cell>
          <cell r="I368">
            <v>0</v>
          </cell>
          <cell r="J368">
            <v>0</v>
          </cell>
          <cell r="K368">
            <v>1</v>
          </cell>
        </row>
        <row r="369">
          <cell r="H369">
            <v>0</v>
          </cell>
          <cell r="I369">
            <v>0</v>
          </cell>
          <cell r="J369">
            <v>0</v>
          </cell>
          <cell r="K369">
            <v>1</v>
          </cell>
        </row>
        <row r="370">
          <cell r="H370">
            <v>0</v>
          </cell>
          <cell r="I370">
            <v>0</v>
          </cell>
          <cell r="J370">
            <v>0</v>
          </cell>
          <cell r="K370">
            <v>1</v>
          </cell>
        </row>
        <row r="371">
          <cell r="H371">
            <v>0</v>
          </cell>
          <cell r="I371">
            <v>0</v>
          </cell>
          <cell r="J371">
            <v>0</v>
          </cell>
          <cell r="K371">
            <v>1</v>
          </cell>
        </row>
        <row r="372">
          <cell r="H372">
            <v>0</v>
          </cell>
          <cell r="I372">
            <v>0</v>
          </cell>
          <cell r="J372">
            <v>0</v>
          </cell>
          <cell r="K372">
            <v>1</v>
          </cell>
        </row>
        <row r="373">
          <cell r="H373">
            <v>0</v>
          </cell>
          <cell r="I373">
            <v>0</v>
          </cell>
          <cell r="J373">
            <v>0</v>
          </cell>
          <cell r="K373">
            <v>1</v>
          </cell>
        </row>
        <row r="374">
          <cell r="H374">
            <v>0</v>
          </cell>
          <cell r="I374">
            <v>0</v>
          </cell>
          <cell r="J374">
            <v>0</v>
          </cell>
          <cell r="K374">
            <v>1</v>
          </cell>
        </row>
        <row r="375">
          <cell r="H375">
            <v>0</v>
          </cell>
          <cell r="I375">
            <v>0</v>
          </cell>
          <cell r="J375">
            <v>0</v>
          </cell>
          <cell r="K375">
            <v>1</v>
          </cell>
        </row>
        <row r="376">
          <cell r="H376">
            <v>0</v>
          </cell>
          <cell r="I376">
            <v>0</v>
          </cell>
          <cell r="J376">
            <v>0</v>
          </cell>
          <cell r="K376">
            <v>1</v>
          </cell>
        </row>
        <row r="377">
          <cell r="H377">
            <v>0</v>
          </cell>
          <cell r="I377">
            <v>0</v>
          </cell>
          <cell r="J377">
            <v>0</v>
          </cell>
          <cell r="K377">
            <v>1</v>
          </cell>
        </row>
        <row r="378">
          <cell r="H378">
            <v>0</v>
          </cell>
          <cell r="I378">
            <v>0</v>
          </cell>
          <cell r="J378">
            <v>0</v>
          </cell>
          <cell r="K378">
            <v>1</v>
          </cell>
        </row>
        <row r="379">
          <cell r="H379">
            <v>0</v>
          </cell>
          <cell r="I379">
            <v>0</v>
          </cell>
          <cell r="J379">
            <v>0</v>
          </cell>
          <cell r="K379">
            <v>1</v>
          </cell>
        </row>
        <row r="380">
          <cell r="H380">
            <v>0</v>
          </cell>
          <cell r="I380">
            <v>0</v>
          </cell>
          <cell r="J380">
            <v>0</v>
          </cell>
          <cell r="K380">
            <v>1</v>
          </cell>
        </row>
        <row r="381">
          <cell r="H381">
            <v>0</v>
          </cell>
          <cell r="I381">
            <v>0</v>
          </cell>
          <cell r="J381">
            <v>0</v>
          </cell>
          <cell r="K381">
            <v>1</v>
          </cell>
        </row>
        <row r="382">
          <cell r="H382">
            <v>0</v>
          </cell>
          <cell r="I382">
            <v>0</v>
          </cell>
          <cell r="J382">
            <v>0</v>
          </cell>
          <cell r="K382">
            <v>1</v>
          </cell>
        </row>
        <row r="383">
          <cell r="H383">
            <v>0</v>
          </cell>
          <cell r="I383">
            <v>0</v>
          </cell>
          <cell r="J383">
            <v>0</v>
          </cell>
          <cell r="K383">
            <v>1</v>
          </cell>
        </row>
        <row r="384">
          <cell r="H384">
            <v>0</v>
          </cell>
          <cell r="I384">
            <v>0</v>
          </cell>
          <cell r="J384">
            <v>0</v>
          </cell>
          <cell r="K384">
            <v>1</v>
          </cell>
        </row>
        <row r="385">
          <cell r="H385">
            <v>0</v>
          </cell>
          <cell r="I385">
            <v>0</v>
          </cell>
          <cell r="J385">
            <v>0</v>
          </cell>
          <cell r="K385">
            <v>1</v>
          </cell>
        </row>
        <row r="386">
          <cell r="H386">
            <v>0</v>
          </cell>
          <cell r="I386">
            <v>0</v>
          </cell>
          <cell r="J386">
            <v>0</v>
          </cell>
          <cell r="K386">
            <v>1</v>
          </cell>
        </row>
        <row r="387">
          <cell r="H387">
            <v>0</v>
          </cell>
          <cell r="I387">
            <v>0</v>
          </cell>
          <cell r="J387">
            <v>0</v>
          </cell>
          <cell r="K387">
            <v>1</v>
          </cell>
        </row>
        <row r="388">
          <cell r="H388">
            <v>0</v>
          </cell>
          <cell r="I388">
            <v>0</v>
          </cell>
          <cell r="J388">
            <v>0</v>
          </cell>
          <cell r="K388">
            <v>1</v>
          </cell>
        </row>
        <row r="389">
          <cell r="H389">
            <v>0</v>
          </cell>
          <cell r="I389">
            <v>0</v>
          </cell>
          <cell r="J389">
            <v>0</v>
          </cell>
          <cell r="K389">
            <v>1</v>
          </cell>
        </row>
        <row r="390">
          <cell r="H390">
            <v>0</v>
          </cell>
          <cell r="I390">
            <v>0</v>
          </cell>
          <cell r="J390">
            <v>0</v>
          </cell>
          <cell r="K390">
            <v>1</v>
          </cell>
        </row>
        <row r="391">
          <cell r="H391">
            <v>0</v>
          </cell>
          <cell r="I391">
            <v>0</v>
          </cell>
          <cell r="J391">
            <v>0</v>
          </cell>
          <cell r="K391">
            <v>1</v>
          </cell>
        </row>
        <row r="392">
          <cell r="H392">
            <v>0</v>
          </cell>
          <cell r="I392">
            <v>0</v>
          </cell>
          <cell r="J392">
            <v>0</v>
          </cell>
          <cell r="K392">
            <v>1</v>
          </cell>
        </row>
        <row r="393">
          <cell r="H393">
            <v>0</v>
          </cell>
          <cell r="I393">
            <v>0</v>
          </cell>
          <cell r="J393">
            <v>0</v>
          </cell>
          <cell r="K393">
            <v>1</v>
          </cell>
        </row>
        <row r="394">
          <cell r="H394">
            <v>0</v>
          </cell>
          <cell r="I394">
            <v>0</v>
          </cell>
          <cell r="J394">
            <v>0</v>
          </cell>
          <cell r="K394">
            <v>1</v>
          </cell>
        </row>
        <row r="395">
          <cell r="H395">
            <v>0</v>
          </cell>
          <cell r="I395">
            <v>0</v>
          </cell>
          <cell r="J395">
            <v>0</v>
          </cell>
          <cell r="K395">
            <v>1</v>
          </cell>
        </row>
        <row r="396">
          <cell r="H396">
            <v>0</v>
          </cell>
          <cell r="I396">
            <v>0</v>
          </cell>
          <cell r="J396">
            <v>0</v>
          </cell>
          <cell r="K396">
            <v>1</v>
          </cell>
        </row>
        <row r="397">
          <cell r="H397">
            <v>0</v>
          </cell>
          <cell r="I397">
            <v>0</v>
          </cell>
          <cell r="J397">
            <v>0</v>
          </cell>
          <cell r="K397">
            <v>1</v>
          </cell>
        </row>
        <row r="398">
          <cell r="H398">
            <v>0</v>
          </cell>
          <cell r="I398">
            <v>0</v>
          </cell>
          <cell r="J398">
            <v>0</v>
          </cell>
          <cell r="K398">
            <v>1</v>
          </cell>
        </row>
        <row r="399">
          <cell r="H399">
            <v>0</v>
          </cell>
          <cell r="I399">
            <v>0</v>
          </cell>
          <cell r="J399">
            <v>0</v>
          </cell>
          <cell r="K399">
            <v>1</v>
          </cell>
        </row>
        <row r="400">
          <cell r="H400">
            <v>0</v>
          </cell>
          <cell r="I400">
            <v>0</v>
          </cell>
          <cell r="J400">
            <v>0</v>
          </cell>
          <cell r="K400">
            <v>1</v>
          </cell>
        </row>
        <row r="401">
          <cell r="H401">
            <v>0</v>
          </cell>
          <cell r="I401">
            <v>0</v>
          </cell>
          <cell r="J401">
            <v>0</v>
          </cell>
          <cell r="K401">
            <v>1</v>
          </cell>
        </row>
        <row r="402">
          <cell r="H402">
            <v>0</v>
          </cell>
          <cell r="I402">
            <v>0</v>
          </cell>
          <cell r="J402">
            <v>0</v>
          </cell>
          <cell r="K402">
            <v>1</v>
          </cell>
        </row>
        <row r="403">
          <cell r="H403">
            <v>0</v>
          </cell>
          <cell r="I403">
            <v>0</v>
          </cell>
          <cell r="J403">
            <v>0</v>
          </cell>
          <cell r="K403">
            <v>1</v>
          </cell>
        </row>
        <row r="404">
          <cell r="H404">
            <v>0</v>
          </cell>
          <cell r="I404">
            <v>0</v>
          </cell>
          <cell r="J404">
            <v>0</v>
          </cell>
          <cell r="K404">
            <v>1</v>
          </cell>
        </row>
        <row r="405">
          <cell r="H405">
            <v>0</v>
          </cell>
          <cell r="I405">
            <v>0</v>
          </cell>
          <cell r="J405">
            <v>0</v>
          </cell>
          <cell r="K405">
            <v>1</v>
          </cell>
        </row>
        <row r="406">
          <cell r="H406">
            <v>0</v>
          </cell>
          <cell r="I406">
            <v>0</v>
          </cell>
          <cell r="J406">
            <v>0</v>
          </cell>
          <cell r="K406">
            <v>1</v>
          </cell>
        </row>
        <row r="407">
          <cell r="H407">
            <v>0</v>
          </cell>
          <cell r="I407">
            <v>0</v>
          </cell>
          <cell r="J407">
            <v>0</v>
          </cell>
          <cell r="K407">
            <v>1</v>
          </cell>
        </row>
        <row r="408">
          <cell r="H408">
            <v>0</v>
          </cell>
          <cell r="I408">
            <v>0</v>
          </cell>
          <cell r="J408">
            <v>0</v>
          </cell>
          <cell r="K408">
            <v>1</v>
          </cell>
        </row>
        <row r="409">
          <cell r="H409">
            <v>0</v>
          </cell>
          <cell r="I409">
            <v>0</v>
          </cell>
          <cell r="J409">
            <v>0</v>
          </cell>
          <cell r="K409">
            <v>1</v>
          </cell>
        </row>
        <row r="410">
          <cell r="H410">
            <v>0</v>
          </cell>
          <cell r="I410">
            <v>0</v>
          </cell>
          <cell r="J410">
            <v>0</v>
          </cell>
          <cell r="K410">
            <v>1</v>
          </cell>
        </row>
        <row r="411">
          <cell r="H411">
            <v>0</v>
          </cell>
          <cell r="I411">
            <v>0</v>
          </cell>
          <cell r="J411">
            <v>0</v>
          </cell>
          <cell r="K411">
            <v>1</v>
          </cell>
        </row>
        <row r="412">
          <cell r="H412">
            <v>0</v>
          </cell>
          <cell r="I412">
            <v>0</v>
          </cell>
          <cell r="J412">
            <v>0</v>
          </cell>
          <cell r="K412">
            <v>1</v>
          </cell>
        </row>
        <row r="413">
          <cell r="H413">
            <v>0</v>
          </cell>
          <cell r="I413">
            <v>0</v>
          </cell>
          <cell r="J413">
            <v>0</v>
          </cell>
          <cell r="K413">
            <v>1</v>
          </cell>
        </row>
        <row r="414">
          <cell r="H414">
            <v>0</v>
          </cell>
          <cell r="I414">
            <v>0</v>
          </cell>
          <cell r="J414">
            <v>0</v>
          </cell>
          <cell r="K414">
            <v>1</v>
          </cell>
        </row>
        <row r="415">
          <cell r="H415">
            <v>0</v>
          </cell>
          <cell r="I415">
            <v>0</v>
          </cell>
          <cell r="J415">
            <v>0</v>
          </cell>
          <cell r="K415">
            <v>1</v>
          </cell>
        </row>
        <row r="416">
          <cell r="H416">
            <v>0</v>
          </cell>
          <cell r="I416">
            <v>0</v>
          </cell>
          <cell r="J416">
            <v>0</v>
          </cell>
          <cell r="K416">
            <v>1</v>
          </cell>
        </row>
        <row r="417">
          <cell r="H417">
            <v>0</v>
          </cell>
          <cell r="I417">
            <v>0</v>
          </cell>
          <cell r="J417">
            <v>0</v>
          </cell>
          <cell r="K417">
            <v>1</v>
          </cell>
        </row>
        <row r="418">
          <cell r="H418">
            <v>0</v>
          </cell>
          <cell r="I418">
            <v>0</v>
          </cell>
          <cell r="J418">
            <v>0</v>
          </cell>
          <cell r="K418">
            <v>1</v>
          </cell>
        </row>
        <row r="419">
          <cell r="H419">
            <v>0</v>
          </cell>
          <cell r="I419">
            <v>0</v>
          </cell>
          <cell r="J419">
            <v>0</v>
          </cell>
          <cell r="K419">
            <v>1</v>
          </cell>
        </row>
        <row r="420">
          <cell r="H420">
            <v>0</v>
          </cell>
          <cell r="I420">
            <v>0</v>
          </cell>
          <cell r="J420">
            <v>0</v>
          </cell>
          <cell r="K420">
            <v>1</v>
          </cell>
        </row>
        <row r="421">
          <cell r="H421">
            <v>0</v>
          </cell>
          <cell r="I421">
            <v>0</v>
          </cell>
          <cell r="J421">
            <v>0</v>
          </cell>
          <cell r="K421">
            <v>1</v>
          </cell>
        </row>
        <row r="422">
          <cell r="H422">
            <v>0</v>
          </cell>
          <cell r="I422">
            <v>0</v>
          </cell>
          <cell r="J422">
            <v>0</v>
          </cell>
          <cell r="K422">
            <v>1</v>
          </cell>
        </row>
        <row r="423">
          <cell r="H423">
            <v>0</v>
          </cell>
          <cell r="I423">
            <v>0</v>
          </cell>
          <cell r="J423">
            <v>0</v>
          </cell>
          <cell r="K423">
            <v>1</v>
          </cell>
        </row>
        <row r="424">
          <cell r="H424">
            <v>0</v>
          </cell>
          <cell r="I424">
            <v>0</v>
          </cell>
          <cell r="J424">
            <v>0</v>
          </cell>
          <cell r="K424">
            <v>1</v>
          </cell>
        </row>
        <row r="425">
          <cell r="H425">
            <v>0</v>
          </cell>
          <cell r="I425">
            <v>0</v>
          </cell>
          <cell r="J425">
            <v>0</v>
          </cell>
          <cell r="K425">
            <v>1</v>
          </cell>
        </row>
        <row r="426">
          <cell r="H426">
            <v>0</v>
          </cell>
          <cell r="I426">
            <v>0</v>
          </cell>
          <cell r="J426">
            <v>0</v>
          </cell>
          <cell r="K426">
            <v>1</v>
          </cell>
        </row>
        <row r="427">
          <cell r="H427">
            <v>0</v>
          </cell>
          <cell r="I427">
            <v>0</v>
          </cell>
          <cell r="J427">
            <v>0</v>
          </cell>
          <cell r="K427">
            <v>1</v>
          </cell>
        </row>
        <row r="428">
          <cell r="H428">
            <v>0</v>
          </cell>
          <cell r="I428">
            <v>0</v>
          </cell>
          <cell r="J428">
            <v>0</v>
          </cell>
          <cell r="K428">
            <v>1</v>
          </cell>
        </row>
        <row r="429">
          <cell r="H429">
            <v>0</v>
          </cell>
          <cell r="I429">
            <v>0</v>
          </cell>
          <cell r="J429">
            <v>0</v>
          </cell>
          <cell r="K429">
            <v>1</v>
          </cell>
        </row>
        <row r="430">
          <cell r="H430">
            <v>0</v>
          </cell>
          <cell r="I430">
            <v>0</v>
          </cell>
          <cell r="J430">
            <v>0</v>
          </cell>
          <cell r="K430">
            <v>1</v>
          </cell>
        </row>
        <row r="431">
          <cell r="H431">
            <v>0</v>
          </cell>
          <cell r="I431">
            <v>0</v>
          </cell>
          <cell r="J431">
            <v>0</v>
          </cell>
          <cell r="K431">
            <v>1</v>
          </cell>
        </row>
        <row r="432">
          <cell r="H432">
            <v>0</v>
          </cell>
          <cell r="I432">
            <v>0</v>
          </cell>
          <cell r="J432">
            <v>0</v>
          </cell>
          <cell r="K432">
            <v>1</v>
          </cell>
        </row>
        <row r="433">
          <cell r="H433">
            <v>0</v>
          </cell>
          <cell r="I433">
            <v>0</v>
          </cell>
          <cell r="J433">
            <v>0</v>
          </cell>
          <cell r="K433">
            <v>1</v>
          </cell>
        </row>
        <row r="434">
          <cell r="H434">
            <v>0</v>
          </cell>
          <cell r="I434">
            <v>0</v>
          </cell>
          <cell r="J434">
            <v>0</v>
          </cell>
          <cell r="K434">
            <v>1</v>
          </cell>
        </row>
        <row r="435">
          <cell r="H435">
            <v>0</v>
          </cell>
          <cell r="I435">
            <v>0</v>
          </cell>
          <cell r="J435">
            <v>0</v>
          </cell>
          <cell r="K435">
            <v>1</v>
          </cell>
        </row>
        <row r="436">
          <cell r="H436">
            <v>0</v>
          </cell>
          <cell r="I436">
            <v>0</v>
          </cell>
          <cell r="J436">
            <v>0</v>
          </cell>
          <cell r="K436">
            <v>1</v>
          </cell>
        </row>
        <row r="437">
          <cell r="H437">
            <v>0</v>
          </cell>
          <cell r="I437">
            <v>0</v>
          </cell>
          <cell r="J437">
            <v>0</v>
          </cell>
          <cell r="K437">
            <v>1</v>
          </cell>
        </row>
        <row r="438">
          <cell r="H438">
            <v>0</v>
          </cell>
          <cell r="I438">
            <v>0</v>
          </cell>
          <cell r="J438">
            <v>0</v>
          </cell>
          <cell r="K438">
            <v>1</v>
          </cell>
        </row>
        <row r="439">
          <cell r="H439">
            <v>0</v>
          </cell>
          <cell r="I439">
            <v>0</v>
          </cell>
          <cell r="J439">
            <v>0</v>
          </cell>
          <cell r="K439">
            <v>1</v>
          </cell>
        </row>
        <row r="440">
          <cell r="H440">
            <v>0</v>
          </cell>
          <cell r="I440">
            <v>0</v>
          </cell>
          <cell r="J440">
            <v>0</v>
          </cell>
          <cell r="K440">
            <v>1</v>
          </cell>
        </row>
        <row r="441">
          <cell r="H441">
            <v>0</v>
          </cell>
          <cell r="I441">
            <v>0</v>
          </cell>
          <cell r="J441">
            <v>0</v>
          </cell>
          <cell r="K441">
            <v>1</v>
          </cell>
        </row>
        <row r="442">
          <cell r="H442">
            <v>0</v>
          </cell>
          <cell r="I442">
            <v>0</v>
          </cell>
          <cell r="J442">
            <v>0</v>
          </cell>
          <cell r="K442">
            <v>1</v>
          </cell>
        </row>
        <row r="443">
          <cell r="H443">
            <v>0</v>
          </cell>
          <cell r="I443">
            <v>0</v>
          </cell>
          <cell r="J443">
            <v>0</v>
          </cell>
          <cell r="K443">
            <v>1</v>
          </cell>
        </row>
        <row r="444">
          <cell r="H444">
            <v>0</v>
          </cell>
          <cell r="I444">
            <v>0</v>
          </cell>
          <cell r="J444">
            <v>0</v>
          </cell>
          <cell r="K444">
            <v>1</v>
          </cell>
        </row>
        <row r="445">
          <cell r="H445">
            <v>0</v>
          </cell>
          <cell r="I445">
            <v>0</v>
          </cell>
          <cell r="J445">
            <v>0</v>
          </cell>
          <cell r="K445">
            <v>1</v>
          </cell>
        </row>
        <row r="446">
          <cell r="H446">
            <v>0</v>
          </cell>
          <cell r="I446">
            <v>0</v>
          </cell>
          <cell r="J446">
            <v>0</v>
          </cell>
          <cell r="K446">
            <v>1</v>
          </cell>
        </row>
        <row r="447">
          <cell r="H447">
            <v>0</v>
          </cell>
          <cell r="I447">
            <v>0</v>
          </cell>
          <cell r="J447">
            <v>0</v>
          </cell>
          <cell r="K447">
            <v>1</v>
          </cell>
        </row>
        <row r="448">
          <cell r="H448">
            <v>0</v>
          </cell>
          <cell r="I448">
            <v>0</v>
          </cell>
          <cell r="J448">
            <v>0</v>
          </cell>
          <cell r="K448">
            <v>1</v>
          </cell>
        </row>
        <row r="449">
          <cell r="H449">
            <v>0</v>
          </cell>
          <cell r="I449">
            <v>0</v>
          </cell>
          <cell r="J449">
            <v>0</v>
          </cell>
          <cell r="K449">
            <v>1</v>
          </cell>
        </row>
        <row r="450">
          <cell r="H450">
            <v>0</v>
          </cell>
          <cell r="I450">
            <v>0</v>
          </cell>
          <cell r="J450">
            <v>0</v>
          </cell>
          <cell r="K450">
            <v>1</v>
          </cell>
        </row>
        <row r="451">
          <cell r="H451">
            <v>0</v>
          </cell>
          <cell r="I451">
            <v>0</v>
          </cell>
          <cell r="J451">
            <v>0</v>
          </cell>
          <cell r="K451">
            <v>1</v>
          </cell>
        </row>
        <row r="452">
          <cell r="H452">
            <v>0</v>
          </cell>
          <cell r="I452">
            <v>0</v>
          </cell>
          <cell r="J452">
            <v>0</v>
          </cell>
          <cell r="K452">
            <v>1</v>
          </cell>
        </row>
        <row r="453">
          <cell r="H453">
            <v>0</v>
          </cell>
          <cell r="I453">
            <v>0</v>
          </cell>
          <cell r="J453">
            <v>0</v>
          </cell>
          <cell r="K453">
            <v>1</v>
          </cell>
        </row>
        <row r="454">
          <cell r="H454">
            <v>0</v>
          </cell>
          <cell r="I454">
            <v>0</v>
          </cell>
          <cell r="J454">
            <v>0</v>
          </cell>
          <cell r="K454">
            <v>1</v>
          </cell>
        </row>
        <row r="455">
          <cell r="H455">
            <v>0</v>
          </cell>
          <cell r="I455">
            <v>0</v>
          </cell>
          <cell r="J455">
            <v>0</v>
          </cell>
          <cell r="K455">
            <v>1</v>
          </cell>
        </row>
        <row r="456">
          <cell r="H456">
            <v>0</v>
          </cell>
          <cell r="I456">
            <v>0</v>
          </cell>
          <cell r="J456">
            <v>0</v>
          </cell>
          <cell r="K456">
            <v>1</v>
          </cell>
        </row>
        <row r="457">
          <cell r="H457">
            <v>0</v>
          </cell>
          <cell r="I457">
            <v>0</v>
          </cell>
          <cell r="J457">
            <v>0</v>
          </cell>
          <cell r="K457">
            <v>1</v>
          </cell>
        </row>
        <row r="458">
          <cell r="H458">
            <v>0</v>
          </cell>
          <cell r="I458">
            <v>0</v>
          </cell>
          <cell r="J458">
            <v>0</v>
          </cell>
          <cell r="K458">
            <v>1</v>
          </cell>
        </row>
        <row r="459">
          <cell r="H459">
            <v>0</v>
          </cell>
          <cell r="I459">
            <v>0</v>
          </cell>
          <cell r="J459">
            <v>0</v>
          </cell>
          <cell r="K459">
            <v>1</v>
          </cell>
        </row>
        <row r="460">
          <cell r="H460">
            <v>0</v>
          </cell>
          <cell r="I460">
            <v>0</v>
          </cell>
          <cell r="J460">
            <v>0</v>
          </cell>
          <cell r="K460">
            <v>1</v>
          </cell>
        </row>
        <row r="461">
          <cell r="H461">
            <v>0</v>
          </cell>
          <cell r="I461">
            <v>0</v>
          </cell>
          <cell r="J461">
            <v>0</v>
          </cell>
          <cell r="K461">
            <v>1</v>
          </cell>
        </row>
        <row r="462">
          <cell r="H462">
            <v>0</v>
          </cell>
          <cell r="I462">
            <v>0</v>
          </cell>
          <cell r="J462">
            <v>0</v>
          </cell>
          <cell r="K462">
            <v>1</v>
          </cell>
        </row>
        <row r="463">
          <cell r="H463">
            <v>0</v>
          </cell>
          <cell r="I463">
            <v>0</v>
          </cell>
          <cell r="J463">
            <v>0</v>
          </cell>
          <cell r="K463">
            <v>1</v>
          </cell>
        </row>
        <row r="464">
          <cell r="H464">
            <v>0</v>
          </cell>
          <cell r="I464">
            <v>0</v>
          </cell>
          <cell r="J464">
            <v>0</v>
          </cell>
          <cell r="K464">
            <v>1</v>
          </cell>
        </row>
        <row r="465">
          <cell r="H465">
            <v>0</v>
          </cell>
          <cell r="I465">
            <v>0</v>
          </cell>
          <cell r="J465">
            <v>0</v>
          </cell>
          <cell r="K465">
            <v>1</v>
          </cell>
        </row>
        <row r="466">
          <cell r="H466">
            <v>0</v>
          </cell>
          <cell r="I466">
            <v>0</v>
          </cell>
          <cell r="J466">
            <v>0</v>
          </cell>
          <cell r="K466">
            <v>1</v>
          </cell>
        </row>
        <row r="467">
          <cell r="H467">
            <v>0</v>
          </cell>
          <cell r="I467">
            <v>0</v>
          </cell>
          <cell r="J467">
            <v>0</v>
          </cell>
          <cell r="K467">
            <v>1</v>
          </cell>
        </row>
        <row r="468">
          <cell r="H468">
            <v>0</v>
          </cell>
          <cell r="I468">
            <v>0</v>
          </cell>
          <cell r="J468">
            <v>0</v>
          </cell>
          <cell r="K468">
            <v>1</v>
          </cell>
        </row>
        <row r="469">
          <cell r="H469">
            <v>0</v>
          </cell>
          <cell r="I469">
            <v>0</v>
          </cell>
          <cell r="J469">
            <v>0</v>
          </cell>
          <cell r="K469">
            <v>1</v>
          </cell>
        </row>
        <row r="470">
          <cell r="H470">
            <v>0</v>
          </cell>
          <cell r="I470">
            <v>0</v>
          </cell>
          <cell r="J470">
            <v>0</v>
          </cell>
          <cell r="K470">
            <v>1</v>
          </cell>
        </row>
        <row r="471">
          <cell r="H471">
            <v>0</v>
          </cell>
          <cell r="I471">
            <v>0</v>
          </cell>
          <cell r="J471">
            <v>0</v>
          </cell>
          <cell r="K471">
            <v>1</v>
          </cell>
        </row>
        <row r="472">
          <cell r="H472">
            <v>0</v>
          </cell>
          <cell r="I472">
            <v>0</v>
          </cell>
          <cell r="J472">
            <v>0</v>
          </cell>
          <cell r="K472">
            <v>1</v>
          </cell>
        </row>
        <row r="473">
          <cell r="H473">
            <v>0</v>
          </cell>
          <cell r="I473">
            <v>0</v>
          </cell>
          <cell r="J473">
            <v>0</v>
          </cell>
          <cell r="K473">
            <v>1</v>
          </cell>
        </row>
        <row r="474">
          <cell r="H474">
            <v>0</v>
          </cell>
          <cell r="I474">
            <v>0</v>
          </cell>
          <cell r="J474">
            <v>0</v>
          </cell>
          <cell r="K474">
            <v>1</v>
          </cell>
        </row>
        <row r="475">
          <cell r="H475">
            <v>0</v>
          </cell>
          <cell r="I475">
            <v>0</v>
          </cell>
          <cell r="J475">
            <v>0</v>
          </cell>
          <cell r="K475">
            <v>1</v>
          </cell>
        </row>
        <row r="476">
          <cell r="H476">
            <v>0</v>
          </cell>
          <cell r="I476">
            <v>0</v>
          </cell>
          <cell r="J476">
            <v>0</v>
          </cell>
          <cell r="K476">
            <v>1</v>
          </cell>
        </row>
        <row r="477">
          <cell r="H477">
            <v>0</v>
          </cell>
          <cell r="I477">
            <v>0</v>
          </cell>
          <cell r="J477">
            <v>0</v>
          </cell>
          <cell r="K477">
            <v>1</v>
          </cell>
        </row>
        <row r="478">
          <cell r="H478">
            <v>0</v>
          </cell>
          <cell r="I478">
            <v>0</v>
          </cell>
          <cell r="J478">
            <v>0</v>
          </cell>
          <cell r="K478">
            <v>1</v>
          </cell>
        </row>
        <row r="479">
          <cell r="H479">
            <v>0</v>
          </cell>
          <cell r="I479">
            <v>0</v>
          </cell>
          <cell r="J479">
            <v>0</v>
          </cell>
          <cell r="K479">
            <v>1</v>
          </cell>
        </row>
        <row r="480">
          <cell r="H480">
            <v>0</v>
          </cell>
          <cell r="I480">
            <v>0</v>
          </cell>
          <cell r="J480">
            <v>0</v>
          </cell>
          <cell r="K480">
            <v>1</v>
          </cell>
        </row>
        <row r="481">
          <cell r="H481">
            <v>0</v>
          </cell>
          <cell r="I481">
            <v>0</v>
          </cell>
          <cell r="J481">
            <v>0</v>
          </cell>
          <cell r="K481">
            <v>1</v>
          </cell>
        </row>
        <row r="482">
          <cell r="H482">
            <v>0</v>
          </cell>
          <cell r="I482">
            <v>0</v>
          </cell>
          <cell r="J482">
            <v>0</v>
          </cell>
          <cell r="K482">
            <v>1</v>
          </cell>
        </row>
        <row r="483">
          <cell r="H483">
            <v>0</v>
          </cell>
          <cell r="I483">
            <v>0</v>
          </cell>
          <cell r="J483">
            <v>0</v>
          </cell>
          <cell r="K483">
            <v>1</v>
          </cell>
        </row>
        <row r="484">
          <cell r="H484">
            <v>0</v>
          </cell>
          <cell r="I484">
            <v>0</v>
          </cell>
          <cell r="J484">
            <v>0</v>
          </cell>
          <cell r="K484">
            <v>1</v>
          </cell>
        </row>
        <row r="485">
          <cell r="H485">
            <v>0</v>
          </cell>
          <cell r="I485">
            <v>0</v>
          </cell>
          <cell r="J485">
            <v>0</v>
          </cell>
          <cell r="K485">
            <v>1</v>
          </cell>
        </row>
        <row r="486">
          <cell r="H486">
            <v>0</v>
          </cell>
          <cell r="I486">
            <v>0</v>
          </cell>
          <cell r="J486">
            <v>0</v>
          </cell>
          <cell r="K486">
            <v>1</v>
          </cell>
        </row>
        <row r="487">
          <cell r="H487">
            <v>0</v>
          </cell>
          <cell r="I487">
            <v>0</v>
          </cell>
          <cell r="J487">
            <v>0</v>
          </cell>
          <cell r="K487">
            <v>1</v>
          </cell>
        </row>
        <row r="488">
          <cell r="H488">
            <v>0</v>
          </cell>
          <cell r="I488">
            <v>0</v>
          </cell>
          <cell r="J488">
            <v>0</v>
          </cell>
          <cell r="K488">
            <v>1</v>
          </cell>
        </row>
        <row r="489">
          <cell r="H489">
            <v>0</v>
          </cell>
          <cell r="I489">
            <v>0</v>
          </cell>
          <cell r="J489">
            <v>0</v>
          </cell>
          <cell r="K489">
            <v>1</v>
          </cell>
        </row>
        <row r="490">
          <cell r="H490">
            <v>0</v>
          </cell>
          <cell r="I490">
            <v>0</v>
          </cell>
          <cell r="J490">
            <v>0</v>
          </cell>
          <cell r="K490">
            <v>1</v>
          </cell>
        </row>
        <row r="491">
          <cell r="H491">
            <v>0</v>
          </cell>
          <cell r="I491">
            <v>0</v>
          </cell>
          <cell r="J491">
            <v>0</v>
          </cell>
          <cell r="K491">
            <v>1</v>
          </cell>
        </row>
        <row r="492">
          <cell r="H492">
            <v>0</v>
          </cell>
          <cell r="I492">
            <v>0</v>
          </cell>
          <cell r="J492">
            <v>0</v>
          </cell>
          <cell r="K492">
            <v>1</v>
          </cell>
        </row>
        <row r="493">
          <cell r="H493">
            <v>0</v>
          </cell>
          <cell r="I493">
            <v>0</v>
          </cell>
          <cell r="J493">
            <v>0</v>
          </cell>
          <cell r="K493">
            <v>1</v>
          </cell>
        </row>
        <row r="494">
          <cell r="H494">
            <v>0</v>
          </cell>
          <cell r="I494">
            <v>0</v>
          </cell>
          <cell r="J494">
            <v>0</v>
          </cell>
          <cell r="K494">
            <v>1</v>
          </cell>
        </row>
        <row r="495">
          <cell r="H495">
            <v>0</v>
          </cell>
          <cell r="I495">
            <v>0</v>
          </cell>
          <cell r="J495">
            <v>0</v>
          </cell>
          <cell r="K495">
            <v>1</v>
          </cell>
        </row>
        <row r="496">
          <cell r="H496">
            <v>0</v>
          </cell>
          <cell r="I496">
            <v>0</v>
          </cell>
          <cell r="J496">
            <v>0</v>
          </cell>
          <cell r="K496">
            <v>1</v>
          </cell>
        </row>
        <row r="497">
          <cell r="H497">
            <v>0</v>
          </cell>
          <cell r="I497">
            <v>0</v>
          </cell>
          <cell r="J497">
            <v>0</v>
          </cell>
          <cell r="K497">
            <v>1</v>
          </cell>
        </row>
        <row r="498">
          <cell r="H498">
            <v>0</v>
          </cell>
          <cell r="I498">
            <v>0</v>
          </cell>
          <cell r="J498">
            <v>0</v>
          </cell>
          <cell r="K498">
            <v>1</v>
          </cell>
        </row>
        <row r="499">
          <cell r="H499">
            <v>0</v>
          </cell>
          <cell r="I499">
            <v>0</v>
          </cell>
          <cell r="J499">
            <v>0</v>
          </cell>
          <cell r="K499">
            <v>1</v>
          </cell>
        </row>
        <row r="500">
          <cell r="H500">
            <v>0</v>
          </cell>
          <cell r="I500">
            <v>0</v>
          </cell>
          <cell r="J500">
            <v>0</v>
          </cell>
          <cell r="K500">
            <v>1</v>
          </cell>
        </row>
        <row r="501">
          <cell r="H501">
            <v>0</v>
          </cell>
          <cell r="I501">
            <v>0</v>
          </cell>
          <cell r="J501">
            <v>0</v>
          </cell>
          <cell r="K501">
            <v>1</v>
          </cell>
        </row>
        <row r="502">
          <cell r="H502">
            <v>0</v>
          </cell>
          <cell r="I502">
            <v>0</v>
          </cell>
          <cell r="J502">
            <v>0</v>
          </cell>
          <cell r="K502">
            <v>1</v>
          </cell>
        </row>
        <row r="503">
          <cell r="H503">
            <v>0</v>
          </cell>
          <cell r="I503">
            <v>0</v>
          </cell>
          <cell r="J503">
            <v>0</v>
          </cell>
          <cell r="K503">
            <v>1</v>
          </cell>
        </row>
        <row r="504">
          <cell r="H504">
            <v>0</v>
          </cell>
          <cell r="I504">
            <v>0</v>
          </cell>
          <cell r="J504">
            <v>0</v>
          </cell>
          <cell r="K504">
            <v>1</v>
          </cell>
        </row>
        <row r="505">
          <cell r="H505">
            <v>0</v>
          </cell>
          <cell r="I505">
            <v>0</v>
          </cell>
          <cell r="J505">
            <v>0</v>
          </cell>
          <cell r="K505">
            <v>1</v>
          </cell>
        </row>
        <row r="506">
          <cell r="H506">
            <v>0</v>
          </cell>
          <cell r="I506">
            <v>0</v>
          </cell>
          <cell r="J506">
            <v>0</v>
          </cell>
          <cell r="K506">
            <v>1</v>
          </cell>
        </row>
      </sheetData>
      <sheetData sheetId="5">
        <row r="7">
          <cell r="C7" t="str">
            <v>SJ01</v>
          </cell>
          <cell r="D7" t="str">
            <v>Quira'ath</v>
          </cell>
          <cell r="E7" t="str">
            <v>SUB JUNIOR</v>
          </cell>
          <cell r="F7" t="str">
            <v>Single</v>
          </cell>
          <cell r="G7" t="str">
            <v>Stage</v>
          </cell>
          <cell r="H7">
            <v>8</v>
          </cell>
          <cell r="I7" t="str">
            <v>Individual</v>
          </cell>
          <cell r="J7" t="str">
            <v>Individual</v>
          </cell>
          <cell r="L7" t="str">
            <v>NOT ENTERED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</row>
        <row r="8">
          <cell r="C8" t="str">
            <v>SJ02</v>
          </cell>
          <cell r="D8" t="str">
            <v>Hifz</v>
          </cell>
          <cell r="E8" t="str">
            <v>SUB JUNIOR</v>
          </cell>
          <cell r="F8" t="str">
            <v>Single</v>
          </cell>
          <cell r="G8" t="str">
            <v>Stage</v>
          </cell>
          <cell r="H8">
            <v>4</v>
          </cell>
          <cell r="I8" t="str">
            <v>Individual</v>
          </cell>
          <cell r="J8" t="str">
            <v>Individual</v>
          </cell>
          <cell r="L8" t="str">
            <v>ENTERED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</row>
        <row r="9">
          <cell r="C9" t="str">
            <v>SJ03</v>
          </cell>
          <cell r="D9" t="str">
            <v>Vank</v>
          </cell>
          <cell r="E9" t="str">
            <v>SUB JUNIOR</v>
          </cell>
          <cell r="F9" t="str">
            <v>Single</v>
          </cell>
          <cell r="G9" t="str">
            <v>Stage</v>
          </cell>
          <cell r="H9">
            <v>2</v>
          </cell>
          <cell r="I9" t="str">
            <v>Individual</v>
          </cell>
          <cell r="J9" t="str">
            <v>Individual</v>
          </cell>
          <cell r="L9" t="str">
            <v>NOT ENTERED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</row>
        <row r="10">
          <cell r="C10" t="str">
            <v>SJ04</v>
          </cell>
          <cell r="D10" t="str">
            <v>Va'az</v>
          </cell>
          <cell r="E10" t="str">
            <v>SUB JUNIOR</v>
          </cell>
          <cell r="F10" t="str">
            <v>Single</v>
          </cell>
          <cell r="G10" t="str">
            <v>Stage</v>
          </cell>
          <cell r="H10">
            <v>3</v>
          </cell>
          <cell r="I10" t="str">
            <v>Individual</v>
          </cell>
          <cell r="J10" t="str">
            <v>Individual</v>
          </cell>
          <cell r="L10" t="str">
            <v>NOT ENTERED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</row>
        <row r="11">
          <cell r="C11" t="str">
            <v>SJ05</v>
          </cell>
          <cell r="D11" t="str">
            <v>Madhunnabi Malayalam</v>
          </cell>
          <cell r="E11" t="str">
            <v>SUB JUNIOR</v>
          </cell>
          <cell r="F11" t="str">
            <v>Single</v>
          </cell>
          <cell r="G11" t="str">
            <v>Stage</v>
          </cell>
          <cell r="H11">
            <v>6</v>
          </cell>
          <cell r="I11" t="str">
            <v>Individual</v>
          </cell>
          <cell r="J11" t="str">
            <v>Individual</v>
          </cell>
          <cell r="L11" t="str">
            <v>ENTERED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</row>
        <row r="12">
          <cell r="C12" t="str">
            <v>SJ06</v>
          </cell>
          <cell r="D12" t="str">
            <v>Song Arabic</v>
          </cell>
          <cell r="E12" t="str">
            <v>SUB JUNIOR</v>
          </cell>
          <cell r="F12" t="str">
            <v>Single</v>
          </cell>
          <cell r="G12" t="str">
            <v>Stage</v>
          </cell>
          <cell r="H12">
            <v>5</v>
          </cell>
          <cell r="I12" t="str">
            <v>Individual</v>
          </cell>
          <cell r="J12" t="str">
            <v>Individual</v>
          </cell>
          <cell r="L12" t="str">
            <v>NOT ENTERED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</row>
        <row r="13">
          <cell r="C13" t="str">
            <v>SJ07</v>
          </cell>
          <cell r="D13" t="str">
            <v>Song Urdu</v>
          </cell>
          <cell r="E13" t="str">
            <v>SUB JUNIOR</v>
          </cell>
          <cell r="F13" t="str">
            <v>Single</v>
          </cell>
          <cell r="G13" t="str">
            <v>Stage</v>
          </cell>
          <cell r="H13">
            <v>1</v>
          </cell>
          <cell r="I13" t="str">
            <v>Individual</v>
          </cell>
          <cell r="J13" t="str">
            <v>Individual</v>
          </cell>
          <cell r="L13" t="str">
            <v>ENTERED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</row>
        <row r="14">
          <cell r="C14" t="str">
            <v>SJ08</v>
          </cell>
          <cell r="D14" t="str">
            <v>Song English</v>
          </cell>
          <cell r="E14" t="str">
            <v>SUB JUNIOR</v>
          </cell>
          <cell r="F14" t="str">
            <v>Single</v>
          </cell>
          <cell r="G14" t="str">
            <v>Stage</v>
          </cell>
          <cell r="H14">
            <v>2</v>
          </cell>
          <cell r="I14" t="str">
            <v>Individual</v>
          </cell>
          <cell r="J14" t="str">
            <v>Individual</v>
          </cell>
          <cell r="L14" t="str">
            <v>NOT ENTERED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</row>
        <row r="15">
          <cell r="C15" t="str">
            <v>SJ09</v>
          </cell>
          <cell r="D15" t="str">
            <v>Padhyaparayanam</v>
          </cell>
          <cell r="E15" t="str">
            <v>SUB JUNIOR</v>
          </cell>
          <cell r="F15" t="str">
            <v>Single</v>
          </cell>
          <cell r="G15" t="str">
            <v>Stage</v>
          </cell>
          <cell r="H15">
            <v>3</v>
          </cell>
          <cell r="I15" t="str">
            <v>Individual</v>
          </cell>
          <cell r="J15" t="str">
            <v>Individual</v>
          </cell>
          <cell r="L15" t="str">
            <v>ENTERED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</row>
        <row r="16">
          <cell r="C16" t="str">
            <v>SJ10</v>
          </cell>
          <cell r="D16" t="str">
            <v xml:space="preserve">Kadhakadhanam </v>
          </cell>
          <cell r="E16" t="str">
            <v>SUB JUNIOR</v>
          </cell>
          <cell r="F16" t="str">
            <v>Single</v>
          </cell>
          <cell r="G16" t="str">
            <v>Stage</v>
          </cell>
          <cell r="H16">
            <v>5</v>
          </cell>
          <cell r="I16" t="str">
            <v>Individual</v>
          </cell>
          <cell r="J16" t="str">
            <v>Individual</v>
          </cell>
          <cell r="L16" t="str">
            <v>NOT ENTERED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</row>
        <row r="17">
          <cell r="C17" t="str">
            <v>SJ11</v>
          </cell>
          <cell r="D17" t="str">
            <v>Speech MLM</v>
          </cell>
          <cell r="E17" t="str">
            <v>SUB JUNIOR</v>
          </cell>
          <cell r="F17" t="str">
            <v>Single</v>
          </cell>
          <cell r="G17" t="str">
            <v>Stage</v>
          </cell>
          <cell r="H17">
            <v>4</v>
          </cell>
          <cell r="I17" t="str">
            <v>Individual</v>
          </cell>
          <cell r="J17" t="str">
            <v>Individual</v>
          </cell>
          <cell r="L17" t="str">
            <v>NOT ENTERED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</row>
        <row r="18">
          <cell r="C18" t="str">
            <v>SJ12</v>
          </cell>
          <cell r="D18" t="str">
            <v>Speech ARB</v>
          </cell>
          <cell r="E18" t="str">
            <v>SUB JUNIOR</v>
          </cell>
          <cell r="F18" t="str">
            <v>Single</v>
          </cell>
          <cell r="G18" t="str">
            <v>Stage</v>
          </cell>
          <cell r="H18">
            <v>1</v>
          </cell>
          <cell r="I18" t="str">
            <v>Individual</v>
          </cell>
          <cell r="J18" t="str">
            <v>Individual</v>
          </cell>
          <cell r="L18" t="str">
            <v>NOT ENTERED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</row>
        <row r="19">
          <cell r="C19" t="str">
            <v>SJ13</v>
          </cell>
          <cell r="D19" t="str">
            <v>Speech URD</v>
          </cell>
          <cell r="E19" t="str">
            <v>SUB JUNIOR</v>
          </cell>
          <cell r="F19" t="str">
            <v>Single</v>
          </cell>
          <cell r="G19" t="str">
            <v>Stage</v>
          </cell>
          <cell r="H19">
            <v>1</v>
          </cell>
          <cell r="I19" t="str">
            <v>Individual</v>
          </cell>
          <cell r="J19" t="str">
            <v>Individual</v>
          </cell>
          <cell r="L19" t="str">
            <v>NOT ENTERED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</row>
        <row r="20">
          <cell r="C20" t="str">
            <v>SJ14</v>
          </cell>
          <cell r="D20" t="str">
            <v>Speech ENG</v>
          </cell>
          <cell r="E20" t="str">
            <v>SUB JUNIOR</v>
          </cell>
          <cell r="F20" t="str">
            <v>Single</v>
          </cell>
          <cell r="G20" t="str">
            <v>Stage</v>
          </cell>
          <cell r="H20">
            <v>1</v>
          </cell>
          <cell r="I20" t="str">
            <v>Individual</v>
          </cell>
          <cell r="J20" t="str">
            <v>Individual</v>
          </cell>
          <cell r="L20" t="str">
            <v>NOT ENTERED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</row>
        <row r="21">
          <cell r="C21" t="str">
            <v>SJ15</v>
          </cell>
          <cell r="D21" t="str">
            <v>Word Wizard</v>
          </cell>
          <cell r="E21" t="str">
            <v>SUB JUNIOR</v>
          </cell>
          <cell r="F21" t="str">
            <v>Single</v>
          </cell>
          <cell r="G21" t="str">
            <v>Non-Stg</v>
          </cell>
          <cell r="H21">
            <v>5</v>
          </cell>
          <cell r="I21" t="str">
            <v>Individual</v>
          </cell>
          <cell r="J21" t="str">
            <v>Individual</v>
          </cell>
          <cell r="L21" t="str">
            <v>NOT ENTERED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</row>
        <row r="22">
          <cell r="C22" t="str">
            <v>SJ16</v>
          </cell>
          <cell r="D22" t="str">
            <v>Word War English</v>
          </cell>
          <cell r="E22" t="str">
            <v>SUB JUNIOR</v>
          </cell>
          <cell r="F22" t="str">
            <v>Single</v>
          </cell>
          <cell r="G22" t="str">
            <v>Non-Stg</v>
          </cell>
          <cell r="H22">
            <v>1</v>
          </cell>
          <cell r="I22" t="str">
            <v>Individual</v>
          </cell>
          <cell r="J22" t="str">
            <v>Individual</v>
          </cell>
          <cell r="L22" t="str">
            <v>NOT ENTERED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</row>
        <row r="23">
          <cell r="C23" t="str">
            <v>SJ17</v>
          </cell>
          <cell r="D23" t="str">
            <v>Mulafaza arabic</v>
          </cell>
          <cell r="E23" t="str">
            <v>SUB JUNIOR</v>
          </cell>
          <cell r="F23" t="str">
            <v>Single</v>
          </cell>
          <cell r="G23" t="str">
            <v>Stage</v>
          </cell>
          <cell r="H23">
            <v>1</v>
          </cell>
          <cell r="I23" t="str">
            <v>Individual</v>
          </cell>
          <cell r="J23" t="str">
            <v>Individual</v>
          </cell>
          <cell r="L23" t="str">
            <v>NOT ENTERED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</row>
        <row r="24">
          <cell r="C24" t="str">
            <v>SJ18</v>
          </cell>
          <cell r="D24" t="str">
            <v>Quiz</v>
          </cell>
          <cell r="E24" t="str">
            <v>SUB JUNIOR</v>
          </cell>
          <cell r="F24" t="str">
            <v>Single</v>
          </cell>
          <cell r="G24" t="str">
            <v>Non-Stg</v>
          </cell>
          <cell r="H24">
            <v>1</v>
          </cell>
          <cell r="I24" t="str">
            <v>Individual</v>
          </cell>
          <cell r="J24" t="str">
            <v>Individual</v>
          </cell>
          <cell r="L24" t="str">
            <v>NOT ENTERED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</row>
        <row r="25">
          <cell r="C25" t="str">
            <v>SJ19</v>
          </cell>
          <cell r="D25" t="str">
            <v>Geo giant</v>
          </cell>
          <cell r="E25" t="str">
            <v>SUB JUNIOR</v>
          </cell>
          <cell r="F25" t="str">
            <v>Single</v>
          </cell>
          <cell r="G25" t="str">
            <v>Stage</v>
          </cell>
          <cell r="H25">
            <v>1</v>
          </cell>
          <cell r="I25" t="str">
            <v>Individual</v>
          </cell>
          <cell r="J25" t="str">
            <v>Individual</v>
          </cell>
          <cell r="L25" t="str">
            <v>NOT ENTERED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</row>
        <row r="26">
          <cell r="C26" t="str">
            <v>SJ20</v>
          </cell>
          <cell r="D26" t="str">
            <v>Math Talent</v>
          </cell>
          <cell r="E26" t="str">
            <v>SUB JUNIOR</v>
          </cell>
          <cell r="F26" t="str">
            <v>Single</v>
          </cell>
          <cell r="G26" t="str">
            <v>Non-Stg</v>
          </cell>
          <cell r="H26">
            <v>5</v>
          </cell>
          <cell r="I26" t="str">
            <v>Individual</v>
          </cell>
          <cell r="J26" t="str">
            <v>Individual</v>
          </cell>
          <cell r="L26" t="str">
            <v>NOT ENTERED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</row>
        <row r="27">
          <cell r="C27" t="str">
            <v>SJ21</v>
          </cell>
          <cell r="D27" t="str">
            <v>Reading English</v>
          </cell>
          <cell r="E27" t="str">
            <v>SUB JUNIOR</v>
          </cell>
          <cell r="F27" t="str">
            <v>Single</v>
          </cell>
          <cell r="G27" t="str">
            <v>Stage</v>
          </cell>
          <cell r="H27">
            <v>3</v>
          </cell>
          <cell r="I27" t="str">
            <v>Individual</v>
          </cell>
          <cell r="J27" t="str">
            <v>Individual</v>
          </cell>
          <cell r="L27" t="str">
            <v>NOT ENTERED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</row>
        <row r="28">
          <cell r="C28" t="str">
            <v>SJ22</v>
          </cell>
          <cell r="D28" t="str">
            <v>Reading Hindi</v>
          </cell>
          <cell r="E28" t="str">
            <v>SUB JUNIOR</v>
          </cell>
          <cell r="F28" t="str">
            <v>Single</v>
          </cell>
          <cell r="G28" t="str">
            <v>Non-Stg</v>
          </cell>
          <cell r="H28">
            <v>4</v>
          </cell>
          <cell r="I28" t="str">
            <v>Individual</v>
          </cell>
          <cell r="J28" t="str">
            <v>Individual</v>
          </cell>
          <cell r="L28" t="str">
            <v>NOT ENTERED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</row>
        <row r="29">
          <cell r="C29" t="str">
            <v>SJ23</v>
          </cell>
          <cell r="D29" t="str">
            <v>Reading Arabic</v>
          </cell>
          <cell r="E29" t="str">
            <v>SUB JUNIOR</v>
          </cell>
          <cell r="F29" t="str">
            <v>Single</v>
          </cell>
          <cell r="G29" t="str">
            <v>Stage</v>
          </cell>
          <cell r="H29">
            <v>4</v>
          </cell>
          <cell r="I29" t="str">
            <v>Individual</v>
          </cell>
          <cell r="J29" t="str">
            <v>Individual</v>
          </cell>
          <cell r="L29" t="str">
            <v>NOT ENTERED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</row>
        <row r="30">
          <cell r="C30" t="str">
            <v>SJ24</v>
          </cell>
          <cell r="D30" t="str">
            <v>Group Song</v>
          </cell>
          <cell r="E30" t="str">
            <v>SUB JUNIOR</v>
          </cell>
          <cell r="F30" t="str">
            <v>Group</v>
          </cell>
          <cell r="G30" t="str">
            <v>Non-Stg</v>
          </cell>
          <cell r="H30">
            <v>4</v>
          </cell>
          <cell r="I30" t="str">
            <v>GROUP 3</v>
          </cell>
          <cell r="J30" t="str">
            <v>GROUP 3</v>
          </cell>
          <cell r="L30" t="str">
            <v>NOT ENTERED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</row>
        <row r="31">
          <cell r="C31" t="str">
            <v>SJ25</v>
          </cell>
          <cell r="D31" t="str">
            <v>Speech &amp; Song Malayalam</v>
          </cell>
          <cell r="E31" t="str">
            <v>SUB JUNIOR</v>
          </cell>
          <cell r="F31" t="str">
            <v>Group</v>
          </cell>
          <cell r="G31" t="str">
            <v>Stage</v>
          </cell>
          <cell r="H31">
            <v>4</v>
          </cell>
          <cell r="I31" t="str">
            <v>GROUP</v>
          </cell>
          <cell r="J31" t="str">
            <v>GROUP</v>
          </cell>
          <cell r="L31" t="str">
            <v>ENTERED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</row>
        <row r="32">
          <cell r="C32" t="str">
            <v>SJ26</v>
          </cell>
          <cell r="D32" t="str">
            <v>Conversation English</v>
          </cell>
          <cell r="E32" t="str">
            <v>SUB JUNIOR</v>
          </cell>
          <cell r="F32" t="str">
            <v>Group</v>
          </cell>
          <cell r="G32" t="str">
            <v>Non-Stg</v>
          </cell>
          <cell r="H32">
            <v>4</v>
          </cell>
          <cell r="I32" t="str">
            <v>GROUP 2</v>
          </cell>
          <cell r="J32" t="str">
            <v>GROUP 2</v>
          </cell>
          <cell r="L32" t="str">
            <v>NOT ENTERED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</row>
        <row r="33">
          <cell r="C33" t="str">
            <v>SJ27</v>
          </cell>
          <cell r="D33" t="str">
            <v>Conversation Malayalam</v>
          </cell>
          <cell r="E33" t="str">
            <v>SUB JUNIOR</v>
          </cell>
          <cell r="F33" t="str">
            <v>Group</v>
          </cell>
          <cell r="G33" t="str">
            <v>Stage</v>
          </cell>
          <cell r="H33">
            <v>4</v>
          </cell>
          <cell r="I33" t="str">
            <v>GROUP 2</v>
          </cell>
          <cell r="J33" t="str">
            <v>GROUP 2</v>
          </cell>
          <cell r="L33" t="str">
            <v>NOT ENTERED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</row>
        <row r="34">
          <cell r="C34" t="str">
            <v>SJ28</v>
          </cell>
          <cell r="D34" t="str">
            <v>Hand Writing Arabic</v>
          </cell>
          <cell r="E34" t="str">
            <v>SUB JUNIOR</v>
          </cell>
          <cell r="F34" t="str">
            <v>Single</v>
          </cell>
          <cell r="G34" t="str">
            <v>Non-Stg</v>
          </cell>
          <cell r="H34">
            <v>4</v>
          </cell>
          <cell r="I34" t="str">
            <v>Individual</v>
          </cell>
          <cell r="J34" t="str">
            <v>Individual</v>
          </cell>
          <cell r="L34" t="str">
            <v>NOT ENTERED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</row>
        <row r="35">
          <cell r="C35" t="str">
            <v>SJ29</v>
          </cell>
          <cell r="D35" t="str">
            <v>Hand Writing Urdu</v>
          </cell>
          <cell r="E35" t="str">
            <v>SUB JUNIOR</v>
          </cell>
          <cell r="F35" t="str">
            <v>Single</v>
          </cell>
          <cell r="G35" t="str">
            <v>Stage</v>
          </cell>
          <cell r="H35">
            <v>4</v>
          </cell>
          <cell r="I35" t="str">
            <v>Individual</v>
          </cell>
          <cell r="J35" t="str">
            <v>Individual</v>
          </cell>
          <cell r="L35" t="str">
            <v>NOT ENTERED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</row>
        <row r="36">
          <cell r="C36" t="str">
            <v>SJ30</v>
          </cell>
          <cell r="D36" t="str">
            <v>Hand Writing English</v>
          </cell>
          <cell r="E36" t="str">
            <v>SUB JUNIOR</v>
          </cell>
          <cell r="F36" t="str">
            <v>Single</v>
          </cell>
          <cell r="G36" t="str">
            <v>Non-Stg</v>
          </cell>
          <cell r="H36">
            <v>4</v>
          </cell>
          <cell r="I36" t="str">
            <v>Individual</v>
          </cell>
          <cell r="J36" t="str">
            <v>Individual</v>
          </cell>
          <cell r="L36" t="str">
            <v>NOT ENTERED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</row>
        <row r="37">
          <cell r="C37" t="str">
            <v>SJ31</v>
          </cell>
          <cell r="D37" t="str">
            <v>Hand Writing Malayalam</v>
          </cell>
          <cell r="E37" t="str">
            <v>SUB JUNIOR</v>
          </cell>
          <cell r="F37" t="str">
            <v>Single</v>
          </cell>
          <cell r="G37" t="str">
            <v>Stage</v>
          </cell>
          <cell r="H37">
            <v>4</v>
          </cell>
          <cell r="I37" t="str">
            <v>Individual</v>
          </cell>
          <cell r="J37" t="str">
            <v>Individual</v>
          </cell>
          <cell r="L37" t="str">
            <v>NOT ENTERED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</row>
        <row r="38">
          <cell r="C38" t="str">
            <v>SJ32</v>
          </cell>
          <cell r="D38" t="str">
            <v>Hand Writing Hindi</v>
          </cell>
          <cell r="E38" t="str">
            <v>SUB JUNIOR</v>
          </cell>
          <cell r="F38" t="str">
            <v>Single</v>
          </cell>
          <cell r="G38" t="str">
            <v>Non-Stg</v>
          </cell>
          <cell r="H38">
            <v>4</v>
          </cell>
          <cell r="I38" t="str">
            <v>Individual</v>
          </cell>
          <cell r="J38" t="str">
            <v>Individual</v>
          </cell>
          <cell r="L38" t="str">
            <v>NOT ENTERED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</row>
        <row r="39">
          <cell r="C39" t="str">
            <v>SJ33</v>
          </cell>
          <cell r="D39" t="str">
            <v>Essay Writing Malyalam</v>
          </cell>
          <cell r="E39" t="str">
            <v>SUB JUNIOR</v>
          </cell>
          <cell r="F39" t="str">
            <v>Single</v>
          </cell>
          <cell r="G39" t="str">
            <v>Stage</v>
          </cell>
          <cell r="H39">
            <v>4</v>
          </cell>
          <cell r="I39" t="str">
            <v>Individual</v>
          </cell>
          <cell r="J39" t="str">
            <v>Individual</v>
          </cell>
          <cell r="L39" t="str">
            <v>NOT ENTERED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</row>
        <row r="40">
          <cell r="C40" t="str">
            <v>SJ34</v>
          </cell>
          <cell r="D40" t="str">
            <v>Poem Writing Malyalam</v>
          </cell>
          <cell r="E40" t="str">
            <v>SUB JUNIOR</v>
          </cell>
          <cell r="F40" t="str">
            <v>Single</v>
          </cell>
          <cell r="G40" t="str">
            <v>Non-Stg</v>
          </cell>
          <cell r="H40">
            <v>4</v>
          </cell>
          <cell r="I40" t="str">
            <v>Individual</v>
          </cell>
          <cell r="J40" t="str">
            <v>Individual</v>
          </cell>
          <cell r="L40" t="str">
            <v>NOT ENTERED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</row>
        <row r="41">
          <cell r="C41" t="str">
            <v>SJ35</v>
          </cell>
          <cell r="D41" t="str">
            <v>Story Completion MLM</v>
          </cell>
          <cell r="E41" t="str">
            <v>SUB JUNIOR</v>
          </cell>
          <cell r="F41" t="str">
            <v>Single</v>
          </cell>
          <cell r="G41" t="str">
            <v>Stage</v>
          </cell>
          <cell r="H41">
            <v>4</v>
          </cell>
          <cell r="I41" t="str">
            <v>Individual</v>
          </cell>
          <cell r="J41" t="str">
            <v>Individual</v>
          </cell>
          <cell r="L41" t="str">
            <v>NOT ENTERED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</row>
        <row r="42">
          <cell r="C42" t="str">
            <v>SJ36</v>
          </cell>
          <cell r="D42" t="str">
            <v>Memory Test</v>
          </cell>
          <cell r="E42" t="str">
            <v>SUB JUNIOR</v>
          </cell>
          <cell r="F42" t="str">
            <v>Single</v>
          </cell>
          <cell r="G42" t="str">
            <v>Non-Stg</v>
          </cell>
          <cell r="H42">
            <v>4</v>
          </cell>
          <cell r="I42" t="str">
            <v>Individual</v>
          </cell>
          <cell r="J42" t="str">
            <v>Individual</v>
          </cell>
          <cell r="L42" t="str">
            <v>NOT ENTERED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</row>
        <row r="43">
          <cell r="C43" t="str">
            <v>SJ37</v>
          </cell>
          <cell r="D43" t="str">
            <v>Vocabulary</v>
          </cell>
          <cell r="E43" t="str">
            <v>SUB JUNIOR</v>
          </cell>
          <cell r="F43" t="str">
            <v>Single</v>
          </cell>
          <cell r="G43" t="str">
            <v>Stage</v>
          </cell>
          <cell r="H43">
            <v>4</v>
          </cell>
          <cell r="I43" t="str">
            <v>Individual</v>
          </cell>
          <cell r="J43" t="str">
            <v>Individual</v>
          </cell>
          <cell r="L43" t="str">
            <v>NOT ENTERED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</row>
        <row r="44">
          <cell r="C44" t="str">
            <v>SJ38</v>
          </cell>
          <cell r="D44" t="str">
            <v>Pencil Drawing</v>
          </cell>
          <cell r="E44" t="str">
            <v>SUB JUNIOR</v>
          </cell>
          <cell r="F44" t="str">
            <v>Single</v>
          </cell>
          <cell r="G44" t="str">
            <v>Non-Stg</v>
          </cell>
          <cell r="H44">
            <v>4</v>
          </cell>
          <cell r="I44" t="str">
            <v>Individual</v>
          </cell>
          <cell r="J44" t="str">
            <v>Individual</v>
          </cell>
          <cell r="L44" t="str">
            <v>NOT ENTERED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</row>
        <row r="45">
          <cell r="C45" t="str">
            <v>SJ39</v>
          </cell>
          <cell r="D45" t="str">
            <v>Dictionary Making Arabic</v>
          </cell>
          <cell r="E45" t="str">
            <v>SUB JUNIOR</v>
          </cell>
          <cell r="F45" t="str">
            <v>Single</v>
          </cell>
          <cell r="G45" t="str">
            <v>Stage</v>
          </cell>
          <cell r="H45">
            <v>4</v>
          </cell>
          <cell r="I45" t="str">
            <v>Individual</v>
          </cell>
          <cell r="J45" t="str">
            <v>Individual</v>
          </cell>
          <cell r="L45" t="str">
            <v>NOT ENTERED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</row>
        <row r="46">
          <cell r="C46" t="str">
            <v>SJ40</v>
          </cell>
          <cell r="D46" t="str">
            <v>MS Paint</v>
          </cell>
          <cell r="E46" t="str">
            <v>SUB JUNIOR</v>
          </cell>
          <cell r="F46" t="str">
            <v>Single</v>
          </cell>
          <cell r="G46" t="str">
            <v>Non-Stg</v>
          </cell>
          <cell r="H46">
            <v>4</v>
          </cell>
          <cell r="I46" t="str">
            <v>Individual</v>
          </cell>
          <cell r="J46" t="str">
            <v>Individual</v>
          </cell>
          <cell r="L46" t="str">
            <v>NOT ENTERED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</row>
        <row r="47">
          <cell r="C47" t="str">
            <v>SJ41</v>
          </cell>
          <cell r="D47" t="str">
            <v>Calligraphy</v>
          </cell>
          <cell r="E47" t="str">
            <v>SUB JUNIOR</v>
          </cell>
          <cell r="F47" t="str">
            <v>Single</v>
          </cell>
          <cell r="G47" t="str">
            <v>Stage</v>
          </cell>
          <cell r="H47">
            <v>4</v>
          </cell>
          <cell r="I47" t="str">
            <v>Individual</v>
          </cell>
          <cell r="J47" t="str">
            <v>Individual</v>
          </cell>
          <cell r="L47" t="str">
            <v>NOT ENTERED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</row>
        <row r="48">
          <cell r="C48" t="str">
            <v>SJ42</v>
          </cell>
          <cell r="D48" t="str">
            <v>Short Story MLM</v>
          </cell>
          <cell r="E48" t="str">
            <v>SUB JUNIOR</v>
          </cell>
          <cell r="F48" t="str">
            <v>Single</v>
          </cell>
          <cell r="G48" t="str">
            <v>Non-Stg</v>
          </cell>
          <cell r="H48">
            <v>4</v>
          </cell>
          <cell r="I48" t="str">
            <v>Individual</v>
          </cell>
          <cell r="J48" t="str">
            <v>Individual</v>
          </cell>
          <cell r="L48" t="str">
            <v>NOT ENTERED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</row>
        <row r="49">
          <cell r="C49" t="str">
            <v>SJ43</v>
          </cell>
          <cell r="D49" t="str">
            <v>News writing MLM</v>
          </cell>
          <cell r="E49" t="str">
            <v>SUB JUNIOR</v>
          </cell>
          <cell r="F49" t="str">
            <v>Single</v>
          </cell>
          <cell r="G49" t="str">
            <v>Stage</v>
          </cell>
          <cell r="H49">
            <v>4</v>
          </cell>
          <cell r="I49" t="str">
            <v>Individual</v>
          </cell>
          <cell r="J49" t="str">
            <v>Individual</v>
          </cell>
          <cell r="L49" t="str">
            <v>NOT ENTERED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</row>
        <row r="50">
          <cell r="C50" t="str">
            <v>SJ44</v>
          </cell>
          <cell r="D50" t="str">
            <v>Poster Designing</v>
          </cell>
          <cell r="E50" t="str">
            <v>SUB JUNIOR</v>
          </cell>
          <cell r="F50" t="str">
            <v>Single</v>
          </cell>
          <cell r="G50" t="str">
            <v>Non-Stg</v>
          </cell>
          <cell r="H50">
            <v>4</v>
          </cell>
          <cell r="I50" t="str">
            <v>Individual</v>
          </cell>
          <cell r="J50" t="str">
            <v>Individual</v>
          </cell>
          <cell r="L50" t="str">
            <v>NOT ENTERED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</row>
        <row r="51">
          <cell r="C51" t="str">
            <v>SJ45</v>
          </cell>
          <cell r="D51" t="str">
            <v>Water Painting</v>
          </cell>
          <cell r="E51" t="str">
            <v>SUB JUNIOR</v>
          </cell>
          <cell r="F51" t="str">
            <v>Single</v>
          </cell>
          <cell r="G51" t="str">
            <v>Stage</v>
          </cell>
          <cell r="H51">
            <v>4</v>
          </cell>
          <cell r="I51" t="str">
            <v>Individual</v>
          </cell>
          <cell r="J51" t="str">
            <v>Individual</v>
          </cell>
          <cell r="L51" t="str">
            <v>NOT ENTERED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</row>
        <row r="52">
          <cell r="C52" t="str">
            <v>SJ46</v>
          </cell>
          <cell r="D52" t="str">
            <v>Origami</v>
          </cell>
          <cell r="E52" t="str">
            <v>SUB JUNIOR</v>
          </cell>
          <cell r="F52" t="str">
            <v>Single</v>
          </cell>
          <cell r="G52" t="str">
            <v>Non-Stg</v>
          </cell>
          <cell r="H52">
            <v>4</v>
          </cell>
          <cell r="I52" t="str">
            <v>Individual</v>
          </cell>
          <cell r="J52" t="str">
            <v>Individual</v>
          </cell>
          <cell r="L52" t="str">
            <v>NOT ENTERED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</row>
        <row r="53">
          <cell r="C53" t="str">
            <v>SJ47</v>
          </cell>
          <cell r="D53" t="str">
            <v>Su Do Ku</v>
          </cell>
          <cell r="E53" t="str">
            <v>SUB JUNIOR</v>
          </cell>
          <cell r="F53" t="str">
            <v>Single</v>
          </cell>
          <cell r="G53" t="str">
            <v>Stage</v>
          </cell>
          <cell r="H53">
            <v>4</v>
          </cell>
          <cell r="I53" t="str">
            <v>Individual</v>
          </cell>
          <cell r="J53" t="str">
            <v>Individual</v>
          </cell>
          <cell r="L53" t="str">
            <v>NOT ENTERED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</row>
        <row r="54">
          <cell r="C54" t="str">
            <v>JN01</v>
          </cell>
          <cell r="D54" t="str">
            <v>Quira'ath with Thajveed</v>
          </cell>
          <cell r="E54" t="str">
            <v>JUNIOR</v>
          </cell>
          <cell r="F54" t="str">
            <v>Single</v>
          </cell>
          <cell r="G54" t="str">
            <v>Non-Stg</v>
          </cell>
          <cell r="H54">
            <v>4</v>
          </cell>
          <cell r="I54" t="str">
            <v>Individual</v>
          </cell>
          <cell r="J54" t="str">
            <v>Individual</v>
          </cell>
          <cell r="L54" t="str">
            <v>NOT ENTERED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</row>
        <row r="55">
          <cell r="C55" t="str">
            <v>JN02</v>
          </cell>
          <cell r="D55" t="str">
            <v>Hifz</v>
          </cell>
          <cell r="E55" t="str">
            <v>JUNIOR</v>
          </cell>
          <cell r="F55" t="str">
            <v>Single</v>
          </cell>
          <cell r="G55" t="str">
            <v>Stage</v>
          </cell>
          <cell r="H55">
            <v>4</v>
          </cell>
          <cell r="I55" t="str">
            <v>Individual</v>
          </cell>
          <cell r="J55" t="str">
            <v>Individual</v>
          </cell>
          <cell r="L55" t="str">
            <v>NOT ENTERED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</row>
        <row r="56">
          <cell r="C56" t="str">
            <v>JN03</v>
          </cell>
          <cell r="D56" t="str">
            <v>Vank</v>
          </cell>
          <cell r="E56" t="str">
            <v>JUNIOR</v>
          </cell>
          <cell r="F56" t="str">
            <v>Single</v>
          </cell>
          <cell r="G56" t="str">
            <v>Non-Stg</v>
          </cell>
          <cell r="H56">
            <v>4</v>
          </cell>
          <cell r="I56" t="str">
            <v>Individual</v>
          </cell>
          <cell r="J56" t="str">
            <v>Individual</v>
          </cell>
          <cell r="L56" t="str">
            <v>NOT ENTERED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</row>
        <row r="57">
          <cell r="C57" t="str">
            <v>JN04</v>
          </cell>
          <cell r="D57" t="str">
            <v>va'az</v>
          </cell>
          <cell r="E57" t="str">
            <v>JUNIOR</v>
          </cell>
          <cell r="F57" t="str">
            <v>Single</v>
          </cell>
          <cell r="G57" t="str">
            <v>Stage</v>
          </cell>
          <cell r="H57">
            <v>4</v>
          </cell>
          <cell r="I57" t="str">
            <v>Individual</v>
          </cell>
          <cell r="J57" t="str">
            <v>Individual</v>
          </cell>
          <cell r="L57" t="str">
            <v>NOT ENTERED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</row>
        <row r="58">
          <cell r="C58" t="str">
            <v>JN05</v>
          </cell>
          <cell r="D58" t="str">
            <v>Speech Malayalam</v>
          </cell>
          <cell r="E58" t="str">
            <v>JUNIOR</v>
          </cell>
          <cell r="F58" t="str">
            <v>Single</v>
          </cell>
          <cell r="G58" t="str">
            <v>Non-Stg</v>
          </cell>
          <cell r="H58">
            <v>4</v>
          </cell>
          <cell r="I58" t="str">
            <v>Individual</v>
          </cell>
          <cell r="J58" t="str">
            <v>Individual</v>
          </cell>
          <cell r="L58" t="str">
            <v>NOT ENTERED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</row>
        <row r="59">
          <cell r="C59" t="str">
            <v>JN06</v>
          </cell>
          <cell r="D59" t="str">
            <v>Speech English</v>
          </cell>
          <cell r="E59" t="str">
            <v>JUNIOR</v>
          </cell>
          <cell r="F59" t="str">
            <v>Single</v>
          </cell>
          <cell r="G59" t="str">
            <v>Stage</v>
          </cell>
          <cell r="H59">
            <v>4</v>
          </cell>
          <cell r="I59" t="str">
            <v>Individual</v>
          </cell>
          <cell r="J59" t="str">
            <v>Individual</v>
          </cell>
          <cell r="L59" t="str">
            <v>NOT ENTERED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</row>
        <row r="60">
          <cell r="C60" t="str">
            <v>JN07</v>
          </cell>
          <cell r="D60" t="str">
            <v>Speech Urdu</v>
          </cell>
          <cell r="E60" t="str">
            <v>JUNIOR</v>
          </cell>
          <cell r="F60" t="str">
            <v>Single</v>
          </cell>
          <cell r="G60" t="str">
            <v>Non-Stg</v>
          </cell>
          <cell r="H60">
            <v>4</v>
          </cell>
          <cell r="I60" t="str">
            <v>Individual</v>
          </cell>
          <cell r="J60" t="str">
            <v>Individual</v>
          </cell>
          <cell r="L60" t="str">
            <v>NOT ENTERED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</row>
        <row r="61">
          <cell r="C61" t="str">
            <v>JN08</v>
          </cell>
          <cell r="D61" t="str">
            <v>Speech Arabic</v>
          </cell>
          <cell r="E61" t="str">
            <v>JUNIOR</v>
          </cell>
          <cell r="F61" t="str">
            <v>Single</v>
          </cell>
          <cell r="G61" t="str">
            <v>Stage</v>
          </cell>
          <cell r="H61">
            <v>4</v>
          </cell>
          <cell r="I61" t="str">
            <v>Individual</v>
          </cell>
          <cell r="J61" t="str">
            <v>Individual</v>
          </cell>
          <cell r="L61" t="str">
            <v>NOT ENTERED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</row>
        <row r="62">
          <cell r="C62" t="str">
            <v>JN09</v>
          </cell>
          <cell r="D62" t="str">
            <v>Song Arabic</v>
          </cell>
          <cell r="E62" t="str">
            <v>JUNIOR</v>
          </cell>
          <cell r="F62" t="str">
            <v>Single</v>
          </cell>
          <cell r="G62" t="str">
            <v>Non-Stg</v>
          </cell>
          <cell r="H62">
            <v>4</v>
          </cell>
          <cell r="I62" t="str">
            <v>Individual</v>
          </cell>
          <cell r="J62" t="str">
            <v>Individual</v>
          </cell>
          <cell r="L62" t="str">
            <v>NOT ENTERED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</row>
        <row r="63">
          <cell r="C63" t="str">
            <v>JN10</v>
          </cell>
          <cell r="D63" t="str">
            <v>Song Urdu</v>
          </cell>
          <cell r="E63" t="str">
            <v>JUNIOR</v>
          </cell>
          <cell r="F63" t="str">
            <v>Single</v>
          </cell>
          <cell r="G63" t="str">
            <v>Stage</v>
          </cell>
          <cell r="H63">
            <v>4</v>
          </cell>
          <cell r="I63" t="str">
            <v>Individual</v>
          </cell>
          <cell r="J63" t="str">
            <v>Individual</v>
          </cell>
          <cell r="L63" t="str">
            <v>NOT ENTERED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</row>
        <row r="64">
          <cell r="C64" t="str">
            <v>JN11</v>
          </cell>
          <cell r="D64" t="str">
            <v>Song English</v>
          </cell>
          <cell r="E64" t="str">
            <v>JUNIOR</v>
          </cell>
          <cell r="F64" t="str">
            <v>Single</v>
          </cell>
          <cell r="G64" t="str">
            <v>Non-Stg</v>
          </cell>
          <cell r="H64">
            <v>4</v>
          </cell>
          <cell r="I64" t="str">
            <v>Individual</v>
          </cell>
          <cell r="J64" t="str">
            <v>Individual</v>
          </cell>
          <cell r="L64" t="str">
            <v>NOT ENTERED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</row>
        <row r="65">
          <cell r="C65" t="str">
            <v>JN12</v>
          </cell>
          <cell r="D65" t="str">
            <v>Song Malyalam</v>
          </cell>
          <cell r="E65" t="str">
            <v>JUNIOR</v>
          </cell>
          <cell r="F65" t="str">
            <v>Single</v>
          </cell>
          <cell r="G65" t="str">
            <v>Stage</v>
          </cell>
          <cell r="H65">
            <v>4</v>
          </cell>
          <cell r="I65" t="str">
            <v>Individual</v>
          </cell>
          <cell r="J65" t="str">
            <v>Individual</v>
          </cell>
          <cell r="L65" t="str">
            <v>NOT ENTERED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</row>
        <row r="66">
          <cell r="C66" t="str">
            <v>JN13</v>
          </cell>
          <cell r="D66" t="str">
            <v xml:space="preserve">Kadhakadhanam </v>
          </cell>
          <cell r="E66" t="str">
            <v>JUNIOR</v>
          </cell>
          <cell r="F66" t="str">
            <v>Single</v>
          </cell>
          <cell r="G66" t="str">
            <v>Non-Stg</v>
          </cell>
          <cell r="H66">
            <v>4</v>
          </cell>
          <cell r="I66" t="str">
            <v>Individual</v>
          </cell>
          <cell r="J66" t="str">
            <v>Individual</v>
          </cell>
          <cell r="L66" t="str">
            <v>NOT ENTERED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</row>
        <row r="67">
          <cell r="C67" t="str">
            <v>JN14</v>
          </cell>
          <cell r="D67" t="str">
            <v>Mulafaza arabic</v>
          </cell>
          <cell r="E67" t="str">
            <v>JUNIOR</v>
          </cell>
          <cell r="F67" t="str">
            <v>Single</v>
          </cell>
          <cell r="G67" t="str">
            <v>Stage</v>
          </cell>
          <cell r="H67">
            <v>3</v>
          </cell>
          <cell r="I67" t="str">
            <v>Individual</v>
          </cell>
          <cell r="J67" t="str">
            <v>Individual</v>
          </cell>
          <cell r="L67" t="str">
            <v>NOT ENTERED</v>
          </cell>
        </row>
        <row r="68">
          <cell r="C68" t="str">
            <v>JN15</v>
          </cell>
          <cell r="D68" t="str">
            <v>Word War English</v>
          </cell>
          <cell r="E68" t="str">
            <v>JUNIOR</v>
          </cell>
          <cell r="F68" t="str">
            <v>Single</v>
          </cell>
          <cell r="G68" t="str">
            <v>Non-Stg</v>
          </cell>
          <cell r="H68">
            <v>3</v>
          </cell>
          <cell r="I68" t="str">
            <v>Individual</v>
          </cell>
          <cell r="J68" t="str">
            <v>Individual</v>
          </cell>
          <cell r="L68" t="str">
            <v>NOT ENTERED</v>
          </cell>
        </row>
        <row r="69">
          <cell r="C69" t="str">
            <v>JN16</v>
          </cell>
          <cell r="D69" t="str">
            <v>Quiz</v>
          </cell>
          <cell r="E69" t="str">
            <v>JUNIOR</v>
          </cell>
          <cell r="F69" t="str">
            <v>Single</v>
          </cell>
          <cell r="G69" t="str">
            <v>Stage</v>
          </cell>
          <cell r="H69">
            <v>3</v>
          </cell>
          <cell r="I69" t="str">
            <v>Individual</v>
          </cell>
          <cell r="J69" t="str">
            <v>Individual</v>
          </cell>
          <cell r="L69" t="str">
            <v>NOT ENTERED</v>
          </cell>
        </row>
        <row r="70">
          <cell r="C70" t="str">
            <v>JN17</v>
          </cell>
          <cell r="D70" t="str">
            <v>Word Wizard</v>
          </cell>
          <cell r="E70" t="str">
            <v>JUNIOR</v>
          </cell>
          <cell r="F70" t="str">
            <v>Single</v>
          </cell>
          <cell r="G70" t="str">
            <v>Non-Stg</v>
          </cell>
          <cell r="H70">
            <v>3</v>
          </cell>
          <cell r="I70" t="str">
            <v>Individual</v>
          </cell>
          <cell r="J70" t="str">
            <v>Individual</v>
          </cell>
          <cell r="L70" t="str">
            <v>NOT ENTERED</v>
          </cell>
        </row>
        <row r="71">
          <cell r="C71" t="str">
            <v>JN18</v>
          </cell>
          <cell r="D71" t="str">
            <v>Math Talent</v>
          </cell>
          <cell r="E71" t="str">
            <v>JUNIOR</v>
          </cell>
          <cell r="F71" t="str">
            <v>Single</v>
          </cell>
          <cell r="G71" t="str">
            <v>Stage</v>
          </cell>
          <cell r="H71">
            <v>3</v>
          </cell>
          <cell r="I71" t="str">
            <v>Individual</v>
          </cell>
          <cell r="J71" t="str">
            <v>Individual</v>
          </cell>
          <cell r="L71" t="str">
            <v>NOT ENTERED</v>
          </cell>
        </row>
        <row r="72">
          <cell r="C72" t="str">
            <v>JN19</v>
          </cell>
          <cell r="D72" t="str">
            <v>Padhyaparayanam</v>
          </cell>
          <cell r="E72" t="str">
            <v>JUNIOR</v>
          </cell>
          <cell r="F72" t="str">
            <v>Single</v>
          </cell>
          <cell r="G72" t="str">
            <v>Non-Stg</v>
          </cell>
          <cell r="H72">
            <v>3</v>
          </cell>
          <cell r="I72" t="str">
            <v>Individual</v>
          </cell>
          <cell r="J72" t="str">
            <v>Individual</v>
          </cell>
          <cell r="L72" t="str">
            <v>NOT ENTERED</v>
          </cell>
        </row>
        <row r="73">
          <cell r="C73" t="str">
            <v>JN20</v>
          </cell>
          <cell r="D73" t="str">
            <v>Science master</v>
          </cell>
          <cell r="E73" t="str">
            <v>JUNIOR</v>
          </cell>
          <cell r="F73" t="str">
            <v>Single</v>
          </cell>
          <cell r="G73" t="str">
            <v>Stage</v>
          </cell>
          <cell r="H73">
            <v>3</v>
          </cell>
          <cell r="I73" t="str">
            <v>Individual</v>
          </cell>
          <cell r="J73" t="str">
            <v>Individual</v>
          </cell>
          <cell r="L73" t="str">
            <v>NOT ENTERED</v>
          </cell>
        </row>
        <row r="74">
          <cell r="C74" t="str">
            <v>JN21</v>
          </cell>
          <cell r="D74" t="str">
            <v>Geo giant</v>
          </cell>
          <cell r="E74" t="str">
            <v>JUNIOR</v>
          </cell>
          <cell r="F74" t="str">
            <v>Single</v>
          </cell>
          <cell r="G74" t="str">
            <v>Non-Stg</v>
          </cell>
          <cell r="H74">
            <v>3</v>
          </cell>
          <cell r="I74" t="str">
            <v>Individual</v>
          </cell>
          <cell r="J74" t="str">
            <v>Individual</v>
          </cell>
          <cell r="L74" t="str">
            <v>NOT ENTERED</v>
          </cell>
        </row>
        <row r="75">
          <cell r="C75" t="str">
            <v>JN22</v>
          </cell>
          <cell r="D75" t="str">
            <v>Hija'unnahla</v>
          </cell>
          <cell r="E75" t="str">
            <v>JUNIOR</v>
          </cell>
          <cell r="F75" t="str">
            <v>Single</v>
          </cell>
          <cell r="G75" t="str">
            <v>Stage</v>
          </cell>
          <cell r="H75">
            <v>3</v>
          </cell>
          <cell r="I75" t="str">
            <v>Individual</v>
          </cell>
          <cell r="J75" t="str">
            <v>Individual</v>
          </cell>
          <cell r="L75" t="str">
            <v>NOT ENTERED</v>
          </cell>
        </row>
        <row r="76">
          <cell r="C76" t="str">
            <v>JN23</v>
          </cell>
          <cell r="D76" t="str">
            <v>Group Song</v>
          </cell>
          <cell r="E76" t="str">
            <v>JUNIOR</v>
          </cell>
          <cell r="F76" t="str">
            <v>Group</v>
          </cell>
          <cell r="G76" t="str">
            <v>Non-Stg</v>
          </cell>
          <cell r="H76">
            <v>3</v>
          </cell>
          <cell r="I76" t="str">
            <v>GROUP 3</v>
          </cell>
          <cell r="J76" t="str">
            <v>GROUP 3</v>
          </cell>
          <cell r="L76" t="str">
            <v>NOT ENTERED</v>
          </cell>
        </row>
        <row r="77">
          <cell r="C77" t="str">
            <v>JN24</v>
          </cell>
          <cell r="D77" t="str">
            <v>Speech and Song Malayalam</v>
          </cell>
          <cell r="E77" t="str">
            <v>JUNIOR</v>
          </cell>
          <cell r="F77" t="str">
            <v>Group</v>
          </cell>
          <cell r="G77" t="str">
            <v>Stage</v>
          </cell>
          <cell r="H77">
            <v>3</v>
          </cell>
          <cell r="I77" t="str">
            <v>GROUP</v>
          </cell>
          <cell r="J77" t="str">
            <v>GROUP</v>
          </cell>
          <cell r="L77" t="str">
            <v>NOT ENTERED</v>
          </cell>
        </row>
        <row r="78">
          <cell r="C78" t="str">
            <v>JN25</v>
          </cell>
          <cell r="D78" t="str">
            <v>Conversation Arabic</v>
          </cell>
          <cell r="E78" t="str">
            <v>JUNIOR</v>
          </cell>
          <cell r="F78" t="str">
            <v>Group</v>
          </cell>
          <cell r="G78" t="str">
            <v>Non-Stg</v>
          </cell>
          <cell r="H78">
            <v>3</v>
          </cell>
          <cell r="I78" t="str">
            <v>GROUP</v>
          </cell>
          <cell r="J78" t="str">
            <v>GROUP</v>
          </cell>
          <cell r="K78" t="str">
            <v>P</v>
          </cell>
          <cell r="L78" t="str">
            <v>PUBLISHED</v>
          </cell>
        </row>
        <row r="79">
          <cell r="C79" t="str">
            <v>JN26</v>
          </cell>
          <cell r="D79" t="str">
            <v>Conversation English</v>
          </cell>
          <cell r="E79" t="str">
            <v>JUNIOR</v>
          </cell>
          <cell r="F79" t="str">
            <v>Group</v>
          </cell>
          <cell r="G79" t="str">
            <v>Stage</v>
          </cell>
          <cell r="H79">
            <v>3</v>
          </cell>
          <cell r="I79" t="str">
            <v>GROUP 2</v>
          </cell>
          <cell r="J79" t="str">
            <v>GROUP 2</v>
          </cell>
          <cell r="L79" t="str">
            <v>NOT ENTERED</v>
          </cell>
        </row>
        <row r="80">
          <cell r="C80" t="str">
            <v>JN27</v>
          </cell>
          <cell r="D80" t="str">
            <v>Essay Writing English</v>
          </cell>
          <cell r="E80" t="str">
            <v>JUNIOR</v>
          </cell>
          <cell r="F80" t="str">
            <v>Single</v>
          </cell>
          <cell r="G80" t="str">
            <v>Non-Stg</v>
          </cell>
          <cell r="H80">
            <v>3</v>
          </cell>
          <cell r="I80" t="str">
            <v>Individual</v>
          </cell>
          <cell r="J80" t="str">
            <v>Individual</v>
          </cell>
          <cell r="L80" t="str">
            <v>NOT ENTERED</v>
          </cell>
        </row>
        <row r="81">
          <cell r="C81" t="str">
            <v>JN28</v>
          </cell>
          <cell r="D81" t="str">
            <v>Essay Writing Urdu</v>
          </cell>
          <cell r="E81" t="str">
            <v>JUNIOR</v>
          </cell>
          <cell r="F81" t="str">
            <v>Single</v>
          </cell>
          <cell r="G81" t="str">
            <v>Stage</v>
          </cell>
          <cell r="H81">
            <v>3</v>
          </cell>
          <cell r="I81" t="str">
            <v>Individual</v>
          </cell>
          <cell r="J81" t="str">
            <v>Individual</v>
          </cell>
          <cell r="L81" t="str">
            <v>NOT ENTERED</v>
          </cell>
        </row>
        <row r="82">
          <cell r="C82" t="str">
            <v>JN29</v>
          </cell>
          <cell r="D82" t="str">
            <v>Essay Writing Arabic</v>
          </cell>
          <cell r="E82" t="str">
            <v>JUNIOR</v>
          </cell>
          <cell r="F82" t="str">
            <v>Single</v>
          </cell>
          <cell r="G82" t="str">
            <v>Non-Stg</v>
          </cell>
          <cell r="H82">
            <v>3</v>
          </cell>
          <cell r="I82" t="str">
            <v>Individual</v>
          </cell>
          <cell r="J82" t="str">
            <v>Individual</v>
          </cell>
          <cell r="L82" t="str">
            <v>NOT ENTERED</v>
          </cell>
        </row>
        <row r="83">
          <cell r="C83" t="str">
            <v>JN30</v>
          </cell>
          <cell r="D83" t="str">
            <v>Essay Writing Malyalam</v>
          </cell>
          <cell r="E83" t="str">
            <v>JUNIOR</v>
          </cell>
          <cell r="F83" t="str">
            <v>Single</v>
          </cell>
          <cell r="G83" t="str">
            <v>Stage</v>
          </cell>
          <cell r="H83">
            <v>3</v>
          </cell>
          <cell r="I83" t="str">
            <v>Individual</v>
          </cell>
          <cell r="J83" t="str">
            <v>Individual</v>
          </cell>
          <cell r="L83" t="str">
            <v>NOT ENTERED</v>
          </cell>
        </row>
        <row r="84">
          <cell r="C84" t="str">
            <v>JN31</v>
          </cell>
          <cell r="D84" t="str">
            <v>Short Story URD</v>
          </cell>
          <cell r="E84" t="str">
            <v>JUNIOR</v>
          </cell>
          <cell r="F84" t="str">
            <v>Single</v>
          </cell>
          <cell r="G84" t="str">
            <v>Non-Stg</v>
          </cell>
          <cell r="H84">
            <v>3</v>
          </cell>
          <cell r="I84" t="str">
            <v>Individual</v>
          </cell>
          <cell r="J84" t="str">
            <v>Individual</v>
          </cell>
          <cell r="L84" t="str">
            <v>NOT ENTERED</v>
          </cell>
        </row>
        <row r="85">
          <cell r="C85" t="str">
            <v>JN32</v>
          </cell>
          <cell r="D85" t="str">
            <v>Short Story ARB</v>
          </cell>
          <cell r="E85" t="str">
            <v>JUNIOR</v>
          </cell>
          <cell r="F85" t="str">
            <v>Single</v>
          </cell>
          <cell r="G85" t="str">
            <v>Stage</v>
          </cell>
          <cell r="H85">
            <v>3</v>
          </cell>
          <cell r="I85" t="str">
            <v>Individual</v>
          </cell>
          <cell r="J85" t="str">
            <v>Individual</v>
          </cell>
          <cell r="L85" t="str">
            <v>NOT ENTERED</v>
          </cell>
        </row>
        <row r="86">
          <cell r="C86" t="str">
            <v>JN33</v>
          </cell>
          <cell r="D86" t="str">
            <v>Short Story ENG</v>
          </cell>
          <cell r="E86" t="str">
            <v>JUNIOR</v>
          </cell>
          <cell r="F86" t="str">
            <v>Single</v>
          </cell>
          <cell r="G86" t="str">
            <v>Non-Stg</v>
          </cell>
          <cell r="H86">
            <v>3</v>
          </cell>
          <cell r="I86" t="str">
            <v>Individual</v>
          </cell>
          <cell r="J86" t="str">
            <v>Individual</v>
          </cell>
          <cell r="L86" t="str">
            <v>NOT ENTERED</v>
          </cell>
        </row>
        <row r="87">
          <cell r="C87" t="str">
            <v>JN34</v>
          </cell>
          <cell r="D87" t="str">
            <v>Poem Writing Arabic</v>
          </cell>
          <cell r="E87" t="str">
            <v>JUNIOR</v>
          </cell>
          <cell r="F87" t="str">
            <v>Single</v>
          </cell>
          <cell r="G87" t="str">
            <v>Stage</v>
          </cell>
          <cell r="H87">
            <v>3</v>
          </cell>
          <cell r="I87" t="str">
            <v>Individual</v>
          </cell>
          <cell r="J87" t="str">
            <v>Individual</v>
          </cell>
          <cell r="L87" t="str">
            <v>NOT ENTERED</v>
          </cell>
        </row>
        <row r="88">
          <cell r="C88" t="str">
            <v>JN35</v>
          </cell>
          <cell r="D88" t="str">
            <v>Poem Writing English</v>
          </cell>
          <cell r="E88" t="str">
            <v>JUNIOR</v>
          </cell>
          <cell r="F88" t="str">
            <v>Single</v>
          </cell>
          <cell r="G88" t="str">
            <v>Non-Stg</v>
          </cell>
          <cell r="H88">
            <v>3</v>
          </cell>
          <cell r="I88" t="str">
            <v>Individual</v>
          </cell>
          <cell r="J88" t="str">
            <v>Individual</v>
          </cell>
          <cell r="L88" t="str">
            <v>NOT ENTERED</v>
          </cell>
        </row>
        <row r="89">
          <cell r="C89" t="str">
            <v>JN36</v>
          </cell>
          <cell r="D89" t="str">
            <v>Poem Writing Malayalam</v>
          </cell>
          <cell r="E89" t="str">
            <v>JUNIOR</v>
          </cell>
          <cell r="F89" t="str">
            <v>Single</v>
          </cell>
          <cell r="G89" t="str">
            <v>Stage</v>
          </cell>
          <cell r="H89">
            <v>3</v>
          </cell>
          <cell r="I89" t="str">
            <v>Individual</v>
          </cell>
          <cell r="J89" t="str">
            <v>Individual</v>
          </cell>
          <cell r="L89" t="str">
            <v>NOT ENTERED</v>
          </cell>
        </row>
        <row r="90">
          <cell r="C90" t="str">
            <v>JN37</v>
          </cell>
          <cell r="D90" t="str">
            <v>Pencil Drawing</v>
          </cell>
          <cell r="E90" t="str">
            <v>JUNIOR</v>
          </cell>
          <cell r="F90" t="str">
            <v>Single</v>
          </cell>
          <cell r="G90" t="str">
            <v>Non-Stg</v>
          </cell>
          <cell r="H90">
            <v>3</v>
          </cell>
          <cell r="I90" t="str">
            <v>Individual</v>
          </cell>
          <cell r="J90" t="str">
            <v>Individual</v>
          </cell>
          <cell r="L90" t="str">
            <v>NOT ENTERED</v>
          </cell>
        </row>
        <row r="91">
          <cell r="C91" t="str">
            <v>JN38</v>
          </cell>
          <cell r="D91" t="str">
            <v>Memory Test</v>
          </cell>
          <cell r="E91" t="str">
            <v>JUNIOR</v>
          </cell>
          <cell r="F91" t="str">
            <v>Single</v>
          </cell>
          <cell r="G91" t="str">
            <v>Stage</v>
          </cell>
          <cell r="H91">
            <v>3</v>
          </cell>
          <cell r="I91" t="str">
            <v>Individual</v>
          </cell>
          <cell r="J91" t="str">
            <v>Individual</v>
          </cell>
          <cell r="L91" t="str">
            <v>NOT ENTERED</v>
          </cell>
        </row>
        <row r="92">
          <cell r="C92" t="str">
            <v>JN39</v>
          </cell>
          <cell r="D92" t="str">
            <v>Vocabulary</v>
          </cell>
          <cell r="E92" t="str">
            <v>JUNIOR</v>
          </cell>
          <cell r="F92" t="str">
            <v>Single</v>
          </cell>
          <cell r="G92" t="str">
            <v>Non-Stg</v>
          </cell>
          <cell r="H92">
            <v>3</v>
          </cell>
          <cell r="I92" t="str">
            <v>Individual</v>
          </cell>
          <cell r="J92" t="str">
            <v>Individual</v>
          </cell>
          <cell r="L92" t="str">
            <v>NOT ENTERED</v>
          </cell>
        </row>
        <row r="93">
          <cell r="C93" t="str">
            <v>JN40</v>
          </cell>
          <cell r="D93" t="str">
            <v>Dictionary Making Arabic</v>
          </cell>
          <cell r="E93" t="str">
            <v>JUNIOR</v>
          </cell>
          <cell r="F93" t="str">
            <v>Single</v>
          </cell>
          <cell r="G93" t="str">
            <v>Stage</v>
          </cell>
          <cell r="H93">
            <v>3</v>
          </cell>
          <cell r="I93" t="str">
            <v>Individual</v>
          </cell>
          <cell r="J93" t="str">
            <v>Individual</v>
          </cell>
          <cell r="L93" t="str">
            <v>NOT ENTERED</v>
          </cell>
        </row>
        <row r="94">
          <cell r="C94" t="str">
            <v>JN41</v>
          </cell>
          <cell r="D94" t="str">
            <v>Su Do Ku</v>
          </cell>
          <cell r="E94" t="str">
            <v>JUNIOR</v>
          </cell>
          <cell r="F94" t="str">
            <v>Single</v>
          </cell>
          <cell r="G94" t="str">
            <v>Non-Stg</v>
          </cell>
          <cell r="H94">
            <v>3</v>
          </cell>
          <cell r="I94" t="str">
            <v>Individual</v>
          </cell>
          <cell r="J94" t="str">
            <v>Individual</v>
          </cell>
          <cell r="L94" t="str">
            <v>NOT ENTERED</v>
          </cell>
        </row>
        <row r="95">
          <cell r="C95" t="str">
            <v>JN42</v>
          </cell>
          <cell r="D95" t="str">
            <v>Calligraphy</v>
          </cell>
          <cell r="E95" t="str">
            <v>JUNIOR</v>
          </cell>
          <cell r="F95" t="str">
            <v>Single</v>
          </cell>
          <cell r="G95" t="str">
            <v>Stage</v>
          </cell>
          <cell r="H95">
            <v>3</v>
          </cell>
          <cell r="I95" t="str">
            <v>Individual</v>
          </cell>
          <cell r="J95" t="str">
            <v>Individual</v>
          </cell>
          <cell r="L95" t="str">
            <v>NOT ENTERED</v>
          </cell>
        </row>
        <row r="96">
          <cell r="C96" t="str">
            <v>JN43</v>
          </cell>
          <cell r="D96" t="str">
            <v>Slogan Making</v>
          </cell>
          <cell r="E96" t="str">
            <v>JUNIOR</v>
          </cell>
          <cell r="F96" t="str">
            <v>Single</v>
          </cell>
          <cell r="G96" t="str">
            <v>Non-Stg</v>
          </cell>
          <cell r="H96">
            <v>3</v>
          </cell>
          <cell r="I96" t="str">
            <v>Individual</v>
          </cell>
          <cell r="J96" t="str">
            <v>Individual</v>
          </cell>
          <cell r="L96" t="str">
            <v>NOT ENTERED</v>
          </cell>
        </row>
        <row r="97">
          <cell r="C97" t="str">
            <v>JN44</v>
          </cell>
          <cell r="D97" t="str">
            <v>Short Story MLM</v>
          </cell>
          <cell r="E97" t="str">
            <v>JUNIOR</v>
          </cell>
          <cell r="F97" t="str">
            <v>Single</v>
          </cell>
          <cell r="G97" t="str">
            <v>Stage</v>
          </cell>
          <cell r="H97">
            <v>3</v>
          </cell>
          <cell r="I97" t="str">
            <v>Individual</v>
          </cell>
          <cell r="J97" t="str">
            <v>Individual</v>
          </cell>
          <cell r="L97" t="str">
            <v>NOT ENTERED</v>
          </cell>
        </row>
        <row r="98">
          <cell r="C98" t="str">
            <v>JN45</v>
          </cell>
          <cell r="D98" t="str">
            <v>News Writing MLM</v>
          </cell>
          <cell r="E98" t="str">
            <v>JUNIOR</v>
          </cell>
          <cell r="F98" t="str">
            <v>Single</v>
          </cell>
          <cell r="G98" t="str">
            <v>Non-Stg</v>
          </cell>
          <cell r="H98">
            <v>3</v>
          </cell>
          <cell r="I98" t="str">
            <v>Individual</v>
          </cell>
          <cell r="J98" t="str">
            <v>Individual</v>
          </cell>
          <cell r="L98" t="str">
            <v>NOT ENTERED</v>
          </cell>
        </row>
        <row r="99">
          <cell r="C99" t="str">
            <v>JN46</v>
          </cell>
          <cell r="D99" t="str">
            <v>Poster Designing</v>
          </cell>
          <cell r="E99" t="str">
            <v>JUNIOR</v>
          </cell>
          <cell r="F99" t="str">
            <v>Single</v>
          </cell>
          <cell r="G99" t="str">
            <v>Stage</v>
          </cell>
          <cell r="H99">
            <v>3</v>
          </cell>
          <cell r="I99" t="str">
            <v>Individual</v>
          </cell>
          <cell r="J99" t="str">
            <v>Individual</v>
          </cell>
          <cell r="L99" t="str">
            <v>NOT ENTERED</v>
          </cell>
        </row>
        <row r="100">
          <cell r="C100" t="str">
            <v>JN47</v>
          </cell>
          <cell r="D100" t="str">
            <v>Water painting</v>
          </cell>
          <cell r="E100" t="str">
            <v>JUNIOR</v>
          </cell>
          <cell r="F100" t="str">
            <v>Single</v>
          </cell>
          <cell r="G100" t="str">
            <v>Non-Stg</v>
          </cell>
          <cell r="H100">
            <v>3</v>
          </cell>
          <cell r="I100" t="str">
            <v>Individual</v>
          </cell>
          <cell r="J100" t="str">
            <v>Individual</v>
          </cell>
          <cell r="L100" t="str">
            <v>NOT ENTERED</v>
          </cell>
        </row>
        <row r="101">
          <cell r="C101" t="str">
            <v>JN48</v>
          </cell>
          <cell r="D101" t="str">
            <v>Story Completion</v>
          </cell>
          <cell r="E101" t="str">
            <v>JUNIOR</v>
          </cell>
          <cell r="F101" t="str">
            <v>Single</v>
          </cell>
          <cell r="G101" t="str">
            <v>Stage</v>
          </cell>
          <cell r="H101">
            <v>3</v>
          </cell>
          <cell r="I101" t="str">
            <v>Individual</v>
          </cell>
          <cell r="J101" t="str">
            <v>Individual</v>
          </cell>
          <cell r="L101" t="str">
            <v>NOT ENTERED</v>
          </cell>
        </row>
        <row r="102">
          <cell r="C102" t="str">
            <v>JN49</v>
          </cell>
          <cell r="D102" t="str">
            <v>MS Paint</v>
          </cell>
          <cell r="E102" t="str">
            <v>JUNIOR</v>
          </cell>
          <cell r="F102" t="str">
            <v>Single</v>
          </cell>
          <cell r="G102" t="str">
            <v>Non-Stg</v>
          </cell>
          <cell r="H102">
            <v>3</v>
          </cell>
          <cell r="I102" t="str">
            <v>Individual</v>
          </cell>
          <cell r="J102" t="str">
            <v>Individual</v>
          </cell>
          <cell r="L102" t="str">
            <v>NOT ENTERED</v>
          </cell>
        </row>
        <row r="103">
          <cell r="C103" t="str">
            <v>JN50</v>
          </cell>
          <cell r="D103" t="str">
            <v>Sentence Translation</v>
          </cell>
          <cell r="E103" t="str">
            <v>JUNIOR</v>
          </cell>
          <cell r="F103" t="str">
            <v>Single</v>
          </cell>
          <cell r="G103" t="str">
            <v>Stage</v>
          </cell>
          <cell r="H103">
            <v>3</v>
          </cell>
          <cell r="I103" t="str">
            <v>Individual</v>
          </cell>
          <cell r="J103" t="str">
            <v>Individual</v>
          </cell>
          <cell r="L103" t="str">
            <v>NOT ENTERED</v>
          </cell>
        </row>
        <row r="104">
          <cell r="C104" t="str">
            <v>JN51</v>
          </cell>
          <cell r="D104" t="str">
            <v>Cartoon</v>
          </cell>
          <cell r="E104" t="str">
            <v>JUNIOR</v>
          </cell>
          <cell r="F104" t="str">
            <v>Single</v>
          </cell>
          <cell r="G104" t="str">
            <v>Non-Stg</v>
          </cell>
          <cell r="H104">
            <v>3</v>
          </cell>
          <cell r="I104" t="str">
            <v>Individual</v>
          </cell>
          <cell r="J104" t="str">
            <v>Individual</v>
          </cell>
          <cell r="L104" t="str">
            <v>NOT ENTERED</v>
          </cell>
        </row>
        <row r="105">
          <cell r="C105" t="str">
            <v>JN52</v>
          </cell>
          <cell r="D105" t="str">
            <v>Caption Making</v>
          </cell>
          <cell r="E105" t="str">
            <v>JUNIOR</v>
          </cell>
          <cell r="F105" t="str">
            <v>Single</v>
          </cell>
          <cell r="G105" t="str">
            <v>Stage</v>
          </cell>
          <cell r="H105">
            <v>3</v>
          </cell>
          <cell r="I105" t="str">
            <v>Individual</v>
          </cell>
          <cell r="J105" t="str">
            <v>Individual</v>
          </cell>
          <cell r="L105" t="str">
            <v>NOT ENTERED</v>
          </cell>
        </row>
        <row r="106">
          <cell r="C106" t="str">
            <v>JN53</v>
          </cell>
          <cell r="D106" t="str">
            <v>Instant Children magazine MLM</v>
          </cell>
          <cell r="E106" t="str">
            <v>JUNIOR</v>
          </cell>
          <cell r="F106" t="str">
            <v>Group</v>
          </cell>
          <cell r="G106" t="str">
            <v>Non-Stg</v>
          </cell>
          <cell r="H106">
            <v>3</v>
          </cell>
          <cell r="I106" t="str">
            <v>GROUP</v>
          </cell>
          <cell r="J106" t="str">
            <v>GROUP</v>
          </cell>
          <cell r="L106" t="str">
            <v>NOT ENTERED</v>
          </cell>
        </row>
        <row r="107">
          <cell r="C107" t="str">
            <v>JN54</v>
          </cell>
          <cell r="D107" t="str">
            <v>Instant Newspaper MLM</v>
          </cell>
          <cell r="E107" t="str">
            <v>JUNIOR</v>
          </cell>
          <cell r="F107" t="str">
            <v>Group</v>
          </cell>
          <cell r="G107" t="str">
            <v>Stage</v>
          </cell>
          <cell r="H107">
            <v>3</v>
          </cell>
          <cell r="I107" t="str">
            <v>GROUP</v>
          </cell>
          <cell r="J107" t="str">
            <v>GROUP</v>
          </cell>
          <cell r="L107" t="str">
            <v>NOT ENTERED</v>
          </cell>
        </row>
        <row r="108">
          <cell r="C108" t="str">
            <v>SN01</v>
          </cell>
          <cell r="D108" t="str">
            <v>Quira'ath with Thajveed</v>
          </cell>
          <cell r="E108" t="str">
            <v>SENIOR</v>
          </cell>
          <cell r="F108" t="str">
            <v>Single</v>
          </cell>
          <cell r="G108" t="str">
            <v>Non-Stg</v>
          </cell>
          <cell r="H108">
            <v>3</v>
          </cell>
          <cell r="I108" t="str">
            <v>Individual</v>
          </cell>
          <cell r="J108" t="str">
            <v>Individual</v>
          </cell>
          <cell r="L108" t="str">
            <v>NOT ENTERED</v>
          </cell>
        </row>
        <row r="109">
          <cell r="C109" t="str">
            <v>SN02</v>
          </cell>
          <cell r="D109" t="str">
            <v>Hifz</v>
          </cell>
          <cell r="E109" t="str">
            <v>SENIOR</v>
          </cell>
          <cell r="F109" t="str">
            <v>Single</v>
          </cell>
          <cell r="G109" t="str">
            <v>Stage</v>
          </cell>
          <cell r="H109">
            <v>3</v>
          </cell>
          <cell r="I109" t="str">
            <v>Individual</v>
          </cell>
          <cell r="J109" t="str">
            <v>Individual</v>
          </cell>
          <cell r="L109" t="str">
            <v>NOT ENTERED</v>
          </cell>
        </row>
        <row r="110">
          <cell r="C110" t="str">
            <v>SN03</v>
          </cell>
          <cell r="D110" t="str">
            <v>Va'az</v>
          </cell>
          <cell r="E110" t="str">
            <v>SENIOR</v>
          </cell>
          <cell r="F110" t="str">
            <v>Single</v>
          </cell>
          <cell r="G110" t="str">
            <v>Non-Stg</v>
          </cell>
          <cell r="H110">
            <v>3</v>
          </cell>
          <cell r="I110" t="str">
            <v>Individual</v>
          </cell>
          <cell r="J110" t="str">
            <v>Individual</v>
          </cell>
          <cell r="L110" t="str">
            <v>NOT ENTERED</v>
          </cell>
        </row>
        <row r="111">
          <cell r="C111" t="str">
            <v>SN04</v>
          </cell>
          <cell r="D111" t="str">
            <v>Speech Arabic</v>
          </cell>
          <cell r="E111" t="str">
            <v>SENIOR</v>
          </cell>
          <cell r="F111" t="str">
            <v>Single</v>
          </cell>
          <cell r="G111" t="str">
            <v>Stage</v>
          </cell>
          <cell r="H111">
            <v>3</v>
          </cell>
          <cell r="I111" t="str">
            <v>Individual</v>
          </cell>
          <cell r="J111" t="str">
            <v>Individual</v>
          </cell>
          <cell r="L111" t="str">
            <v>NOT ENTERED</v>
          </cell>
        </row>
        <row r="112">
          <cell r="C112" t="str">
            <v>SN05</v>
          </cell>
          <cell r="D112" t="str">
            <v>Speech Urdu</v>
          </cell>
          <cell r="E112" t="str">
            <v>SENIOR</v>
          </cell>
          <cell r="F112" t="str">
            <v>Single</v>
          </cell>
          <cell r="G112" t="str">
            <v>Non-Stg</v>
          </cell>
          <cell r="H112">
            <v>3</v>
          </cell>
          <cell r="I112" t="str">
            <v>Individual</v>
          </cell>
          <cell r="J112" t="str">
            <v>Individual</v>
          </cell>
          <cell r="L112" t="str">
            <v>NOT ENTERED</v>
          </cell>
        </row>
        <row r="113">
          <cell r="C113" t="str">
            <v>SN06</v>
          </cell>
          <cell r="D113" t="str">
            <v>Speech English</v>
          </cell>
          <cell r="E113" t="str">
            <v>SENIOR</v>
          </cell>
          <cell r="F113" t="str">
            <v>Single</v>
          </cell>
          <cell r="G113" t="str">
            <v>Stage</v>
          </cell>
          <cell r="H113">
            <v>3</v>
          </cell>
          <cell r="I113" t="str">
            <v>Individual</v>
          </cell>
          <cell r="J113" t="str">
            <v>Individual</v>
          </cell>
          <cell r="L113" t="str">
            <v>NOT ENTERED</v>
          </cell>
        </row>
        <row r="114">
          <cell r="C114" t="str">
            <v>SN07</v>
          </cell>
          <cell r="D114" t="str">
            <v>Extempore Malayalam</v>
          </cell>
          <cell r="E114" t="str">
            <v>SENIOR</v>
          </cell>
          <cell r="F114" t="str">
            <v>Single</v>
          </cell>
          <cell r="G114" t="str">
            <v>Non-Stg</v>
          </cell>
          <cell r="H114">
            <v>3</v>
          </cell>
          <cell r="I114" t="str">
            <v>Individual</v>
          </cell>
          <cell r="J114" t="str">
            <v>Individual</v>
          </cell>
          <cell r="L114" t="str">
            <v>NOT ENTERED</v>
          </cell>
        </row>
        <row r="115">
          <cell r="C115" t="str">
            <v>SN08</v>
          </cell>
          <cell r="D115" t="str">
            <v>Qissapaattu</v>
          </cell>
          <cell r="E115" t="str">
            <v>SENIOR</v>
          </cell>
          <cell r="F115" t="str">
            <v>Single</v>
          </cell>
          <cell r="G115" t="str">
            <v>Stage</v>
          </cell>
          <cell r="H115">
            <v>3</v>
          </cell>
          <cell r="I115" t="str">
            <v>Individual</v>
          </cell>
          <cell r="J115" t="str">
            <v>Individual</v>
          </cell>
          <cell r="L115" t="str">
            <v>NOT ENTERED</v>
          </cell>
        </row>
        <row r="116">
          <cell r="C116" t="str">
            <v>SN09</v>
          </cell>
          <cell r="D116" t="str">
            <v>Song Urdu</v>
          </cell>
          <cell r="E116" t="str">
            <v>SENIOR</v>
          </cell>
          <cell r="F116" t="str">
            <v>Single</v>
          </cell>
          <cell r="G116" t="str">
            <v>Non-Stg</v>
          </cell>
          <cell r="H116">
            <v>3</v>
          </cell>
          <cell r="I116" t="str">
            <v>Individual</v>
          </cell>
          <cell r="J116" t="str">
            <v>Individual</v>
          </cell>
          <cell r="L116" t="str">
            <v>NOT ENTERED</v>
          </cell>
        </row>
        <row r="117">
          <cell r="C117" t="str">
            <v>SN10</v>
          </cell>
          <cell r="D117" t="str">
            <v>Nasheed Arabic</v>
          </cell>
          <cell r="E117" t="str">
            <v>SENIOR</v>
          </cell>
          <cell r="F117" t="str">
            <v>Single</v>
          </cell>
          <cell r="G117" t="str">
            <v>Stage</v>
          </cell>
          <cell r="H117">
            <v>3</v>
          </cell>
          <cell r="I117" t="str">
            <v>Individual</v>
          </cell>
          <cell r="J117" t="str">
            <v>Individual</v>
          </cell>
          <cell r="L117" t="str">
            <v>NOT ENTERED</v>
          </cell>
        </row>
        <row r="118">
          <cell r="C118" t="str">
            <v>SN11</v>
          </cell>
          <cell r="D118" t="str">
            <v>Song English</v>
          </cell>
          <cell r="E118" t="str">
            <v>SENIOR</v>
          </cell>
          <cell r="F118" t="str">
            <v>Single</v>
          </cell>
          <cell r="G118" t="str">
            <v>Non-Stg</v>
          </cell>
          <cell r="H118">
            <v>3</v>
          </cell>
          <cell r="I118" t="str">
            <v>Individual</v>
          </cell>
          <cell r="J118" t="str">
            <v>Individual</v>
          </cell>
          <cell r="L118" t="str">
            <v>NOT ENTERED</v>
          </cell>
        </row>
        <row r="119">
          <cell r="C119" t="str">
            <v>SN12</v>
          </cell>
          <cell r="D119" t="str">
            <v>Math Talent</v>
          </cell>
          <cell r="E119" t="str">
            <v>SENIOR</v>
          </cell>
          <cell r="F119" t="str">
            <v>Single</v>
          </cell>
          <cell r="G119" t="str">
            <v>Stage</v>
          </cell>
          <cell r="H119">
            <v>3</v>
          </cell>
          <cell r="I119" t="str">
            <v>Individual</v>
          </cell>
          <cell r="J119" t="str">
            <v>Individual</v>
          </cell>
          <cell r="L119" t="str">
            <v>NOT ENTERED</v>
          </cell>
        </row>
        <row r="120">
          <cell r="C120" t="str">
            <v>SN13</v>
          </cell>
          <cell r="D120" t="str">
            <v>GK Talent</v>
          </cell>
          <cell r="E120" t="str">
            <v>SENIOR</v>
          </cell>
          <cell r="F120" t="str">
            <v>Single</v>
          </cell>
          <cell r="G120" t="str">
            <v>Non-Stg</v>
          </cell>
          <cell r="H120">
            <v>3</v>
          </cell>
          <cell r="I120" t="str">
            <v>Individual</v>
          </cell>
          <cell r="J120" t="str">
            <v>Individual</v>
          </cell>
          <cell r="L120" t="str">
            <v>NOT ENTERED</v>
          </cell>
        </row>
        <row r="121">
          <cell r="C121" t="str">
            <v>SN14</v>
          </cell>
          <cell r="D121" t="str">
            <v>Song Composing &amp; Recitation</v>
          </cell>
          <cell r="E121" t="str">
            <v>SENIOR</v>
          </cell>
          <cell r="F121" t="str">
            <v>Single</v>
          </cell>
          <cell r="G121" t="str">
            <v>Stage</v>
          </cell>
          <cell r="H121">
            <v>3</v>
          </cell>
          <cell r="I121" t="str">
            <v>Individual</v>
          </cell>
          <cell r="J121" t="str">
            <v>Individual</v>
          </cell>
          <cell r="L121" t="str">
            <v>NOT ENTERED</v>
          </cell>
        </row>
        <row r="122">
          <cell r="C122" t="str">
            <v>SN15</v>
          </cell>
          <cell r="D122" t="str">
            <v>Science master</v>
          </cell>
          <cell r="E122" t="str">
            <v>SENIOR</v>
          </cell>
          <cell r="F122" t="str">
            <v>Single</v>
          </cell>
          <cell r="G122" t="str">
            <v>Non-Stg</v>
          </cell>
          <cell r="H122">
            <v>3</v>
          </cell>
          <cell r="I122" t="str">
            <v>Individual</v>
          </cell>
          <cell r="J122" t="str">
            <v>Individual</v>
          </cell>
          <cell r="L122" t="str">
            <v>NOT ENTERED</v>
          </cell>
        </row>
        <row r="123">
          <cell r="C123" t="str">
            <v>SN16</v>
          </cell>
          <cell r="D123" t="str">
            <v>Face to Face English</v>
          </cell>
          <cell r="E123" t="str">
            <v>SENIOR</v>
          </cell>
          <cell r="F123" t="str">
            <v>Group</v>
          </cell>
          <cell r="G123" t="str">
            <v>Stage</v>
          </cell>
          <cell r="H123">
            <v>3</v>
          </cell>
          <cell r="I123" t="str">
            <v>GROUP 2</v>
          </cell>
          <cell r="J123" t="str">
            <v>GROUP 2</v>
          </cell>
          <cell r="L123" t="str">
            <v>NOT ENTERED</v>
          </cell>
        </row>
        <row r="124">
          <cell r="C124" t="str">
            <v>SN17</v>
          </cell>
          <cell r="D124" t="str">
            <v>GD ARB</v>
          </cell>
          <cell r="E124" t="str">
            <v>SENIOR</v>
          </cell>
          <cell r="F124" t="str">
            <v>Single</v>
          </cell>
          <cell r="G124" t="str">
            <v>Non-Stg</v>
          </cell>
          <cell r="H124">
            <v>3</v>
          </cell>
          <cell r="I124" t="str">
            <v>Individual</v>
          </cell>
          <cell r="J124" t="str">
            <v>Individual</v>
          </cell>
          <cell r="L124" t="str">
            <v>NOT ENTERED</v>
          </cell>
        </row>
        <row r="125">
          <cell r="C125" t="str">
            <v>SN18</v>
          </cell>
          <cell r="D125" t="str">
            <v>Hija'unnahla</v>
          </cell>
          <cell r="E125" t="str">
            <v>SENIOR</v>
          </cell>
          <cell r="F125" t="str">
            <v>Single</v>
          </cell>
          <cell r="G125" t="str">
            <v>Stage</v>
          </cell>
          <cell r="H125">
            <v>3</v>
          </cell>
          <cell r="I125" t="str">
            <v>Individual</v>
          </cell>
          <cell r="J125" t="str">
            <v>Individual</v>
          </cell>
          <cell r="L125" t="str">
            <v>NOT ENTERED</v>
          </cell>
        </row>
        <row r="126">
          <cell r="C126" t="str">
            <v>SN19</v>
          </cell>
          <cell r="D126" t="str">
            <v>Padhakshari</v>
          </cell>
          <cell r="E126" t="str">
            <v>SENIOR</v>
          </cell>
          <cell r="F126" t="str">
            <v>Single</v>
          </cell>
          <cell r="G126" t="str">
            <v>Non-Stg</v>
          </cell>
          <cell r="H126">
            <v>3</v>
          </cell>
          <cell r="I126" t="str">
            <v>Individual</v>
          </cell>
          <cell r="J126" t="str">
            <v>Individual</v>
          </cell>
          <cell r="L126" t="str">
            <v>NOT ENTERED</v>
          </cell>
        </row>
        <row r="127">
          <cell r="C127" t="str">
            <v>SN20</v>
          </cell>
          <cell r="D127" t="str">
            <v>Geo giant</v>
          </cell>
          <cell r="E127" t="str">
            <v>SENIOR</v>
          </cell>
          <cell r="F127" t="str">
            <v>Single</v>
          </cell>
          <cell r="G127" t="str">
            <v>Stage</v>
          </cell>
          <cell r="H127">
            <v>3</v>
          </cell>
          <cell r="I127" t="str">
            <v>Individual</v>
          </cell>
          <cell r="J127" t="str">
            <v>Individual</v>
          </cell>
          <cell r="L127" t="str">
            <v>NOT ENTERED</v>
          </cell>
        </row>
        <row r="128">
          <cell r="C128" t="str">
            <v>SN21</v>
          </cell>
          <cell r="D128" t="str">
            <v>Grammar Talent</v>
          </cell>
          <cell r="E128" t="str">
            <v>SENIOR</v>
          </cell>
          <cell r="F128" t="str">
            <v>Single</v>
          </cell>
          <cell r="G128" t="str">
            <v>Non-Stg</v>
          </cell>
          <cell r="H128">
            <v>3</v>
          </cell>
          <cell r="I128" t="str">
            <v>Individual</v>
          </cell>
          <cell r="J128" t="str">
            <v>Individual</v>
          </cell>
          <cell r="L128" t="str">
            <v>NOT ENTERED</v>
          </cell>
        </row>
        <row r="129">
          <cell r="C129" t="str">
            <v>SN22</v>
          </cell>
          <cell r="D129" t="str">
            <v>Ashwamedham</v>
          </cell>
          <cell r="E129" t="str">
            <v>SENIOR</v>
          </cell>
          <cell r="F129" t="str">
            <v>Single</v>
          </cell>
          <cell r="G129" t="str">
            <v>Stage</v>
          </cell>
          <cell r="H129">
            <v>3</v>
          </cell>
          <cell r="I129" t="str">
            <v>Individual</v>
          </cell>
          <cell r="J129" t="str">
            <v>Individual</v>
          </cell>
          <cell r="L129" t="str">
            <v>NOT ENTERED</v>
          </cell>
        </row>
        <row r="130">
          <cell r="C130" t="str">
            <v>SN23</v>
          </cell>
          <cell r="D130" t="str">
            <v>Thahleel al Ibara</v>
          </cell>
          <cell r="E130" t="str">
            <v>SENIOR</v>
          </cell>
          <cell r="F130" t="str">
            <v>Single</v>
          </cell>
          <cell r="G130" t="str">
            <v>Non-Stg</v>
          </cell>
          <cell r="H130">
            <v>3</v>
          </cell>
          <cell r="I130" t="str">
            <v>Individual</v>
          </cell>
          <cell r="J130" t="str">
            <v>Individual</v>
          </cell>
          <cell r="L130" t="str">
            <v>NOT ENTERED</v>
          </cell>
        </row>
        <row r="131">
          <cell r="C131" t="str">
            <v>SN24</v>
          </cell>
          <cell r="D131" t="str">
            <v>Teaching</v>
          </cell>
          <cell r="E131" t="str">
            <v>SENIOR</v>
          </cell>
          <cell r="F131" t="str">
            <v>Single</v>
          </cell>
          <cell r="G131" t="str">
            <v>Stage</v>
          </cell>
          <cell r="H131">
            <v>3</v>
          </cell>
          <cell r="I131" t="str">
            <v>Individual</v>
          </cell>
          <cell r="J131" t="str">
            <v>Individual</v>
          </cell>
          <cell r="L131" t="str">
            <v>NOT ENTERED</v>
          </cell>
        </row>
        <row r="132">
          <cell r="C132" t="str">
            <v>SN25</v>
          </cell>
          <cell r="D132" t="str">
            <v>Speech and Song malayalam</v>
          </cell>
          <cell r="E132" t="str">
            <v>SENIOR</v>
          </cell>
          <cell r="F132" t="str">
            <v>Group</v>
          </cell>
          <cell r="G132" t="str">
            <v>Non-Stg</v>
          </cell>
          <cell r="H132">
            <v>3</v>
          </cell>
          <cell r="I132" t="str">
            <v>GROUP 3</v>
          </cell>
          <cell r="J132" t="str">
            <v>GROUP 3</v>
          </cell>
          <cell r="L132" t="str">
            <v>NOT ENTERED</v>
          </cell>
        </row>
        <row r="133">
          <cell r="C133" t="str">
            <v>SN26</v>
          </cell>
          <cell r="D133" t="str">
            <v>Mashup</v>
          </cell>
          <cell r="E133" t="str">
            <v>SENIOR</v>
          </cell>
          <cell r="F133" t="str">
            <v>Group</v>
          </cell>
          <cell r="G133" t="str">
            <v>Stage</v>
          </cell>
          <cell r="H133">
            <v>3</v>
          </cell>
          <cell r="I133" t="str">
            <v>GROUP 3</v>
          </cell>
          <cell r="J133" t="str">
            <v>GROUP 3</v>
          </cell>
          <cell r="L133" t="str">
            <v>NOT ENTERED</v>
          </cell>
        </row>
        <row r="134">
          <cell r="C134" t="str">
            <v>SN27</v>
          </cell>
          <cell r="D134" t="str">
            <v>TV News Reading ENG</v>
          </cell>
          <cell r="E134" t="str">
            <v>SENIOR</v>
          </cell>
          <cell r="F134" t="str">
            <v>Group</v>
          </cell>
          <cell r="G134" t="str">
            <v>Non-Stg</v>
          </cell>
          <cell r="H134">
            <v>3</v>
          </cell>
          <cell r="I134" t="str">
            <v>GROUP</v>
          </cell>
          <cell r="J134" t="str">
            <v>GROUP</v>
          </cell>
          <cell r="L134" t="str">
            <v>NOT ENTERED</v>
          </cell>
        </row>
        <row r="135">
          <cell r="C135" t="str">
            <v>SN28</v>
          </cell>
          <cell r="D135" t="str">
            <v>Essay Writing Arabic</v>
          </cell>
          <cell r="E135" t="str">
            <v>SENIOR</v>
          </cell>
          <cell r="F135" t="str">
            <v>Single</v>
          </cell>
          <cell r="G135" t="str">
            <v>Stage</v>
          </cell>
          <cell r="H135">
            <v>3</v>
          </cell>
          <cell r="I135" t="str">
            <v>Individual</v>
          </cell>
          <cell r="J135" t="str">
            <v>Individual</v>
          </cell>
          <cell r="L135" t="str">
            <v>NOT ENTERED</v>
          </cell>
        </row>
        <row r="136">
          <cell r="C136" t="str">
            <v>SN29</v>
          </cell>
          <cell r="D136" t="str">
            <v>Essay Writing Urdu</v>
          </cell>
          <cell r="E136" t="str">
            <v>SENIOR</v>
          </cell>
          <cell r="F136" t="str">
            <v>Single</v>
          </cell>
          <cell r="G136" t="str">
            <v>Non-Stg</v>
          </cell>
          <cell r="H136">
            <v>3</v>
          </cell>
          <cell r="I136" t="str">
            <v>Individual</v>
          </cell>
          <cell r="J136" t="str">
            <v>Individual</v>
          </cell>
          <cell r="L136" t="str">
            <v>NOT ENTERED</v>
          </cell>
        </row>
        <row r="137">
          <cell r="C137" t="str">
            <v>SN30</v>
          </cell>
          <cell r="D137" t="str">
            <v>Essay Writing English</v>
          </cell>
          <cell r="E137" t="str">
            <v>SENIOR</v>
          </cell>
          <cell r="F137" t="str">
            <v>Single</v>
          </cell>
          <cell r="G137" t="str">
            <v>Stage</v>
          </cell>
          <cell r="H137">
            <v>3</v>
          </cell>
          <cell r="I137" t="str">
            <v>Individual</v>
          </cell>
          <cell r="J137" t="str">
            <v>Individual</v>
          </cell>
          <cell r="L137" t="str">
            <v>NOT ENTERED</v>
          </cell>
        </row>
        <row r="138">
          <cell r="C138" t="str">
            <v>SN31</v>
          </cell>
          <cell r="D138" t="str">
            <v>Essay Writing Malayalam</v>
          </cell>
          <cell r="E138" t="str">
            <v>SENIOR</v>
          </cell>
          <cell r="F138" t="str">
            <v>Single</v>
          </cell>
          <cell r="G138" t="str">
            <v>Non-Stg</v>
          </cell>
          <cell r="H138">
            <v>3</v>
          </cell>
          <cell r="I138" t="str">
            <v>Individual</v>
          </cell>
          <cell r="J138" t="str">
            <v>Individual</v>
          </cell>
          <cell r="L138" t="str">
            <v>NOT ENTERED</v>
          </cell>
        </row>
        <row r="139">
          <cell r="C139" t="str">
            <v>SN32</v>
          </cell>
          <cell r="D139" t="str">
            <v>Short Story Writing Arabic</v>
          </cell>
          <cell r="E139" t="str">
            <v>SENIOR</v>
          </cell>
          <cell r="F139" t="str">
            <v>Single</v>
          </cell>
          <cell r="G139" t="str">
            <v>Stage</v>
          </cell>
          <cell r="H139">
            <v>3</v>
          </cell>
          <cell r="I139" t="str">
            <v>Individual</v>
          </cell>
          <cell r="J139" t="str">
            <v>Individual</v>
          </cell>
          <cell r="L139" t="str">
            <v>NOT ENTERED</v>
          </cell>
        </row>
        <row r="140">
          <cell r="C140" t="str">
            <v>SN33</v>
          </cell>
          <cell r="D140" t="str">
            <v>Short Story Writing Urdu</v>
          </cell>
          <cell r="E140" t="str">
            <v>SENIOR</v>
          </cell>
          <cell r="F140" t="str">
            <v>Single</v>
          </cell>
          <cell r="G140" t="str">
            <v>Non-Stg</v>
          </cell>
          <cell r="H140">
            <v>3</v>
          </cell>
          <cell r="I140" t="str">
            <v>Individual</v>
          </cell>
          <cell r="J140" t="str">
            <v>Individual</v>
          </cell>
          <cell r="L140" t="str">
            <v>NOT ENTERED</v>
          </cell>
        </row>
        <row r="141">
          <cell r="C141" t="str">
            <v>SN34</v>
          </cell>
          <cell r="D141" t="str">
            <v>Short story Writing Malayalam</v>
          </cell>
          <cell r="E141" t="str">
            <v>SENIOR</v>
          </cell>
          <cell r="F141" t="str">
            <v>Single</v>
          </cell>
          <cell r="G141" t="str">
            <v>Stage</v>
          </cell>
          <cell r="H141">
            <v>3</v>
          </cell>
          <cell r="I141" t="str">
            <v>Individual</v>
          </cell>
          <cell r="J141" t="str">
            <v>Individual</v>
          </cell>
          <cell r="L141" t="str">
            <v>NOT ENTERED</v>
          </cell>
        </row>
        <row r="142">
          <cell r="C142" t="str">
            <v>SN35</v>
          </cell>
          <cell r="D142" t="str">
            <v>Short Story Writing English</v>
          </cell>
          <cell r="E142" t="str">
            <v>SENIOR</v>
          </cell>
          <cell r="F142" t="str">
            <v>Single</v>
          </cell>
          <cell r="G142" t="str">
            <v>Non-Stg</v>
          </cell>
          <cell r="H142">
            <v>3</v>
          </cell>
          <cell r="I142" t="str">
            <v>Individual</v>
          </cell>
          <cell r="J142" t="str">
            <v>Individual</v>
          </cell>
          <cell r="L142" t="str">
            <v>NOT ENTERED</v>
          </cell>
        </row>
        <row r="143">
          <cell r="C143" t="str">
            <v>SN36</v>
          </cell>
          <cell r="D143" t="str">
            <v>Poem Writing Arabic</v>
          </cell>
          <cell r="E143" t="str">
            <v>SENIOR</v>
          </cell>
          <cell r="F143" t="str">
            <v>Single</v>
          </cell>
          <cell r="G143" t="str">
            <v>Stage</v>
          </cell>
          <cell r="H143">
            <v>3</v>
          </cell>
          <cell r="I143" t="str">
            <v>Individual</v>
          </cell>
          <cell r="J143" t="str">
            <v>Individual</v>
          </cell>
          <cell r="L143" t="str">
            <v>NOT ENTERED</v>
          </cell>
        </row>
        <row r="144">
          <cell r="C144" t="str">
            <v>SN37</v>
          </cell>
          <cell r="D144" t="str">
            <v>Poem writing Urdu</v>
          </cell>
          <cell r="E144" t="str">
            <v>SENIOR</v>
          </cell>
          <cell r="F144" t="str">
            <v>Single</v>
          </cell>
          <cell r="G144" t="str">
            <v>Non-Stg</v>
          </cell>
          <cell r="H144">
            <v>3</v>
          </cell>
          <cell r="I144" t="str">
            <v>Individual</v>
          </cell>
          <cell r="J144" t="str">
            <v>Individual</v>
          </cell>
          <cell r="L144" t="str">
            <v>NOT ENTERED</v>
          </cell>
        </row>
        <row r="145">
          <cell r="C145" t="str">
            <v>SN38</v>
          </cell>
          <cell r="D145" t="str">
            <v>Poem Writing English</v>
          </cell>
          <cell r="E145" t="str">
            <v>SENIOR</v>
          </cell>
          <cell r="F145" t="str">
            <v>Single</v>
          </cell>
          <cell r="G145" t="str">
            <v>Stage</v>
          </cell>
          <cell r="H145">
            <v>3</v>
          </cell>
          <cell r="I145" t="str">
            <v>Individual</v>
          </cell>
          <cell r="J145" t="str">
            <v>Individual</v>
          </cell>
          <cell r="L145" t="str">
            <v>NOT ENTERED</v>
          </cell>
        </row>
        <row r="146">
          <cell r="C146" t="str">
            <v>SN39</v>
          </cell>
          <cell r="D146" t="str">
            <v>Poem Writing Malayalam</v>
          </cell>
          <cell r="E146" t="str">
            <v>SENIOR</v>
          </cell>
          <cell r="F146" t="str">
            <v>Single</v>
          </cell>
          <cell r="G146" t="str">
            <v>Non-Stg</v>
          </cell>
          <cell r="H146">
            <v>3</v>
          </cell>
          <cell r="I146" t="str">
            <v>Individual</v>
          </cell>
          <cell r="J146" t="str">
            <v>Individual</v>
          </cell>
          <cell r="L146" t="str">
            <v>NOT ENTERED</v>
          </cell>
        </row>
        <row r="147">
          <cell r="C147" t="str">
            <v>SN40</v>
          </cell>
          <cell r="D147" t="str">
            <v>Vocabulary</v>
          </cell>
          <cell r="E147" t="str">
            <v>SENIOR</v>
          </cell>
          <cell r="F147" t="str">
            <v>Single</v>
          </cell>
          <cell r="G147" t="str">
            <v>Stage</v>
          </cell>
          <cell r="H147">
            <v>3</v>
          </cell>
          <cell r="I147" t="str">
            <v>Individual</v>
          </cell>
          <cell r="J147" t="str">
            <v>Individual</v>
          </cell>
          <cell r="L147" t="str">
            <v>NOT ENTERED</v>
          </cell>
        </row>
        <row r="148">
          <cell r="C148" t="str">
            <v>SN41</v>
          </cell>
          <cell r="D148" t="str">
            <v>Poster Designing Digital</v>
          </cell>
          <cell r="E148" t="str">
            <v>SENIOR</v>
          </cell>
          <cell r="F148" t="str">
            <v>Single</v>
          </cell>
          <cell r="G148" t="str">
            <v>Non-Stg</v>
          </cell>
          <cell r="H148">
            <v>3</v>
          </cell>
          <cell r="I148" t="str">
            <v>Individual</v>
          </cell>
          <cell r="J148" t="str">
            <v>Individual</v>
          </cell>
          <cell r="L148" t="str">
            <v>NOT ENTERED</v>
          </cell>
        </row>
        <row r="149">
          <cell r="C149" t="str">
            <v>SN42</v>
          </cell>
          <cell r="D149" t="str">
            <v>Poster Designing</v>
          </cell>
          <cell r="E149" t="str">
            <v>SENIOR</v>
          </cell>
          <cell r="F149" t="str">
            <v>Single</v>
          </cell>
          <cell r="G149" t="str">
            <v>Stage</v>
          </cell>
          <cell r="H149">
            <v>3</v>
          </cell>
          <cell r="I149" t="str">
            <v>Individual</v>
          </cell>
          <cell r="J149" t="str">
            <v>Individual</v>
          </cell>
          <cell r="L149" t="str">
            <v>NOT ENTERED</v>
          </cell>
        </row>
        <row r="150">
          <cell r="C150" t="str">
            <v>SN43</v>
          </cell>
          <cell r="D150" t="str">
            <v>Dictionary Making Arabic</v>
          </cell>
          <cell r="E150" t="str">
            <v>SENIOR</v>
          </cell>
          <cell r="F150" t="str">
            <v>Single</v>
          </cell>
          <cell r="G150" t="str">
            <v>Non-Stg</v>
          </cell>
          <cell r="H150">
            <v>3</v>
          </cell>
          <cell r="I150" t="str">
            <v>Individual</v>
          </cell>
          <cell r="J150" t="str">
            <v>Individual</v>
          </cell>
          <cell r="L150" t="str">
            <v>NOT ENTERED</v>
          </cell>
        </row>
        <row r="151">
          <cell r="C151" t="str">
            <v>SN44</v>
          </cell>
          <cell r="D151" t="str">
            <v>Pencil Drawing</v>
          </cell>
          <cell r="E151" t="str">
            <v>SENIOR</v>
          </cell>
          <cell r="F151" t="str">
            <v>Single</v>
          </cell>
          <cell r="G151" t="str">
            <v>Stage</v>
          </cell>
          <cell r="H151">
            <v>3</v>
          </cell>
          <cell r="I151" t="str">
            <v>Individual</v>
          </cell>
          <cell r="J151" t="str">
            <v>Individual</v>
          </cell>
          <cell r="L151" t="str">
            <v>NOT ENTERED</v>
          </cell>
        </row>
        <row r="152">
          <cell r="C152" t="str">
            <v>SN45</v>
          </cell>
          <cell r="D152" t="str">
            <v>Water Painting</v>
          </cell>
          <cell r="E152" t="str">
            <v>SENIOR</v>
          </cell>
          <cell r="F152" t="str">
            <v>Single</v>
          </cell>
          <cell r="G152" t="str">
            <v>Non-Stg</v>
          </cell>
          <cell r="H152">
            <v>3</v>
          </cell>
          <cell r="I152" t="str">
            <v>Individual</v>
          </cell>
          <cell r="J152" t="str">
            <v>Individual</v>
          </cell>
          <cell r="L152" t="str">
            <v>NOT ENTERED</v>
          </cell>
        </row>
        <row r="153">
          <cell r="C153" t="str">
            <v>SN46</v>
          </cell>
          <cell r="D153" t="str">
            <v>Translation ( Tri-Lingual )</v>
          </cell>
          <cell r="E153" t="str">
            <v>SENIOR</v>
          </cell>
          <cell r="F153" t="str">
            <v>Single</v>
          </cell>
          <cell r="G153" t="str">
            <v>Stage</v>
          </cell>
          <cell r="H153">
            <v>3</v>
          </cell>
          <cell r="I153" t="str">
            <v>Individual</v>
          </cell>
          <cell r="J153" t="str">
            <v>Individual</v>
          </cell>
          <cell r="L153" t="str">
            <v>NOT ENTERED</v>
          </cell>
        </row>
        <row r="154">
          <cell r="C154" t="str">
            <v>SN47</v>
          </cell>
          <cell r="D154" t="str">
            <v>Su Do Ku</v>
          </cell>
          <cell r="E154" t="str">
            <v>SENIOR</v>
          </cell>
          <cell r="F154" t="str">
            <v>Single</v>
          </cell>
          <cell r="G154" t="str">
            <v>Non-Stg</v>
          </cell>
          <cell r="H154">
            <v>3</v>
          </cell>
          <cell r="I154" t="str">
            <v>Individual</v>
          </cell>
          <cell r="J154" t="str">
            <v>Individual</v>
          </cell>
          <cell r="L154" t="str">
            <v>NOT ENTERED</v>
          </cell>
        </row>
        <row r="155">
          <cell r="C155" t="str">
            <v>SN48</v>
          </cell>
          <cell r="D155" t="str">
            <v>Typing ( Tri-Lingual )</v>
          </cell>
          <cell r="E155" t="str">
            <v>SENIOR</v>
          </cell>
          <cell r="F155" t="str">
            <v>Single</v>
          </cell>
          <cell r="G155" t="str">
            <v>Stage</v>
          </cell>
          <cell r="H155">
            <v>3</v>
          </cell>
          <cell r="I155" t="str">
            <v>Individual</v>
          </cell>
          <cell r="J155" t="str">
            <v>Individual</v>
          </cell>
          <cell r="L155" t="str">
            <v>NOT ENTERED</v>
          </cell>
        </row>
        <row r="156">
          <cell r="C156" t="str">
            <v>SN49</v>
          </cell>
          <cell r="D156" t="str">
            <v>Video Making</v>
          </cell>
          <cell r="E156" t="str">
            <v>SENIOR</v>
          </cell>
          <cell r="F156" t="str">
            <v>Single</v>
          </cell>
          <cell r="G156" t="str">
            <v>Non-Stg</v>
          </cell>
          <cell r="H156">
            <v>3</v>
          </cell>
          <cell r="I156" t="str">
            <v>Individual</v>
          </cell>
          <cell r="J156" t="str">
            <v>Individual</v>
          </cell>
          <cell r="L156" t="str">
            <v>NOT ENTERED</v>
          </cell>
        </row>
        <row r="157">
          <cell r="C157" t="str">
            <v>SN50</v>
          </cell>
          <cell r="D157" t="str">
            <v>Cartoon</v>
          </cell>
          <cell r="E157" t="str">
            <v>SENIOR</v>
          </cell>
          <cell r="F157" t="str">
            <v>Single</v>
          </cell>
          <cell r="G157" t="str">
            <v>Stage</v>
          </cell>
          <cell r="H157">
            <v>3</v>
          </cell>
          <cell r="I157" t="str">
            <v>Individual</v>
          </cell>
          <cell r="J157" t="str">
            <v>Individual</v>
          </cell>
          <cell r="L157" t="str">
            <v>NOT ENTERED</v>
          </cell>
        </row>
        <row r="158">
          <cell r="C158" t="str">
            <v>SN51</v>
          </cell>
          <cell r="D158" t="str">
            <v>News Writing ARB</v>
          </cell>
          <cell r="E158" t="str">
            <v>SENIOR</v>
          </cell>
          <cell r="F158" t="str">
            <v>Single</v>
          </cell>
          <cell r="G158" t="str">
            <v>Non-Stg</v>
          </cell>
          <cell r="H158">
            <v>3</v>
          </cell>
          <cell r="I158" t="str">
            <v>Individual</v>
          </cell>
          <cell r="J158" t="str">
            <v>Individual</v>
          </cell>
          <cell r="L158" t="str">
            <v>NOT ENTERED</v>
          </cell>
        </row>
        <row r="159">
          <cell r="C159" t="str">
            <v>SN52</v>
          </cell>
          <cell r="D159" t="str">
            <v>News Writing ENG</v>
          </cell>
          <cell r="E159" t="str">
            <v>SENIOR</v>
          </cell>
          <cell r="F159" t="str">
            <v>Single</v>
          </cell>
          <cell r="G159" t="str">
            <v>Stage</v>
          </cell>
          <cell r="H159">
            <v>3</v>
          </cell>
          <cell r="I159" t="str">
            <v>Individual</v>
          </cell>
          <cell r="J159" t="str">
            <v>Individual</v>
          </cell>
          <cell r="L159" t="str">
            <v>NOT ENTERED</v>
          </cell>
        </row>
        <row r="160">
          <cell r="C160" t="str">
            <v>SN53</v>
          </cell>
          <cell r="D160" t="str">
            <v>Photography</v>
          </cell>
          <cell r="E160" t="str">
            <v>SENIOR</v>
          </cell>
          <cell r="F160" t="str">
            <v>Single</v>
          </cell>
          <cell r="G160" t="str">
            <v>Non-Stg</v>
          </cell>
          <cell r="H160">
            <v>3</v>
          </cell>
          <cell r="I160" t="str">
            <v>Individual</v>
          </cell>
          <cell r="J160" t="str">
            <v>Individual</v>
          </cell>
          <cell r="L160" t="str">
            <v>NOT ENTERED</v>
          </cell>
        </row>
        <row r="161">
          <cell r="C161" t="str">
            <v>SN54</v>
          </cell>
          <cell r="D161" t="str">
            <v>Calligraphy</v>
          </cell>
          <cell r="E161" t="str">
            <v>SENIOR</v>
          </cell>
          <cell r="F161" t="str">
            <v>Single</v>
          </cell>
          <cell r="G161" t="str">
            <v>Stage</v>
          </cell>
          <cell r="H161">
            <v>3</v>
          </cell>
          <cell r="I161" t="str">
            <v>Individual</v>
          </cell>
          <cell r="J161" t="str">
            <v>Individual</v>
          </cell>
          <cell r="L161" t="str">
            <v>NOT ENTERED</v>
          </cell>
        </row>
        <row r="162">
          <cell r="C162" t="str">
            <v>SN55</v>
          </cell>
          <cell r="D162" t="str">
            <v>Proof Reading ENG</v>
          </cell>
          <cell r="E162" t="str">
            <v>SENIOR</v>
          </cell>
          <cell r="F162" t="str">
            <v>Single</v>
          </cell>
          <cell r="G162" t="str">
            <v>Non-Stg</v>
          </cell>
          <cell r="H162">
            <v>3</v>
          </cell>
          <cell r="I162" t="str">
            <v>Individual</v>
          </cell>
          <cell r="J162" t="str">
            <v>Individual</v>
          </cell>
          <cell r="L162" t="str">
            <v>NOT ENTERED</v>
          </cell>
        </row>
        <row r="163">
          <cell r="C163" t="str">
            <v>SN56</v>
          </cell>
          <cell r="D163" t="str">
            <v>Proof Reading MLM</v>
          </cell>
          <cell r="E163" t="str">
            <v>SENIOR</v>
          </cell>
          <cell r="F163" t="str">
            <v>Single</v>
          </cell>
          <cell r="G163" t="str">
            <v>Stage</v>
          </cell>
          <cell r="H163">
            <v>3</v>
          </cell>
          <cell r="I163" t="str">
            <v>Individual</v>
          </cell>
          <cell r="J163" t="str">
            <v>Individual</v>
          </cell>
          <cell r="L163" t="str">
            <v>NOT ENTERED</v>
          </cell>
        </row>
        <row r="164">
          <cell r="C164" t="str">
            <v>SN57</v>
          </cell>
          <cell r="D164" t="str">
            <v>Thashkeel</v>
          </cell>
          <cell r="E164" t="str">
            <v>SENIOR</v>
          </cell>
          <cell r="F164" t="str">
            <v>Single</v>
          </cell>
          <cell r="G164" t="str">
            <v>Non-Stg</v>
          </cell>
          <cell r="H164">
            <v>3</v>
          </cell>
          <cell r="I164" t="str">
            <v>Individual</v>
          </cell>
          <cell r="J164" t="str">
            <v>Individual</v>
          </cell>
          <cell r="L164" t="str">
            <v>NOT ENTERED</v>
          </cell>
        </row>
        <row r="165">
          <cell r="C165" t="str">
            <v>SN58</v>
          </cell>
          <cell r="D165" t="str">
            <v>Slogan Making</v>
          </cell>
          <cell r="E165" t="str">
            <v>SENIOR</v>
          </cell>
          <cell r="F165" t="str">
            <v>Single</v>
          </cell>
          <cell r="G165" t="str">
            <v>Stage</v>
          </cell>
          <cell r="H165">
            <v>3</v>
          </cell>
          <cell r="I165" t="str">
            <v>Individual</v>
          </cell>
          <cell r="J165" t="str">
            <v>Individual</v>
          </cell>
          <cell r="L165" t="str">
            <v>NOT ENTERED</v>
          </cell>
        </row>
        <row r="166">
          <cell r="C166" t="str">
            <v>SN59</v>
          </cell>
          <cell r="D166" t="str">
            <v>Instant Magazine (ENG )</v>
          </cell>
          <cell r="E166" t="str">
            <v>SENIOR</v>
          </cell>
          <cell r="F166" t="str">
            <v>Group</v>
          </cell>
          <cell r="G166" t="str">
            <v>Non-Stg</v>
          </cell>
          <cell r="H166">
            <v>3</v>
          </cell>
          <cell r="I166" t="str">
            <v>GROUP</v>
          </cell>
          <cell r="J166" t="str">
            <v>GROUP</v>
          </cell>
          <cell r="L166" t="str">
            <v>NOT ENTERED</v>
          </cell>
        </row>
        <row r="167">
          <cell r="C167" t="str">
            <v>SN60</v>
          </cell>
          <cell r="D167" t="str">
            <v>Instant Newspaper  MLM</v>
          </cell>
          <cell r="E167" t="str">
            <v>SENIOR</v>
          </cell>
          <cell r="F167" t="str">
            <v>Group</v>
          </cell>
          <cell r="G167" t="str">
            <v>Stage</v>
          </cell>
          <cell r="H167">
            <v>3</v>
          </cell>
          <cell r="I167" t="str">
            <v>GROUP</v>
          </cell>
          <cell r="J167" t="str">
            <v>GROUP</v>
          </cell>
          <cell r="L167" t="str">
            <v>NOT ENTERED</v>
          </cell>
        </row>
        <row r="168">
          <cell r="C168" t="str">
            <v>SP01</v>
          </cell>
          <cell r="D168" t="str">
            <v>Quira'ath with Thajveed</v>
          </cell>
          <cell r="E168" t="str">
            <v>SUPER SENIOR</v>
          </cell>
          <cell r="F168" t="str">
            <v>Single</v>
          </cell>
          <cell r="G168" t="str">
            <v>Non-Stg</v>
          </cell>
          <cell r="H168">
            <v>3</v>
          </cell>
          <cell r="I168" t="str">
            <v>Individual</v>
          </cell>
          <cell r="J168" t="str">
            <v>Individual</v>
          </cell>
          <cell r="L168" t="str">
            <v>NOT ENTERED</v>
          </cell>
        </row>
        <row r="169">
          <cell r="C169" t="str">
            <v>SP02</v>
          </cell>
          <cell r="D169" t="str">
            <v>Hifz</v>
          </cell>
          <cell r="E169" t="str">
            <v>SUPER SENIOR</v>
          </cell>
          <cell r="F169" t="str">
            <v>Single</v>
          </cell>
          <cell r="G169" t="str">
            <v>Stage</v>
          </cell>
          <cell r="H169">
            <v>3</v>
          </cell>
          <cell r="I169" t="str">
            <v>Individual</v>
          </cell>
          <cell r="J169" t="str">
            <v>Individual</v>
          </cell>
          <cell r="L169" t="str">
            <v>NOT ENTERED</v>
          </cell>
        </row>
        <row r="170">
          <cell r="C170" t="str">
            <v>SP03</v>
          </cell>
          <cell r="D170" t="str">
            <v>Va'az</v>
          </cell>
          <cell r="E170" t="str">
            <v>SUPER SENIOR</v>
          </cell>
          <cell r="F170" t="str">
            <v>Single</v>
          </cell>
          <cell r="G170" t="str">
            <v>Non-Stg</v>
          </cell>
          <cell r="H170">
            <v>3</v>
          </cell>
          <cell r="I170" t="str">
            <v>Individual</v>
          </cell>
          <cell r="J170" t="str">
            <v>Individual</v>
          </cell>
          <cell r="L170" t="str">
            <v>NOT ENTERED</v>
          </cell>
        </row>
        <row r="171">
          <cell r="C171" t="str">
            <v>SP04</v>
          </cell>
          <cell r="D171" t="str">
            <v>Thadrees</v>
          </cell>
          <cell r="E171" t="str">
            <v>SUPER SENIOR</v>
          </cell>
          <cell r="F171" t="str">
            <v>Single</v>
          </cell>
          <cell r="G171" t="str">
            <v>Stage</v>
          </cell>
          <cell r="H171">
            <v>3</v>
          </cell>
          <cell r="I171" t="str">
            <v>Individual</v>
          </cell>
          <cell r="J171" t="str">
            <v>Individual</v>
          </cell>
          <cell r="L171" t="str">
            <v>NOT ENTERED</v>
          </cell>
        </row>
        <row r="172">
          <cell r="C172" t="str">
            <v>SP05</v>
          </cell>
          <cell r="D172" t="str">
            <v>Kuthuba</v>
          </cell>
          <cell r="E172" t="str">
            <v>SUPER SENIOR</v>
          </cell>
          <cell r="F172" t="str">
            <v>Single</v>
          </cell>
          <cell r="G172" t="str">
            <v>Non-Stg</v>
          </cell>
          <cell r="H172">
            <v>3</v>
          </cell>
          <cell r="I172" t="str">
            <v>Individual</v>
          </cell>
          <cell r="J172" t="str">
            <v>Individual</v>
          </cell>
          <cell r="L172" t="str">
            <v>NOT ENTERED</v>
          </cell>
        </row>
        <row r="173">
          <cell r="C173" t="str">
            <v>SP06</v>
          </cell>
          <cell r="D173" t="str">
            <v>Ghazal Urdu</v>
          </cell>
          <cell r="E173" t="str">
            <v>SUPER SENIOR</v>
          </cell>
          <cell r="F173" t="str">
            <v>Single</v>
          </cell>
          <cell r="G173" t="str">
            <v>Stage</v>
          </cell>
          <cell r="H173">
            <v>3</v>
          </cell>
          <cell r="I173" t="str">
            <v>Individual</v>
          </cell>
          <cell r="J173" t="str">
            <v>Individual</v>
          </cell>
          <cell r="L173" t="str">
            <v>NOT ENTERED</v>
          </cell>
        </row>
        <row r="174">
          <cell r="C174" t="str">
            <v>SP07</v>
          </cell>
          <cell r="D174" t="str">
            <v>Kaviyarang</v>
          </cell>
          <cell r="E174" t="str">
            <v>SUPER SENIOR</v>
          </cell>
          <cell r="F174" t="str">
            <v>Single</v>
          </cell>
          <cell r="G174" t="str">
            <v>Non-Stg</v>
          </cell>
          <cell r="H174">
            <v>3</v>
          </cell>
          <cell r="I174" t="str">
            <v>Individual</v>
          </cell>
          <cell r="J174" t="str">
            <v>Individual</v>
          </cell>
          <cell r="L174" t="str">
            <v>NOT ENTERED</v>
          </cell>
        </row>
        <row r="175">
          <cell r="C175" t="str">
            <v>SP08</v>
          </cell>
          <cell r="D175" t="str">
            <v>Project Presentation ENG</v>
          </cell>
          <cell r="E175" t="str">
            <v>SUPER SENIOR</v>
          </cell>
          <cell r="F175" t="str">
            <v>Single</v>
          </cell>
          <cell r="G175" t="str">
            <v>Stage</v>
          </cell>
          <cell r="H175">
            <v>3</v>
          </cell>
          <cell r="I175" t="str">
            <v>Individual</v>
          </cell>
          <cell r="J175" t="str">
            <v>Individual</v>
          </cell>
          <cell r="L175" t="str">
            <v>NOT ENTERED</v>
          </cell>
        </row>
        <row r="176">
          <cell r="C176" t="str">
            <v>SP09</v>
          </cell>
          <cell r="D176" t="str">
            <v>News Writing &amp; Reading ENG</v>
          </cell>
          <cell r="E176" t="str">
            <v>SUPER SENIOR</v>
          </cell>
          <cell r="F176" t="str">
            <v>Single</v>
          </cell>
          <cell r="G176" t="str">
            <v>Non-Stg</v>
          </cell>
          <cell r="H176">
            <v>3</v>
          </cell>
          <cell r="I176" t="str">
            <v>Individual</v>
          </cell>
          <cell r="J176" t="str">
            <v>Individual</v>
          </cell>
          <cell r="L176" t="str">
            <v>NOT ENTERED</v>
          </cell>
        </row>
        <row r="177">
          <cell r="C177" t="str">
            <v>SP10</v>
          </cell>
          <cell r="D177" t="str">
            <v>News Writing &amp; Reading ARB</v>
          </cell>
          <cell r="E177" t="str">
            <v>SUPER SENIOR</v>
          </cell>
          <cell r="F177" t="str">
            <v>Single</v>
          </cell>
          <cell r="G177" t="str">
            <v>Stage</v>
          </cell>
          <cell r="H177">
            <v>3</v>
          </cell>
          <cell r="I177" t="str">
            <v>Individual</v>
          </cell>
          <cell r="J177" t="str">
            <v>Individual</v>
          </cell>
          <cell r="L177" t="str">
            <v>NOT ENTERED</v>
          </cell>
        </row>
        <row r="178">
          <cell r="C178" t="str">
            <v>SP11</v>
          </cell>
          <cell r="D178" t="str">
            <v>Junction Speech</v>
          </cell>
          <cell r="E178" t="str">
            <v>SUPER SENIOR</v>
          </cell>
          <cell r="F178" t="str">
            <v>Single</v>
          </cell>
          <cell r="G178" t="str">
            <v>Non-Stg</v>
          </cell>
          <cell r="H178">
            <v>3</v>
          </cell>
          <cell r="I178" t="str">
            <v>Individual</v>
          </cell>
          <cell r="J178" t="str">
            <v>Individual</v>
          </cell>
          <cell r="L178" t="str">
            <v>NOT ENTERED</v>
          </cell>
        </row>
        <row r="179">
          <cell r="C179" t="str">
            <v>SP12</v>
          </cell>
          <cell r="D179" t="str">
            <v>Extempore Speech ARB</v>
          </cell>
          <cell r="E179" t="str">
            <v>SUPER SENIOR</v>
          </cell>
          <cell r="F179" t="str">
            <v>Single</v>
          </cell>
          <cell r="G179" t="str">
            <v>Stage</v>
          </cell>
          <cell r="H179">
            <v>3</v>
          </cell>
          <cell r="I179" t="str">
            <v>Individual</v>
          </cell>
          <cell r="J179" t="str">
            <v>Individual</v>
          </cell>
          <cell r="L179" t="str">
            <v>NOT ENTERED</v>
          </cell>
        </row>
        <row r="180">
          <cell r="C180" t="str">
            <v>SP13</v>
          </cell>
          <cell r="D180" t="str">
            <v>Extempore Speech ENG</v>
          </cell>
          <cell r="E180" t="str">
            <v>SUPER SENIOR</v>
          </cell>
          <cell r="F180" t="str">
            <v>Single</v>
          </cell>
          <cell r="G180" t="str">
            <v>Non-Stg</v>
          </cell>
          <cell r="H180">
            <v>3</v>
          </cell>
          <cell r="I180" t="str">
            <v>Individual</v>
          </cell>
          <cell r="J180" t="str">
            <v>Individual</v>
          </cell>
          <cell r="L180" t="str">
            <v>NOT ENTERED</v>
          </cell>
        </row>
        <row r="181">
          <cell r="C181" t="str">
            <v>SP14</v>
          </cell>
          <cell r="D181" t="str">
            <v>Extempore Speech URD</v>
          </cell>
          <cell r="E181" t="str">
            <v>SUPER SENIOR</v>
          </cell>
          <cell r="F181" t="str">
            <v>Single</v>
          </cell>
          <cell r="G181" t="str">
            <v>Stage</v>
          </cell>
          <cell r="H181">
            <v>3</v>
          </cell>
          <cell r="I181" t="str">
            <v>Individual</v>
          </cell>
          <cell r="J181" t="str">
            <v>Individual</v>
          </cell>
          <cell r="L181" t="str">
            <v>NOT ENTERED</v>
          </cell>
        </row>
        <row r="182">
          <cell r="C182" t="str">
            <v>SP15</v>
          </cell>
          <cell r="D182" t="str">
            <v>Ashwamedham</v>
          </cell>
          <cell r="E182" t="str">
            <v>SUPER SENIOR</v>
          </cell>
          <cell r="F182" t="str">
            <v>Single</v>
          </cell>
          <cell r="G182" t="str">
            <v>Non-Stg</v>
          </cell>
          <cell r="H182">
            <v>3</v>
          </cell>
          <cell r="I182" t="str">
            <v>Individual</v>
          </cell>
          <cell r="J182" t="str">
            <v>Individual</v>
          </cell>
          <cell r="L182" t="str">
            <v>NOT ENTERED</v>
          </cell>
        </row>
        <row r="183">
          <cell r="C183" t="str">
            <v>SP16</v>
          </cell>
          <cell r="D183" t="str">
            <v>Announcement Malayalam</v>
          </cell>
          <cell r="E183" t="str">
            <v>SUPER SENIOR</v>
          </cell>
          <cell r="F183" t="str">
            <v>Single</v>
          </cell>
          <cell r="G183" t="str">
            <v>Stage</v>
          </cell>
          <cell r="H183">
            <v>3</v>
          </cell>
          <cell r="I183" t="str">
            <v>Individual</v>
          </cell>
          <cell r="J183" t="str">
            <v>Individual</v>
          </cell>
          <cell r="L183" t="str">
            <v>NOT ENTERED</v>
          </cell>
        </row>
        <row r="184">
          <cell r="C184" t="str">
            <v>SP17</v>
          </cell>
          <cell r="D184" t="str">
            <v xml:space="preserve">Padappattu </v>
          </cell>
          <cell r="E184" t="str">
            <v>SUPER SENIOR</v>
          </cell>
          <cell r="F184" t="str">
            <v>Single</v>
          </cell>
          <cell r="G184" t="str">
            <v>Non-Stg</v>
          </cell>
          <cell r="H184">
            <v>3</v>
          </cell>
          <cell r="I184" t="str">
            <v>Individual</v>
          </cell>
          <cell r="J184" t="str">
            <v>Individual</v>
          </cell>
          <cell r="L184" t="str">
            <v>NOT ENTERED</v>
          </cell>
        </row>
        <row r="185">
          <cell r="C185" t="str">
            <v>SP18</v>
          </cell>
          <cell r="D185" t="str">
            <v>Nasheed Arabic</v>
          </cell>
          <cell r="E185" t="str">
            <v>SUPER SENIOR</v>
          </cell>
          <cell r="F185" t="str">
            <v>Single</v>
          </cell>
          <cell r="G185" t="str">
            <v>Stage</v>
          </cell>
          <cell r="H185">
            <v>3</v>
          </cell>
          <cell r="I185" t="str">
            <v>Individual</v>
          </cell>
          <cell r="J185" t="str">
            <v>Individual</v>
          </cell>
          <cell r="L185" t="str">
            <v>NOT ENTERED</v>
          </cell>
        </row>
        <row r="186">
          <cell r="C186" t="str">
            <v>SP19</v>
          </cell>
          <cell r="D186" t="str">
            <v>Arabic Commentary</v>
          </cell>
          <cell r="E186" t="str">
            <v>SUPER SENIOR</v>
          </cell>
          <cell r="F186" t="str">
            <v>Single</v>
          </cell>
          <cell r="G186" t="str">
            <v>Non-Stg</v>
          </cell>
          <cell r="H186">
            <v>3</v>
          </cell>
          <cell r="I186" t="str">
            <v>Individual</v>
          </cell>
          <cell r="J186" t="str">
            <v>Individual</v>
          </cell>
          <cell r="L186" t="str">
            <v>NOT ENTERED</v>
          </cell>
        </row>
        <row r="187">
          <cell r="C187" t="str">
            <v>SP20</v>
          </cell>
          <cell r="D187" t="str">
            <v>Al Faqeeh</v>
          </cell>
          <cell r="E187" t="str">
            <v>SUPER SENIOR</v>
          </cell>
          <cell r="F187" t="str">
            <v>Single</v>
          </cell>
          <cell r="G187" t="str">
            <v>Stage</v>
          </cell>
          <cell r="H187">
            <v>3</v>
          </cell>
          <cell r="I187" t="str">
            <v>Individual</v>
          </cell>
          <cell r="J187" t="str">
            <v>Individual</v>
          </cell>
          <cell r="L187" t="str">
            <v>NOT ENTERED</v>
          </cell>
        </row>
        <row r="188">
          <cell r="C188" t="str">
            <v>SP21</v>
          </cell>
          <cell r="D188" t="str">
            <v>Hija'unnahla</v>
          </cell>
          <cell r="E188" t="str">
            <v>SUPER SENIOR</v>
          </cell>
          <cell r="F188" t="str">
            <v>Single</v>
          </cell>
          <cell r="G188" t="str">
            <v>Non-Stg</v>
          </cell>
          <cell r="H188">
            <v>3</v>
          </cell>
          <cell r="I188" t="str">
            <v>Individual</v>
          </cell>
          <cell r="J188" t="str">
            <v>Individual</v>
          </cell>
          <cell r="L188" t="str">
            <v>NOT ENTERED</v>
          </cell>
        </row>
        <row r="189">
          <cell r="C189" t="str">
            <v>SP22</v>
          </cell>
          <cell r="D189" t="str">
            <v>TV News Reading ENG</v>
          </cell>
          <cell r="E189" t="str">
            <v>SUPER SENIOR</v>
          </cell>
          <cell r="F189" t="str">
            <v>Group</v>
          </cell>
          <cell r="G189" t="str">
            <v>Stage</v>
          </cell>
          <cell r="H189">
            <v>3</v>
          </cell>
          <cell r="I189" t="str">
            <v>GROUP</v>
          </cell>
          <cell r="J189" t="str">
            <v>GROUP</v>
          </cell>
          <cell r="L189" t="str">
            <v>NOT ENTERED</v>
          </cell>
        </row>
        <row r="190">
          <cell r="C190" t="str">
            <v>SP23</v>
          </cell>
          <cell r="D190" t="str">
            <v>Mashup</v>
          </cell>
          <cell r="E190" t="str">
            <v>SUPER SENIOR</v>
          </cell>
          <cell r="F190" t="str">
            <v>Group</v>
          </cell>
          <cell r="G190" t="str">
            <v>Non-Stg</v>
          </cell>
          <cell r="H190">
            <v>3</v>
          </cell>
          <cell r="I190" t="str">
            <v>GROUP 3</v>
          </cell>
          <cell r="J190" t="str">
            <v>GROUP 3</v>
          </cell>
          <cell r="L190" t="str">
            <v>NOT ENTERED</v>
          </cell>
        </row>
        <row r="191">
          <cell r="C191" t="str">
            <v>SP24</v>
          </cell>
          <cell r="D191" t="str">
            <v>Poem writing Arabic</v>
          </cell>
          <cell r="E191" t="str">
            <v>SUPER SENIOR</v>
          </cell>
          <cell r="F191" t="str">
            <v>Single</v>
          </cell>
          <cell r="G191" t="str">
            <v>Stage</v>
          </cell>
          <cell r="H191">
            <v>3</v>
          </cell>
          <cell r="I191" t="str">
            <v>Individual</v>
          </cell>
          <cell r="J191" t="str">
            <v>Individual</v>
          </cell>
          <cell r="L191" t="str">
            <v>NOT ENTERED</v>
          </cell>
        </row>
        <row r="192">
          <cell r="C192" t="str">
            <v>SP25</v>
          </cell>
          <cell r="D192" t="str">
            <v>Poem writing urdu</v>
          </cell>
          <cell r="E192" t="str">
            <v>SUPER SENIOR</v>
          </cell>
          <cell r="F192" t="str">
            <v>Single</v>
          </cell>
          <cell r="G192" t="str">
            <v>Non-Stg</v>
          </cell>
          <cell r="H192">
            <v>3</v>
          </cell>
          <cell r="I192" t="str">
            <v>Individual</v>
          </cell>
          <cell r="J192" t="str">
            <v>Individual</v>
          </cell>
          <cell r="L192" t="str">
            <v>NOT ENTERED</v>
          </cell>
        </row>
        <row r="193">
          <cell r="C193" t="str">
            <v>SP26</v>
          </cell>
          <cell r="D193" t="str">
            <v>Poem writing English</v>
          </cell>
          <cell r="E193" t="str">
            <v>SUPER SENIOR</v>
          </cell>
          <cell r="F193" t="str">
            <v>Single</v>
          </cell>
          <cell r="G193" t="str">
            <v>Stage</v>
          </cell>
          <cell r="H193">
            <v>3</v>
          </cell>
          <cell r="I193" t="str">
            <v>Individual</v>
          </cell>
          <cell r="J193" t="str">
            <v>Individual</v>
          </cell>
          <cell r="L193" t="str">
            <v>NOT ENTERED</v>
          </cell>
        </row>
        <row r="194">
          <cell r="C194" t="str">
            <v>SP27</v>
          </cell>
          <cell r="D194" t="str">
            <v>Poem writing Malayalam</v>
          </cell>
          <cell r="E194" t="str">
            <v>SUPER SENIOR</v>
          </cell>
          <cell r="F194" t="str">
            <v>Single</v>
          </cell>
          <cell r="G194" t="str">
            <v>Non-Stg</v>
          </cell>
          <cell r="H194">
            <v>3</v>
          </cell>
          <cell r="I194" t="str">
            <v>Individual</v>
          </cell>
          <cell r="J194" t="str">
            <v>Individual</v>
          </cell>
          <cell r="L194" t="str">
            <v>NOT ENTERED</v>
          </cell>
        </row>
        <row r="195">
          <cell r="C195" t="str">
            <v>SP28</v>
          </cell>
          <cell r="D195" t="str">
            <v>Essay Composition Arabic</v>
          </cell>
          <cell r="E195" t="str">
            <v>SUPER SENIOR</v>
          </cell>
          <cell r="F195" t="str">
            <v>Single</v>
          </cell>
          <cell r="G195" t="str">
            <v>Stage</v>
          </cell>
          <cell r="H195">
            <v>3</v>
          </cell>
          <cell r="I195" t="str">
            <v>Individual</v>
          </cell>
          <cell r="J195" t="str">
            <v>Individual</v>
          </cell>
          <cell r="L195" t="str">
            <v>NOT ENTERED</v>
          </cell>
        </row>
        <row r="196">
          <cell r="C196" t="str">
            <v>SP29</v>
          </cell>
          <cell r="D196" t="str">
            <v>Essay Composition Urdu</v>
          </cell>
          <cell r="E196" t="str">
            <v>SUPER SENIOR</v>
          </cell>
          <cell r="F196" t="str">
            <v>Single</v>
          </cell>
          <cell r="G196" t="str">
            <v>Non-Stg</v>
          </cell>
          <cell r="H196">
            <v>3</v>
          </cell>
          <cell r="I196" t="str">
            <v>Individual</v>
          </cell>
          <cell r="J196" t="str">
            <v>Individual</v>
          </cell>
          <cell r="L196" t="str">
            <v>NOT ENTERED</v>
          </cell>
        </row>
        <row r="197">
          <cell r="C197" t="str">
            <v>SP30</v>
          </cell>
          <cell r="D197" t="str">
            <v>Essay Composition English</v>
          </cell>
          <cell r="E197" t="str">
            <v>SUPER SENIOR</v>
          </cell>
          <cell r="F197" t="str">
            <v>Single</v>
          </cell>
          <cell r="G197" t="str">
            <v>Stage</v>
          </cell>
          <cell r="H197">
            <v>3</v>
          </cell>
          <cell r="I197" t="str">
            <v>Individual</v>
          </cell>
          <cell r="J197" t="str">
            <v>Individual</v>
          </cell>
          <cell r="L197" t="str">
            <v>NOT ENTERED</v>
          </cell>
        </row>
        <row r="198">
          <cell r="C198" t="str">
            <v>SP31</v>
          </cell>
          <cell r="D198" t="str">
            <v>Essay Composition Malayalam</v>
          </cell>
          <cell r="E198" t="str">
            <v>SUPER SENIOR</v>
          </cell>
          <cell r="F198" t="str">
            <v>Single</v>
          </cell>
          <cell r="G198" t="str">
            <v>Non-Stg</v>
          </cell>
          <cell r="H198">
            <v>3</v>
          </cell>
          <cell r="I198" t="str">
            <v>Individual</v>
          </cell>
          <cell r="J198" t="str">
            <v>Individual</v>
          </cell>
          <cell r="L198" t="str">
            <v>NOT ENTERED</v>
          </cell>
        </row>
        <row r="199">
          <cell r="C199" t="str">
            <v>SP32</v>
          </cell>
          <cell r="D199" t="str">
            <v>Short story Writing Arabic</v>
          </cell>
          <cell r="E199" t="str">
            <v>SUPER SENIOR</v>
          </cell>
          <cell r="F199" t="str">
            <v>Single</v>
          </cell>
          <cell r="G199" t="str">
            <v>Stage</v>
          </cell>
          <cell r="H199">
            <v>3</v>
          </cell>
          <cell r="I199" t="str">
            <v>Individual</v>
          </cell>
          <cell r="J199" t="str">
            <v>Individual</v>
          </cell>
          <cell r="L199" t="str">
            <v>NOT ENTERED</v>
          </cell>
        </row>
        <row r="200">
          <cell r="C200" t="str">
            <v>SP33</v>
          </cell>
          <cell r="D200" t="str">
            <v>Short story Writing Urdu</v>
          </cell>
          <cell r="E200" t="str">
            <v>SUPER SENIOR</v>
          </cell>
          <cell r="F200" t="str">
            <v>Single</v>
          </cell>
          <cell r="G200" t="str">
            <v>Non-Stg</v>
          </cell>
          <cell r="H200">
            <v>3</v>
          </cell>
          <cell r="I200" t="str">
            <v>Individual</v>
          </cell>
          <cell r="J200" t="str">
            <v>Individual</v>
          </cell>
          <cell r="L200" t="str">
            <v>NOT ENTERED</v>
          </cell>
        </row>
        <row r="201">
          <cell r="C201" t="str">
            <v>SP34</v>
          </cell>
          <cell r="D201" t="str">
            <v>Short story Writing English</v>
          </cell>
          <cell r="E201" t="str">
            <v>SUPER SENIOR</v>
          </cell>
          <cell r="F201" t="str">
            <v>Single</v>
          </cell>
          <cell r="G201" t="str">
            <v>Stage</v>
          </cell>
          <cell r="H201">
            <v>3</v>
          </cell>
          <cell r="I201" t="str">
            <v>Individual</v>
          </cell>
          <cell r="J201" t="str">
            <v>Individual</v>
          </cell>
          <cell r="L201" t="str">
            <v>NOT ENTERED</v>
          </cell>
        </row>
        <row r="202">
          <cell r="C202" t="str">
            <v>SP35</v>
          </cell>
          <cell r="D202" t="str">
            <v>Short story Writing Malayalam</v>
          </cell>
          <cell r="E202" t="str">
            <v>SUPER SENIOR</v>
          </cell>
          <cell r="F202" t="str">
            <v>Single</v>
          </cell>
          <cell r="G202" t="str">
            <v>Non-Stg</v>
          </cell>
          <cell r="H202">
            <v>3</v>
          </cell>
          <cell r="I202" t="str">
            <v>Individual</v>
          </cell>
          <cell r="J202" t="str">
            <v>Individual</v>
          </cell>
          <cell r="L202" t="str">
            <v>NOT ENTERED</v>
          </cell>
        </row>
        <row r="203">
          <cell r="C203" t="str">
            <v>SP36</v>
          </cell>
          <cell r="D203" t="str">
            <v>Proof Reading URD</v>
          </cell>
          <cell r="E203" t="str">
            <v>SUPER SENIOR</v>
          </cell>
          <cell r="F203" t="str">
            <v>Single</v>
          </cell>
          <cell r="G203" t="str">
            <v>Stage</v>
          </cell>
          <cell r="H203">
            <v>3</v>
          </cell>
          <cell r="I203" t="str">
            <v>Individual</v>
          </cell>
          <cell r="J203" t="str">
            <v>Individual</v>
          </cell>
          <cell r="L203" t="str">
            <v>NOT ENTERED</v>
          </cell>
        </row>
        <row r="204">
          <cell r="C204" t="str">
            <v>SP37</v>
          </cell>
          <cell r="D204" t="str">
            <v>Proof Reading ENG</v>
          </cell>
          <cell r="E204" t="str">
            <v>SUPER SENIOR</v>
          </cell>
          <cell r="F204" t="str">
            <v>Single</v>
          </cell>
          <cell r="G204" t="str">
            <v>Non-Stg</v>
          </cell>
          <cell r="H204">
            <v>3</v>
          </cell>
          <cell r="I204" t="str">
            <v>Individual</v>
          </cell>
          <cell r="J204" t="str">
            <v>Individual</v>
          </cell>
          <cell r="L204" t="str">
            <v>NOT ENTERED</v>
          </cell>
        </row>
        <row r="205">
          <cell r="C205" t="str">
            <v>SP38</v>
          </cell>
          <cell r="D205" t="str">
            <v>Proof Reading ARB</v>
          </cell>
          <cell r="E205" t="str">
            <v>SUPER SENIOR</v>
          </cell>
          <cell r="F205" t="str">
            <v>Single</v>
          </cell>
          <cell r="G205" t="str">
            <v>Stage</v>
          </cell>
          <cell r="H205">
            <v>3</v>
          </cell>
          <cell r="I205" t="str">
            <v>Individual</v>
          </cell>
          <cell r="J205" t="str">
            <v>Individual</v>
          </cell>
          <cell r="L205" t="str">
            <v>NOT ENTERED</v>
          </cell>
        </row>
        <row r="206">
          <cell r="C206" t="str">
            <v>SP39</v>
          </cell>
          <cell r="D206" t="str">
            <v>Proof Reading MLM</v>
          </cell>
          <cell r="E206" t="str">
            <v>SUPER SENIOR</v>
          </cell>
          <cell r="F206" t="str">
            <v>Single</v>
          </cell>
          <cell r="G206" t="str">
            <v>Non-Stg</v>
          </cell>
          <cell r="H206">
            <v>3</v>
          </cell>
          <cell r="I206" t="str">
            <v>Individual</v>
          </cell>
          <cell r="J206" t="str">
            <v>Individual</v>
          </cell>
          <cell r="L206" t="str">
            <v>NOT ENTERED</v>
          </cell>
        </row>
        <row r="207">
          <cell r="C207" t="str">
            <v>SP40</v>
          </cell>
          <cell r="D207" t="str">
            <v>Photography</v>
          </cell>
          <cell r="E207" t="str">
            <v>SUPER SENIOR</v>
          </cell>
          <cell r="F207" t="str">
            <v>Single</v>
          </cell>
          <cell r="G207" t="str">
            <v>Stage</v>
          </cell>
          <cell r="H207">
            <v>3</v>
          </cell>
          <cell r="I207" t="str">
            <v>Individual</v>
          </cell>
          <cell r="J207" t="str">
            <v>Individual</v>
          </cell>
          <cell r="L207" t="str">
            <v>NOT ENTERED</v>
          </cell>
        </row>
        <row r="208">
          <cell r="C208" t="str">
            <v>SP41</v>
          </cell>
          <cell r="D208" t="str">
            <v>Translation ( Tri-Lingual )</v>
          </cell>
          <cell r="E208" t="str">
            <v>SUPER SENIOR</v>
          </cell>
          <cell r="F208" t="str">
            <v>Single</v>
          </cell>
          <cell r="G208" t="str">
            <v>Non-Stg</v>
          </cell>
          <cell r="H208">
            <v>3</v>
          </cell>
          <cell r="I208" t="str">
            <v>Individual</v>
          </cell>
          <cell r="J208" t="str">
            <v>Individual</v>
          </cell>
          <cell r="L208" t="str">
            <v>NOT ENTERED</v>
          </cell>
        </row>
        <row r="209">
          <cell r="C209" t="str">
            <v>SP42</v>
          </cell>
          <cell r="D209" t="str">
            <v>Cover Designing ENG</v>
          </cell>
          <cell r="E209" t="str">
            <v>SUPER SENIOR</v>
          </cell>
          <cell r="F209" t="str">
            <v>Single</v>
          </cell>
          <cell r="G209" t="str">
            <v>Stage</v>
          </cell>
          <cell r="H209">
            <v>3</v>
          </cell>
          <cell r="I209" t="str">
            <v>Individual</v>
          </cell>
          <cell r="J209" t="str">
            <v>Individual</v>
          </cell>
          <cell r="L209" t="str">
            <v>NOT ENTERED</v>
          </cell>
        </row>
        <row r="210">
          <cell r="C210" t="str">
            <v>SP43</v>
          </cell>
          <cell r="D210" t="str">
            <v>Digital Troll Making</v>
          </cell>
          <cell r="E210" t="str">
            <v>SUPER SENIOR</v>
          </cell>
          <cell r="F210" t="str">
            <v>Single</v>
          </cell>
          <cell r="G210" t="str">
            <v>Non-Stg</v>
          </cell>
          <cell r="H210">
            <v>3</v>
          </cell>
          <cell r="I210" t="str">
            <v>Individual</v>
          </cell>
          <cell r="J210" t="str">
            <v>Individual</v>
          </cell>
          <cell r="L210" t="str">
            <v>NOT ENTERED</v>
          </cell>
        </row>
        <row r="211">
          <cell r="C211" t="str">
            <v>SP44</v>
          </cell>
          <cell r="D211" t="str">
            <v>Thahleel al Ibara</v>
          </cell>
          <cell r="E211" t="str">
            <v>SUPER SENIOR</v>
          </cell>
          <cell r="F211" t="str">
            <v>Single</v>
          </cell>
          <cell r="G211" t="str">
            <v>Stage</v>
          </cell>
          <cell r="H211">
            <v>3</v>
          </cell>
          <cell r="I211" t="str">
            <v>Individual</v>
          </cell>
          <cell r="J211" t="str">
            <v>Individual</v>
          </cell>
          <cell r="L211" t="str">
            <v>NOT ENTERED</v>
          </cell>
        </row>
        <row r="212">
          <cell r="C212" t="str">
            <v>SP45</v>
          </cell>
          <cell r="D212" t="str">
            <v>Video Making</v>
          </cell>
          <cell r="E212" t="str">
            <v>SUPER SENIOR</v>
          </cell>
          <cell r="F212" t="str">
            <v>Single</v>
          </cell>
          <cell r="G212" t="str">
            <v>Non-Stg</v>
          </cell>
          <cell r="H212">
            <v>3</v>
          </cell>
          <cell r="I212" t="str">
            <v>Individual</v>
          </cell>
          <cell r="J212" t="str">
            <v>Individual</v>
          </cell>
          <cell r="L212" t="str">
            <v>NOT ENTERED</v>
          </cell>
        </row>
        <row r="213">
          <cell r="C213" t="str">
            <v>SP46</v>
          </cell>
          <cell r="D213" t="str">
            <v>Logo Designing</v>
          </cell>
          <cell r="E213" t="str">
            <v>SUPER SENIOR</v>
          </cell>
          <cell r="F213" t="str">
            <v>Single</v>
          </cell>
          <cell r="G213" t="str">
            <v>Stage</v>
          </cell>
          <cell r="H213">
            <v>3</v>
          </cell>
          <cell r="I213" t="str">
            <v>Individual</v>
          </cell>
          <cell r="J213" t="str">
            <v>Individual</v>
          </cell>
          <cell r="L213" t="str">
            <v>NOT ENTERED</v>
          </cell>
        </row>
        <row r="214">
          <cell r="C214" t="str">
            <v>SP47</v>
          </cell>
          <cell r="D214" t="str">
            <v>Social Media Updates ENG</v>
          </cell>
          <cell r="E214" t="str">
            <v>SUPER SENIOR</v>
          </cell>
          <cell r="F214" t="str">
            <v>Single</v>
          </cell>
          <cell r="G214" t="str">
            <v>Non-Stg</v>
          </cell>
          <cell r="H214">
            <v>3</v>
          </cell>
          <cell r="I214" t="str">
            <v>Individual</v>
          </cell>
          <cell r="J214" t="str">
            <v>Individual</v>
          </cell>
          <cell r="L214" t="str">
            <v>NOT ENTERED</v>
          </cell>
        </row>
        <row r="215">
          <cell r="C215" t="str">
            <v>SP48</v>
          </cell>
          <cell r="D215" t="str">
            <v>Digital Tabloid ENG</v>
          </cell>
          <cell r="E215" t="str">
            <v>SUPER SENIOR</v>
          </cell>
          <cell r="F215" t="str">
            <v>Group</v>
          </cell>
          <cell r="G215" t="str">
            <v>Stage</v>
          </cell>
          <cell r="H215">
            <v>3</v>
          </cell>
          <cell r="I215" t="str">
            <v>GROUP</v>
          </cell>
          <cell r="J215" t="str">
            <v>GROUP</v>
          </cell>
          <cell r="L215" t="str">
            <v>NOT ENTERED</v>
          </cell>
        </row>
        <row r="216">
          <cell r="C216" t="str">
            <v>GN01</v>
          </cell>
          <cell r="D216" t="str">
            <v>Munazara Arabic</v>
          </cell>
          <cell r="E216" t="str">
            <v>GENERAL</v>
          </cell>
          <cell r="G216" t="str">
            <v>Non-Stg</v>
          </cell>
          <cell r="H216">
            <v>3</v>
          </cell>
          <cell r="I216" t="str">
            <v>General</v>
          </cell>
          <cell r="J216" t="str">
            <v>General</v>
          </cell>
          <cell r="L216" t="str">
            <v>NOT ENTERED</v>
          </cell>
        </row>
        <row r="217">
          <cell r="C217" t="str">
            <v>GN02</v>
          </cell>
          <cell r="D217" t="str">
            <v>Debate English</v>
          </cell>
          <cell r="E217" t="str">
            <v>GENERAL</v>
          </cell>
          <cell r="G217" t="str">
            <v>Stage</v>
          </cell>
          <cell r="H217">
            <v>3</v>
          </cell>
          <cell r="I217" t="str">
            <v>General</v>
          </cell>
          <cell r="J217" t="str">
            <v>General</v>
          </cell>
          <cell r="L217" t="str">
            <v>NOT ENTERED</v>
          </cell>
        </row>
        <row r="218">
          <cell r="C218" t="str">
            <v>GN03</v>
          </cell>
          <cell r="D218" t="str">
            <v>Practical Demo</v>
          </cell>
          <cell r="E218" t="str">
            <v>GENERAL</v>
          </cell>
          <cell r="G218" t="str">
            <v>Non-Stg</v>
          </cell>
          <cell r="H218">
            <v>3</v>
          </cell>
          <cell r="I218" t="str">
            <v>General</v>
          </cell>
          <cell r="J218" t="str">
            <v>General</v>
          </cell>
          <cell r="L218" t="str">
            <v>NOT ENTERED</v>
          </cell>
        </row>
        <row r="219">
          <cell r="C219" t="str">
            <v>GN04</v>
          </cell>
          <cell r="D219" t="str">
            <v>Qawali Urdu</v>
          </cell>
          <cell r="E219" t="str">
            <v>GENERAL</v>
          </cell>
          <cell r="G219" t="str">
            <v>Stage</v>
          </cell>
          <cell r="H219">
            <v>3</v>
          </cell>
          <cell r="I219" t="str">
            <v>General</v>
          </cell>
          <cell r="J219" t="str">
            <v>General</v>
          </cell>
          <cell r="L219" t="str">
            <v>NOT ENTERED</v>
          </cell>
        </row>
        <row r="220">
          <cell r="C220" t="str">
            <v>GN05</v>
          </cell>
          <cell r="D220" t="str">
            <v>Campus Talent</v>
          </cell>
          <cell r="E220" t="str">
            <v>GENERAL</v>
          </cell>
          <cell r="G220" t="str">
            <v>Non-Stg</v>
          </cell>
          <cell r="H220">
            <v>3</v>
          </cell>
          <cell r="I220" t="str">
            <v>General</v>
          </cell>
          <cell r="J220" t="str">
            <v>General</v>
          </cell>
          <cell r="L220" t="str">
            <v>NOT ENTERED</v>
          </cell>
        </row>
        <row r="221">
          <cell r="C221" t="str">
            <v>GN06</v>
          </cell>
          <cell r="D221" t="str">
            <v>Fatwa Council</v>
          </cell>
          <cell r="E221" t="str">
            <v>GENERAL</v>
          </cell>
          <cell r="G221" t="str">
            <v>Stage</v>
          </cell>
          <cell r="H221">
            <v>3</v>
          </cell>
          <cell r="I221" t="str">
            <v>General</v>
          </cell>
          <cell r="J221" t="str">
            <v>General</v>
          </cell>
          <cell r="L221" t="str">
            <v>NOT ENTERED</v>
          </cell>
        </row>
        <row r="222">
          <cell r="C222" t="str">
            <v>GN07</v>
          </cell>
          <cell r="D222" t="str">
            <v>Solo Concert</v>
          </cell>
          <cell r="E222" t="str">
            <v>GENERAL</v>
          </cell>
          <cell r="G222" t="str">
            <v>Non-Stg</v>
          </cell>
          <cell r="H222">
            <v>3</v>
          </cell>
          <cell r="I222" t="str">
            <v>General</v>
          </cell>
          <cell r="J222" t="str">
            <v>General</v>
          </cell>
          <cell r="L222" t="str">
            <v>ENTERED</v>
          </cell>
        </row>
        <row r="223">
          <cell r="C223" t="str">
            <v>GN08</v>
          </cell>
          <cell r="D223" t="str">
            <v>Musha'ara</v>
          </cell>
          <cell r="E223" t="str">
            <v>GENERAL</v>
          </cell>
          <cell r="G223" t="str">
            <v>Stage</v>
          </cell>
          <cell r="H223">
            <v>3</v>
          </cell>
          <cell r="I223" t="str">
            <v>General</v>
          </cell>
          <cell r="J223" t="str">
            <v>General</v>
          </cell>
          <cell r="L223" t="str">
            <v>NOT ENTERED</v>
          </cell>
        </row>
        <row r="224">
          <cell r="C224" t="str">
            <v>GN09</v>
          </cell>
          <cell r="D224" t="str">
            <v>Documentary</v>
          </cell>
          <cell r="E224" t="str">
            <v>GENERAL</v>
          </cell>
          <cell r="G224" t="str">
            <v>Non-Stg</v>
          </cell>
          <cell r="H224">
            <v>3</v>
          </cell>
          <cell r="I224" t="str">
            <v>General</v>
          </cell>
          <cell r="J224" t="str">
            <v>General</v>
          </cell>
          <cell r="L224" t="str">
            <v>NOT ENTERED</v>
          </cell>
        </row>
        <row r="225">
          <cell r="C225" t="str">
            <v>GN10</v>
          </cell>
          <cell r="D225" t="str">
            <v>Digital Magazine</v>
          </cell>
          <cell r="E225" t="str">
            <v>GENERAL</v>
          </cell>
          <cell r="G225" t="str">
            <v>Stage</v>
          </cell>
          <cell r="H225">
            <v>3</v>
          </cell>
          <cell r="I225" t="str">
            <v>General</v>
          </cell>
          <cell r="J225" t="str">
            <v>General</v>
          </cell>
          <cell r="L225" t="str">
            <v>NOT ENTERED</v>
          </cell>
        </row>
        <row r="226">
          <cell r="C226" t="str">
            <v>GN11</v>
          </cell>
          <cell r="D226" t="str">
            <v>Collage</v>
          </cell>
          <cell r="E226" t="str">
            <v>GENERAL</v>
          </cell>
          <cell r="G226" t="str">
            <v>Non-Stg</v>
          </cell>
          <cell r="H226">
            <v>3</v>
          </cell>
          <cell r="I226" t="str">
            <v>General</v>
          </cell>
          <cell r="J226" t="str">
            <v>General</v>
          </cell>
          <cell r="L226" t="str">
            <v>NOT ENTERED</v>
          </cell>
        </row>
        <row r="227">
          <cell r="L227" t="str">
            <v/>
          </cell>
        </row>
        <row r="228">
          <cell r="L228" t="str">
            <v/>
          </cell>
        </row>
        <row r="229">
          <cell r="L229" t="str">
            <v/>
          </cell>
        </row>
        <row r="230">
          <cell r="L230" t="str">
            <v/>
          </cell>
        </row>
        <row r="231">
          <cell r="L231" t="str">
            <v/>
          </cell>
        </row>
        <row r="232">
          <cell r="L232" t="str">
            <v/>
          </cell>
        </row>
        <row r="233">
          <cell r="L233" t="str">
            <v/>
          </cell>
        </row>
        <row r="234">
          <cell r="L234" t="str">
            <v/>
          </cell>
        </row>
        <row r="235">
          <cell r="L235" t="str">
            <v/>
          </cell>
        </row>
        <row r="236">
          <cell r="L236" t="str">
            <v/>
          </cell>
        </row>
        <row r="237">
          <cell r="L237" t="str">
            <v/>
          </cell>
        </row>
        <row r="238">
          <cell r="L238" t="str">
            <v/>
          </cell>
        </row>
        <row r="239">
          <cell r="L239" t="str">
            <v/>
          </cell>
        </row>
        <row r="240">
          <cell r="L240" t="str">
            <v/>
          </cell>
        </row>
        <row r="241">
          <cell r="L241" t="str">
            <v/>
          </cell>
        </row>
        <row r="242">
          <cell r="L242" t="str">
            <v/>
          </cell>
        </row>
        <row r="243">
          <cell r="L243" t="str">
            <v/>
          </cell>
        </row>
        <row r="244">
          <cell r="L244" t="str">
            <v/>
          </cell>
        </row>
        <row r="245">
          <cell r="L245" t="str">
            <v/>
          </cell>
        </row>
        <row r="246">
          <cell r="L246" t="str">
            <v/>
          </cell>
        </row>
        <row r="247">
          <cell r="L247" t="str">
            <v/>
          </cell>
        </row>
        <row r="248">
          <cell r="L248" t="str">
            <v/>
          </cell>
        </row>
        <row r="249">
          <cell r="L249" t="str">
            <v/>
          </cell>
        </row>
        <row r="250">
          <cell r="L250" t="str">
            <v/>
          </cell>
        </row>
        <row r="251">
          <cell r="L251" t="str">
            <v/>
          </cell>
        </row>
        <row r="252">
          <cell r="L252" t="str">
            <v/>
          </cell>
        </row>
        <row r="253">
          <cell r="L253" t="str">
            <v/>
          </cell>
        </row>
        <row r="254">
          <cell r="L254" t="str">
            <v/>
          </cell>
        </row>
        <row r="255">
          <cell r="L255" t="str">
            <v/>
          </cell>
        </row>
        <row r="256">
          <cell r="L256" t="str">
            <v/>
          </cell>
        </row>
        <row r="257">
          <cell r="L257" t="str">
            <v/>
          </cell>
        </row>
        <row r="258">
          <cell r="L258" t="str">
            <v/>
          </cell>
        </row>
        <row r="259">
          <cell r="L259" t="str">
            <v/>
          </cell>
        </row>
        <row r="260">
          <cell r="L260" t="str">
            <v/>
          </cell>
        </row>
        <row r="261">
          <cell r="L261" t="str">
            <v/>
          </cell>
        </row>
        <row r="262">
          <cell r="L262" t="str">
            <v/>
          </cell>
        </row>
        <row r="263">
          <cell r="L263" t="str">
            <v/>
          </cell>
        </row>
        <row r="264">
          <cell r="L264" t="str">
            <v/>
          </cell>
        </row>
        <row r="265">
          <cell r="L265" t="str">
            <v/>
          </cell>
        </row>
        <row r="266">
          <cell r="L266" t="str">
            <v/>
          </cell>
        </row>
        <row r="267">
          <cell r="L267" t="str">
            <v/>
          </cell>
        </row>
        <row r="268">
          <cell r="L268" t="str">
            <v/>
          </cell>
        </row>
        <row r="269">
          <cell r="L269" t="str">
            <v/>
          </cell>
        </row>
        <row r="270">
          <cell r="L270" t="str">
            <v/>
          </cell>
        </row>
        <row r="271">
          <cell r="L271" t="str">
            <v/>
          </cell>
        </row>
        <row r="272">
          <cell r="L272" t="str">
            <v/>
          </cell>
        </row>
        <row r="273">
          <cell r="L273" t="str">
            <v/>
          </cell>
        </row>
        <row r="274">
          <cell r="L274" t="str">
            <v/>
          </cell>
        </row>
        <row r="275">
          <cell r="L275" t="str">
            <v/>
          </cell>
        </row>
        <row r="276">
          <cell r="L276" t="str">
            <v/>
          </cell>
        </row>
        <row r="277">
          <cell r="L277" t="str">
            <v/>
          </cell>
        </row>
        <row r="278">
          <cell r="L278" t="str">
            <v/>
          </cell>
        </row>
        <row r="279">
          <cell r="L279" t="str">
            <v/>
          </cell>
        </row>
        <row r="280">
          <cell r="L280" t="str">
            <v/>
          </cell>
        </row>
        <row r="281">
          <cell r="L281" t="str">
            <v/>
          </cell>
        </row>
        <row r="282">
          <cell r="L282" t="str">
            <v/>
          </cell>
        </row>
        <row r="283">
          <cell r="L283" t="str">
            <v/>
          </cell>
        </row>
        <row r="284">
          <cell r="L284" t="str">
            <v/>
          </cell>
        </row>
        <row r="285">
          <cell r="L285" t="str">
            <v/>
          </cell>
        </row>
        <row r="286">
          <cell r="L286" t="str">
            <v/>
          </cell>
        </row>
        <row r="287">
          <cell r="L287" t="str">
            <v/>
          </cell>
        </row>
        <row r="288">
          <cell r="L288" t="str">
            <v/>
          </cell>
        </row>
        <row r="289">
          <cell r="L289" t="str">
            <v/>
          </cell>
        </row>
        <row r="290">
          <cell r="L290" t="str">
            <v/>
          </cell>
        </row>
        <row r="291">
          <cell r="L291" t="str">
            <v/>
          </cell>
        </row>
        <row r="292">
          <cell r="L292" t="str">
            <v/>
          </cell>
        </row>
        <row r="293">
          <cell r="L293" t="str">
            <v/>
          </cell>
        </row>
        <row r="294">
          <cell r="L294" t="str">
            <v/>
          </cell>
        </row>
        <row r="295">
          <cell r="L295" t="str">
            <v/>
          </cell>
        </row>
        <row r="296">
          <cell r="L296" t="str">
            <v/>
          </cell>
        </row>
        <row r="297">
          <cell r="L297" t="str">
            <v/>
          </cell>
        </row>
        <row r="298">
          <cell r="L298" t="str">
            <v/>
          </cell>
        </row>
        <row r="299">
          <cell r="L299" t="str">
            <v/>
          </cell>
        </row>
        <row r="300">
          <cell r="L300" t="str">
            <v/>
          </cell>
        </row>
        <row r="301">
          <cell r="L301" t="str">
            <v/>
          </cell>
        </row>
        <row r="302">
          <cell r="L302" t="str">
            <v/>
          </cell>
        </row>
        <row r="303">
          <cell r="L303" t="str">
            <v/>
          </cell>
        </row>
        <row r="304">
          <cell r="L304" t="str">
            <v/>
          </cell>
        </row>
        <row r="305">
          <cell r="L305" t="str">
            <v/>
          </cell>
        </row>
        <row r="306">
          <cell r="L306" t="str">
            <v/>
          </cell>
        </row>
        <row r="307">
          <cell r="L307" t="str">
            <v/>
          </cell>
        </row>
        <row r="308">
          <cell r="L308" t="str">
            <v/>
          </cell>
        </row>
        <row r="309">
          <cell r="L309" t="str">
            <v/>
          </cell>
        </row>
        <row r="310">
          <cell r="L310" t="str">
            <v/>
          </cell>
        </row>
        <row r="311">
          <cell r="L311" t="str">
            <v/>
          </cell>
        </row>
        <row r="312">
          <cell r="L312" t="str">
            <v/>
          </cell>
        </row>
        <row r="313">
          <cell r="L313" t="str">
            <v/>
          </cell>
        </row>
        <row r="314">
          <cell r="L314" t="str">
            <v/>
          </cell>
        </row>
        <row r="315">
          <cell r="L315" t="str">
            <v/>
          </cell>
        </row>
        <row r="316">
          <cell r="L316" t="str">
            <v/>
          </cell>
        </row>
        <row r="317">
          <cell r="L317" t="str">
            <v/>
          </cell>
        </row>
        <row r="318">
          <cell r="L318" t="str">
            <v/>
          </cell>
        </row>
        <row r="319">
          <cell r="L319" t="str">
            <v/>
          </cell>
        </row>
        <row r="320">
          <cell r="L320" t="str">
            <v/>
          </cell>
        </row>
        <row r="321">
          <cell r="L321" t="str">
            <v/>
          </cell>
        </row>
        <row r="322">
          <cell r="L322" t="str">
            <v/>
          </cell>
        </row>
        <row r="323">
          <cell r="L323" t="str">
            <v/>
          </cell>
        </row>
        <row r="324">
          <cell r="L324" t="str">
            <v/>
          </cell>
        </row>
        <row r="325">
          <cell r="L325" t="str">
            <v/>
          </cell>
        </row>
        <row r="326">
          <cell r="L326" t="str">
            <v/>
          </cell>
        </row>
        <row r="327">
          <cell r="L327" t="str">
            <v/>
          </cell>
        </row>
        <row r="328">
          <cell r="L328" t="str">
            <v/>
          </cell>
        </row>
        <row r="329">
          <cell r="L329" t="str">
            <v/>
          </cell>
        </row>
        <row r="330">
          <cell r="L330" t="str">
            <v/>
          </cell>
        </row>
        <row r="331">
          <cell r="L331" t="str">
            <v/>
          </cell>
        </row>
        <row r="332">
          <cell r="L332" t="str">
            <v/>
          </cell>
        </row>
        <row r="333">
          <cell r="L333" t="str">
            <v/>
          </cell>
        </row>
        <row r="334">
          <cell r="L334" t="str">
            <v/>
          </cell>
        </row>
        <row r="335">
          <cell r="L335" t="str">
            <v/>
          </cell>
        </row>
        <row r="336">
          <cell r="L336" t="str">
            <v/>
          </cell>
        </row>
        <row r="337">
          <cell r="L337" t="str">
            <v/>
          </cell>
        </row>
        <row r="338">
          <cell r="L338" t="str">
            <v/>
          </cell>
        </row>
        <row r="339">
          <cell r="L339" t="str">
            <v/>
          </cell>
        </row>
        <row r="340">
          <cell r="L340" t="str">
            <v/>
          </cell>
        </row>
        <row r="341">
          <cell r="L341" t="str">
            <v/>
          </cell>
        </row>
        <row r="342">
          <cell r="L342" t="str">
            <v/>
          </cell>
        </row>
        <row r="343">
          <cell r="L343" t="str">
            <v/>
          </cell>
        </row>
        <row r="344">
          <cell r="L344" t="str">
            <v/>
          </cell>
        </row>
        <row r="345">
          <cell r="L345" t="str">
            <v/>
          </cell>
        </row>
        <row r="346">
          <cell r="L346" t="str">
            <v/>
          </cell>
        </row>
        <row r="347">
          <cell r="L347" t="str">
            <v/>
          </cell>
        </row>
        <row r="348">
          <cell r="L348" t="str">
            <v/>
          </cell>
        </row>
        <row r="349">
          <cell r="L349" t="str">
            <v/>
          </cell>
        </row>
        <row r="350">
          <cell r="L350" t="str">
            <v/>
          </cell>
        </row>
        <row r="351">
          <cell r="L351" t="str">
            <v/>
          </cell>
        </row>
        <row r="352">
          <cell r="L352" t="str">
            <v/>
          </cell>
        </row>
        <row r="353">
          <cell r="L353" t="str">
            <v/>
          </cell>
        </row>
        <row r="354">
          <cell r="L354" t="str">
            <v/>
          </cell>
        </row>
        <row r="355">
          <cell r="L355" t="str">
            <v/>
          </cell>
        </row>
        <row r="356">
          <cell r="L356" t="str">
            <v/>
          </cell>
        </row>
        <row r="357">
          <cell r="L357" t="str">
            <v/>
          </cell>
        </row>
        <row r="358">
          <cell r="L358" t="str">
            <v/>
          </cell>
        </row>
        <row r="359">
          <cell r="L359" t="str">
            <v/>
          </cell>
        </row>
        <row r="360">
          <cell r="L360" t="str">
            <v/>
          </cell>
        </row>
        <row r="361">
          <cell r="L361" t="str">
            <v/>
          </cell>
        </row>
        <row r="362">
          <cell r="L362" t="str">
            <v/>
          </cell>
        </row>
        <row r="363">
          <cell r="L363" t="str">
            <v/>
          </cell>
        </row>
        <row r="364">
          <cell r="L364" t="str">
            <v/>
          </cell>
        </row>
        <row r="365">
          <cell r="L365" t="str">
            <v/>
          </cell>
        </row>
        <row r="366">
          <cell r="L366" t="str">
            <v/>
          </cell>
        </row>
        <row r="367">
          <cell r="L367" t="str">
            <v/>
          </cell>
        </row>
        <row r="368">
          <cell r="L368" t="str">
            <v/>
          </cell>
        </row>
        <row r="369">
          <cell r="L369" t="str">
            <v/>
          </cell>
        </row>
        <row r="370">
          <cell r="L370" t="str">
            <v/>
          </cell>
        </row>
        <row r="371">
          <cell r="L371" t="str">
            <v/>
          </cell>
        </row>
        <row r="372">
          <cell r="L372" t="str">
            <v/>
          </cell>
        </row>
        <row r="373">
          <cell r="L373" t="str">
            <v/>
          </cell>
        </row>
        <row r="374">
          <cell r="L374" t="str">
            <v/>
          </cell>
        </row>
        <row r="375">
          <cell r="L375" t="str">
            <v/>
          </cell>
        </row>
        <row r="376">
          <cell r="L376" t="str">
            <v/>
          </cell>
        </row>
        <row r="377">
          <cell r="L377" t="str">
            <v/>
          </cell>
        </row>
        <row r="378">
          <cell r="L378" t="str">
            <v/>
          </cell>
        </row>
        <row r="379">
          <cell r="L379" t="str">
            <v/>
          </cell>
        </row>
        <row r="380">
          <cell r="L380" t="str">
            <v/>
          </cell>
        </row>
        <row r="381">
          <cell r="L381" t="str">
            <v/>
          </cell>
        </row>
        <row r="382">
          <cell r="L382" t="str">
            <v/>
          </cell>
        </row>
        <row r="383">
          <cell r="L383" t="str">
            <v/>
          </cell>
        </row>
        <row r="384">
          <cell r="L384" t="str">
            <v/>
          </cell>
        </row>
        <row r="385">
          <cell r="L385" t="str">
            <v/>
          </cell>
        </row>
        <row r="386">
          <cell r="L386" t="str">
            <v/>
          </cell>
        </row>
        <row r="387">
          <cell r="L387" t="str">
            <v/>
          </cell>
        </row>
        <row r="388">
          <cell r="L388" t="str">
            <v/>
          </cell>
        </row>
        <row r="389">
          <cell r="L389" t="str">
            <v/>
          </cell>
        </row>
        <row r="390">
          <cell r="L390" t="str">
            <v/>
          </cell>
        </row>
        <row r="391">
          <cell r="L391" t="str">
            <v/>
          </cell>
        </row>
        <row r="392">
          <cell r="L392" t="str">
            <v/>
          </cell>
        </row>
        <row r="393">
          <cell r="L393" t="str">
            <v/>
          </cell>
        </row>
        <row r="394">
          <cell r="L394" t="str">
            <v/>
          </cell>
        </row>
        <row r="395">
          <cell r="L395" t="str">
            <v/>
          </cell>
        </row>
        <row r="396">
          <cell r="L396" t="str">
            <v/>
          </cell>
        </row>
        <row r="397">
          <cell r="L397" t="str">
            <v/>
          </cell>
        </row>
        <row r="398">
          <cell r="L398" t="str">
            <v/>
          </cell>
        </row>
        <row r="399">
          <cell r="L399" t="str">
            <v/>
          </cell>
        </row>
        <row r="400">
          <cell r="L400" t="str">
            <v/>
          </cell>
        </row>
        <row r="401">
          <cell r="L401" t="str">
            <v/>
          </cell>
        </row>
        <row r="402">
          <cell r="L402" t="str">
            <v/>
          </cell>
        </row>
        <row r="403">
          <cell r="L403" t="str">
            <v/>
          </cell>
        </row>
        <row r="404">
          <cell r="L404" t="str">
            <v/>
          </cell>
        </row>
        <row r="405">
          <cell r="L405" t="str">
            <v/>
          </cell>
        </row>
        <row r="406">
          <cell r="L406" t="str">
            <v/>
          </cell>
        </row>
        <row r="407">
          <cell r="L407" t="str">
            <v/>
          </cell>
        </row>
        <row r="408">
          <cell r="L408" t="str">
            <v/>
          </cell>
        </row>
        <row r="409">
          <cell r="L409" t="str">
            <v/>
          </cell>
        </row>
        <row r="410">
          <cell r="L410" t="str">
            <v/>
          </cell>
        </row>
        <row r="411">
          <cell r="L411" t="str">
            <v/>
          </cell>
        </row>
        <row r="412">
          <cell r="L412" t="str">
            <v/>
          </cell>
        </row>
        <row r="413">
          <cell r="L413" t="str">
            <v/>
          </cell>
        </row>
        <row r="414">
          <cell r="L414" t="str">
            <v/>
          </cell>
        </row>
        <row r="415">
          <cell r="L415" t="str">
            <v/>
          </cell>
        </row>
        <row r="416">
          <cell r="L416" t="str">
            <v/>
          </cell>
        </row>
        <row r="417">
          <cell r="L417" t="str">
            <v/>
          </cell>
        </row>
        <row r="418">
          <cell r="L418" t="str">
            <v/>
          </cell>
        </row>
        <row r="419">
          <cell r="L419" t="str">
            <v/>
          </cell>
        </row>
        <row r="420">
          <cell r="L420" t="str">
            <v/>
          </cell>
        </row>
        <row r="421">
          <cell r="L421" t="str">
            <v/>
          </cell>
        </row>
        <row r="422">
          <cell r="L422" t="str">
            <v/>
          </cell>
        </row>
        <row r="423">
          <cell r="L423" t="str">
            <v/>
          </cell>
        </row>
        <row r="424">
          <cell r="L424" t="str">
            <v/>
          </cell>
        </row>
        <row r="425">
          <cell r="L425" t="str">
            <v/>
          </cell>
        </row>
        <row r="426">
          <cell r="L426" t="str">
            <v/>
          </cell>
        </row>
        <row r="427">
          <cell r="L427" t="str">
            <v/>
          </cell>
        </row>
        <row r="428">
          <cell r="L428" t="str">
            <v/>
          </cell>
        </row>
        <row r="429">
          <cell r="L429" t="str">
            <v/>
          </cell>
        </row>
        <row r="430">
          <cell r="L430" t="str">
            <v/>
          </cell>
        </row>
        <row r="431">
          <cell r="L431" t="str">
            <v/>
          </cell>
        </row>
        <row r="432">
          <cell r="L432" t="str">
            <v/>
          </cell>
        </row>
        <row r="433">
          <cell r="L433" t="str">
            <v/>
          </cell>
        </row>
        <row r="434">
          <cell r="L434" t="str">
            <v/>
          </cell>
        </row>
        <row r="435">
          <cell r="L435" t="str">
            <v/>
          </cell>
        </row>
        <row r="436">
          <cell r="L436" t="str">
            <v/>
          </cell>
        </row>
        <row r="437">
          <cell r="L437" t="str">
            <v/>
          </cell>
        </row>
        <row r="438">
          <cell r="L438" t="str">
            <v/>
          </cell>
        </row>
        <row r="439">
          <cell r="L439" t="str">
            <v/>
          </cell>
        </row>
        <row r="440">
          <cell r="L440" t="str">
            <v/>
          </cell>
        </row>
        <row r="441">
          <cell r="L441" t="str">
            <v/>
          </cell>
        </row>
        <row r="442">
          <cell r="L442" t="str">
            <v/>
          </cell>
        </row>
        <row r="443">
          <cell r="L443" t="str">
            <v/>
          </cell>
        </row>
        <row r="444">
          <cell r="L444" t="str">
            <v/>
          </cell>
        </row>
        <row r="445">
          <cell r="L445" t="str">
            <v/>
          </cell>
        </row>
        <row r="446">
          <cell r="L446" t="str">
            <v/>
          </cell>
        </row>
        <row r="447">
          <cell r="L447" t="str">
            <v/>
          </cell>
        </row>
        <row r="448">
          <cell r="L448" t="str">
            <v/>
          </cell>
        </row>
        <row r="449">
          <cell r="L449" t="str">
            <v/>
          </cell>
        </row>
        <row r="450">
          <cell r="L450" t="str">
            <v/>
          </cell>
        </row>
        <row r="451">
          <cell r="L451" t="str">
            <v/>
          </cell>
        </row>
        <row r="452">
          <cell r="L452" t="str">
            <v/>
          </cell>
        </row>
        <row r="453">
          <cell r="L453" t="str">
            <v/>
          </cell>
        </row>
        <row r="454">
          <cell r="L454" t="str">
            <v/>
          </cell>
        </row>
        <row r="455">
          <cell r="L455" t="str">
            <v/>
          </cell>
        </row>
        <row r="456">
          <cell r="L456" t="str">
            <v/>
          </cell>
        </row>
        <row r="457">
          <cell r="L457" t="str">
            <v/>
          </cell>
        </row>
        <row r="458">
          <cell r="L458" t="str">
            <v/>
          </cell>
        </row>
        <row r="459">
          <cell r="L459" t="str">
            <v/>
          </cell>
        </row>
        <row r="460">
          <cell r="L460" t="str">
            <v/>
          </cell>
        </row>
        <row r="461">
          <cell r="L461" t="str">
            <v/>
          </cell>
        </row>
        <row r="462">
          <cell r="L462" t="str">
            <v/>
          </cell>
        </row>
        <row r="463">
          <cell r="L463" t="str">
            <v/>
          </cell>
        </row>
        <row r="464">
          <cell r="L464" t="str">
            <v/>
          </cell>
        </row>
        <row r="465">
          <cell r="L465" t="str">
            <v/>
          </cell>
        </row>
        <row r="466">
          <cell r="L466" t="str">
            <v/>
          </cell>
        </row>
        <row r="467">
          <cell r="L467" t="str">
            <v/>
          </cell>
        </row>
        <row r="468">
          <cell r="L468" t="str">
            <v/>
          </cell>
        </row>
        <row r="469">
          <cell r="L469" t="str">
            <v/>
          </cell>
        </row>
        <row r="470">
          <cell r="L470" t="str">
            <v/>
          </cell>
        </row>
        <row r="471">
          <cell r="L471" t="str">
            <v/>
          </cell>
        </row>
        <row r="472">
          <cell r="L472" t="str">
            <v/>
          </cell>
        </row>
        <row r="473">
          <cell r="L473" t="str">
            <v/>
          </cell>
        </row>
        <row r="474">
          <cell r="L474" t="str">
            <v/>
          </cell>
        </row>
        <row r="475">
          <cell r="L475" t="str">
            <v/>
          </cell>
        </row>
        <row r="476">
          <cell r="L476" t="str">
            <v/>
          </cell>
        </row>
        <row r="477">
          <cell r="L477" t="str">
            <v/>
          </cell>
        </row>
        <row r="478">
          <cell r="L478" t="str">
            <v/>
          </cell>
        </row>
        <row r="479">
          <cell r="L479" t="str">
            <v/>
          </cell>
        </row>
        <row r="480">
          <cell r="L480" t="str">
            <v/>
          </cell>
        </row>
        <row r="481">
          <cell r="L481" t="str">
            <v/>
          </cell>
        </row>
        <row r="482">
          <cell r="L482" t="str">
            <v/>
          </cell>
        </row>
        <row r="483">
          <cell r="L483" t="str">
            <v/>
          </cell>
        </row>
        <row r="484">
          <cell r="L484" t="str">
            <v/>
          </cell>
        </row>
        <row r="485">
          <cell r="L485" t="str">
            <v/>
          </cell>
        </row>
        <row r="486">
          <cell r="L486" t="str">
            <v/>
          </cell>
        </row>
        <row r="487">
          <cell r="L487" t="str">
            <v/>
          </cell>
        </row>
        <row r="488">
          <cell r="L488" t="str">
            <v/>
          </cell>
        </row>
        <row r="489">
          <cell r="L489" t="str">
            <v/>
          </cell>
        </row>
        <row r="490">
          <cell r="L490" t="str">
            <v/>
          </cell>
        </row>
        <row r="491">
          <cell r="L491" t="str">
            <v/>
          </cell>
        </row>
        <row r="492">
          <cell r="L492" t="str">
            <v/>
          </cell>
        </row>
        <row r="493">
          <cell r="L493" t="str">
            <v/>
          </cell>
        </row>
        <row r="494">
          <cell r="L494" t="str">
            <v/>
          </cell>
        </row>
        <row r="495">
          <cell r="L495" t="str">
            <v/>
          </cell>
        </row>
        <row r="496">
          <cell r="L496" t="str">
            <v/>
          </cell>
        </row>
        <row r="497">
          <cell r="L497" t="str">
            <v/>
          </cell>
        </row>
        <row r="498">
          <cell r="L498" t="str">
            <v/>
          </cell>
        </row>
        <row r="499">
          <cell r="L499" t="str">
            <v/>
          </cell>
        </row>
        <row r="500">
          <cell r="L500" t="str">
            <v/>
          </cell>
        </row>
        <row r="501">
          <cell r="L501" t="str">
            <v/>
          </cell>
        </row>
        <row r="502">
          <cell r="L502" t="str">
            <v/>
          </cell>
        </row>
        <row r="503">
          <cell r="L503" t="str">
            <v/>
          </cell>
        </row>
        <row r="504">
          <cell r="L504" t="str">
            <v/>
          </cell>
        </row>
        <row r="505">
          <cell r="L505" t="str">
            <v/>
          </cell>
        </row>
        <row r="506">
          <cell r="L506" t="str">
            <v/>
          </cell>
        </row>
      </sheetData>
      <sheetData sheetId="6">
        <row r="7">
          <cell r="C7" t="str">
            <v>Min Programs per candidate</v>
          </cell>
        </row>
        <row r="8">
          <cell r="C8" t="str">
            <v>Max Stage Programs</v>
          </cell>
        </row>
        <row r="9">
          <cell r="C9" t="str">
            <v>Min Stage Programs</v>
          </cell>
        </row>
        <row r="10">
          <cell r="C10" t="str">
            <v>Max Non-stage Programs</v>
          </cell>
        </row>
        <row r="11">
          <cell r="C11" t="str">
            <v>Min Non-stage Programs</v>
          </cell>
        </row>
        <row r="12">
          <cell r="C12" t="str">
            <v>Max Single Programs</v>
          </cell>
        </row>
        <row r="13">
          <cell r="C13" t="str">
            <v>Min Single Programs</v>
          </cell>
        </row>
        <row r="14">
          <cell r="C14" t="str">
            <v>Max Group Programs</v>
          </cell>
        </row>
        <row r="15">
          <cell r="C15" t="str">
            <v>Min Group Programs</v>
          </cell>
        </row>
        <row r="18">
          <cell r="C18" t="str">
            <v>CURB CODE</v>
          </cell>
          <cell r="D18" t="str">
            <v>Program 1</v>
          </cell>
          <cell r="E18" t="str">
            <v>Program 2</v>
          </cell>
          <cell r="F18" t="str">
            <v>Program 3</v>
          </cell>
          <cell r="G18" t="str">
            <v>Program 4</v>
          </cell>
          <cell r="H18" t="str">
            <v>Program 5</v>
          </cell>
          <cell r="I18" t="str">
            <v>Program 6</v>
          </cell>
          <cell r="J18" t="str">
            <v>Program 7</v>
          </cell>
          <cell r="K18" t="str">
            <v>Program 8</v>
          </cell>
          <cell r="L18" t="str">
            <v>Program 9</v>
          </cell>
          <cell r="M18" t="str">
            <v>Program 10</v>
          </cell>
          <cell r="N18" t="str">
            <v>Min Count</v>
          </cell>
          <cell r="O18" t="str">
            <v>Max Count</v>
          </cell>
        </row>
        <row r="19">
          <cell r="C19" t="str">
            <v>MLM-JR</v>
          </cell>
        </row>
        <row r="20">
          <cell r="C20" t="str">
            <v>ENG-JR</v>
          </cell>
        </row>
        <row r="21">
          <cell r="C21" t="str">
            <v>URD-JR</v>
          </cell>
        </row>
        <row r="22">
          <cell r="C22" t="str">
            <v>ARB-JR</v>
          </cell>
        </row>
        <row r="23">
          <cell r="C23" t="str">
            <v>MLM-SR</v>
          </cell>
        </row>
        <row r="24">
          <cell r="C24" t="str">
            <v>ENG-SR</v>
          </cell>
        </row>
        <row r="25">
          <cell r="C25" t="str">
            <v>URD-SR</v>
          </cell>
        </row>
        <row r="26">
          <cell r="C26" t="str">
            <v>ARB-SR</v>
          </cell>
        </row>
        <row r="27">
          <cell r="C27" t="str">
            <v>MLM-SS</v>
          </cell>
        </row>
        <row r="28">
          <cell r="C28" t="str">
            <v>ENG-SS</v>
          </cell>
        </row>
        <row r="29">
          <cell r="C29" t="str">
            <v>URD-SS</v>
          </cell>
        </row>
        <row r="30">
          <cell r="C30" t="str">
            <v>ARB-SS</v>
          </cell>
        </row>
        <row r="31">
          <cell r="C31" t="str">
            <v>ENG-SJ</v>
          </cell>
        </row>
        <row r="32">
          <cell r="C32" t="str">
            <v>URD-SJ</v>
          </cell>
        </row>
        <row r="33">
          <cell r="C33" t="str">
            <v>ARB-SJ</v>
          </cell>
        </row>
        <row r="34">
          <cell r="C34" t="str">
            <v>MLM-SJ</v>
          </cell>
        </row>
      </sheetData>
      <sheetData sheetId="7">
        <row r="7">
          <cell r="C7" t="str">
            <v>SJ01</v>
          </cell>
          <cell r="D7" t="str">
            <v>Quira'ath</v>
          </cell>
          <cell r="E7">
            <v>8</v>
          </cell>
          <cell r="F7" t="str">
            <v>Single</v>
          </cell>
          <cell r="G7" t="str">
            <v>Stage</v>
          </cell>
          <cell r="H7" t="str">
            <v>SUB JUNIOR</v>
          </cell>
          <cell r="I7" t="str">
            <v>A100</v>
          </cell>
          <cell r="J7" t="str">
            <v>A100</v>
          </cell>
        </row>
        <row r="8">
          <cell r="C8" t="str">
            <v>SJ02</v>
          </cell>
          <cell r="D8" t="str">
            <v>Hifz</v>
          </cell>
          <cell r="E8">
            <v>4</v>
          </cell>
          <cell r="F8" t="str">
            <v>Single</v>
          </cell>
          <cell r="G8" t="str">
            <v>Stage</v>
          </cell>
          <cell r="H8" t="str">
            <v>SUB JUNIOR</v>
          </cell>
        </row>
        <row r="9">
          <cell r="C9" t="str">
            <v>SJ03</v>
          </cell>
          <cell r="D9" t="str">
            <v>Vank</v>
          </cell>
          <cell r="E9">
            <v>2</v>
          </cell>
          <cell r="F9" t="str">
            <v>Group</v>
          </cell>
          <cell r="G9" t="str">
            <v>Stage</v>
          </cell>
          <cell r="H9" t="str">
            <v>SUB JUNIOR</v>
          </cell>
        </row>
        <row r="10">
          <cell r="C10" t="str">
            <v>SJ04</v>
          </cell>
          <cell r="D10" t="str">
            <v>Va'az</v>
          </cell>
          <cell r="E10">
            <v>3</v>
          </cell>
          <cell r="F10" t="str">
            <v>Single</v>
          </cell>
          <cell r="G10" t="str">
            <v>Stage</v>
          </cell>
          <cell r="H10" t="str">
            <v>SUB JUNIOR</v>
          </cell>
        </row>
        <row r="11">
          <cell r="C11" t="str">
            <v>SJ05</v>
          </cell>
          <cell r="D11" t="str">
            <v>Madhunnabi Malayalam</v>
          </cell>
          <cell r="E11">
            <v>6</v>
          </cell>
          <cell r="F11" t="str">
            <v>Single</v>
          </cell>
          <cell r="G11" t="str">
            <v>Stage</v>
          </cell>
          <cell r="H11" t="str">
            <v>SUB JUNIOR</v>
          </cell>
        </row>
        <row r="12">
          <cell r="C12" t="str">
            <v>SJ06</v>
          </cell>
          <cell r="D12" t="str">
            <v>Song Arabic</v>
          </cell>
          <cell r="E12">
            <v>5</v>
          </cell>
          <cell r="F12" t="str">
            <v>Single</v>
          </cell>
          <cell r="G12" t="str">
            <v>Stage</v>
          </cell>
          <cell r="H12" t="str">
            <v>SUB JUNIOR</v>
          </cell>
        </row>
        <row r="13">
          <cell r="C13" t="str">
            <v>SJ07</v>
          </cell>
          <cell r="D13" t="str">
            <v>Song Urdu</v>
          </cell>
          <cell r="E13">
            <v>1</v>
          </cell>
          <cell r="F13" t="str">
            <v>Single</v>
          </cell>
          <cell r="G13" t="str">
            <v>Stage</v>
          </cell>
          <cell r="H13" t="str">
            <v>SUB JUNIOR</v>
          </cell>
        </row>
        <row r="14">
          <cell r="C14" t="str">
            <v>SJ08</v>
          </cell>
          <cell r="D14" t="str">
            <v>Song English</v>
          </cell>
          <cell r="E14">
            <v>2</v>
          </cell>
          <cell r="F14" t="str">
            <v>Single</v>
          </cell>
          <cell r="G14" t="str">
            <v>Stage</v>
          </cell>
          <cell r="H14" t="str">
            <v>SUB JUNIOR</v>
          </cell>
        </row>
        <row r="15">
          <cell r="C15" t="str">
            <v>SJ09</v>
          </cell>
          <cell r="D15" t="str">
            <v>Padhyaparayanam</v>
          </cell>
          <cell r="E15">
            <v>3</v>
          </cell>
          <cell r="F15" t="str">
            <v>Single</v>
          </cell>
          <cell r="G15" t="str">
            <v>Stage</v>
          </cell>
          <cell r="H15" t="str">
            <v>SUB JUNIOR</v>
          </cell>
        </row>
        <row r="16">
          <cell r="C16" t="str">
            <v>SJ10</v>
          </cell>
          <cell r="D16" t="str">
            <v xml:space="preserve">Kadhakadhanam </v>
          </cell>
          <cell r="E16">
            <v>5</v>
          </cell>
          <cell r="F16" t="str">
            <v>Single</v>
          </cell>
          <cell r="G16" t="str">
            <v>Stage</v>
          </cell>
          <cell r="H16" t="str">
            <v>SUB JUNIOR</v>
          </cell>
        </row>
        <row r="17">
          <cell r="C17" t="str">
            <v>SJ11</v>
          </cell>
          <cell r="D17" t="str">
            <v>Speech MLM</v>
          </cell>
          <cell r="E17">
            <v>4</v>
          </cell>
          <cell r="F17" t="str">
            <v>Single</v>
          </cell>
          <cell r="G17" t="str">
            <v>Stage</v>
          </cell>
          <cell r="H17" t="str">
            <v>SUB JUNIOR</v>
          </cell>
        </row>
        <row r="18">
          <cell r="C18" t="str">
            <v>SJ12</v>
          </cell>
          <cell r="D18" t="str">
            <v>Speech ARB</v>
          </cell>
          <cell r="E18">
            <v>1</v>
          </cell>
          <cell r="F18" t="str">
            <v>Single</v>
          </cell>
          <cell r="G18" t="str">
            <v>Stage</v>
          </cell>
          <cell r="H18" t="str">
            <v>SUB JUNIOR</v>
          </cell>
        </row>
        <row r="19">
          <cell r="C19" t="str">
            <v>SJ13</v>
          </cell>
          <cell r="D19" t="str">
            <v>Speech URD</v>
          </cell>
          <cell r="E19">
            <v>1</v>
          </cell>
          <cell r="F19" t="str">
            <v>Single</v>
          </cell>
          <cell r="G19" t="str">
            <v>Stage</v>
          </cell>
          <cell r="H19" t="str">
            <v>SUB JUNIOR</v>
          </cell>
        </row>
        <row r="20">
          <cell r="C20" t="str">
            <v>SJ14</v>
          </cell>
          <cell r="D20" t="str">
            <v>Speech ENG</v>
          </cell>
          <cell r="E20">
            <v>1</v>
          </cell>
          <cell r="F20" t="str">
            <v>Single</v>
          </cell>
          <cell r="G20" t="str">
            <v>Stage</v>
          </cell>
          <cell r="H20" t="str">
            <v>SUB JUNIOR</v>
          </cell>
        </row>
        <row r="21">
          <cell r="C21" t="str">
            <v>SJ15</v>
          </cell>
          <cell r="D21" t="str">
            <v>Word Wizard</v>
          </cell>
          <cell r="E21">
            <v>5</v>
          </cell>
          <cell r="F21" t="str">
            <v>Single</v>
          </cell>
          <cell r="G21" t="str">
            <v>Non-Stg</v>
          </cell>
          <cell r="H21" t="str">
            <v>SUB JUNIOR</v>
          </cell>
        </row>
        <row r="22">
          <cell r="C22" t="str">
            <v>SJ16</v>
          </cell>
          <cell r="D22" t="str">
            <v>Word War English</v>
          </cell>
          <cell r="E22">
            <v>1</v>
          </cell>
          <cell r="F22" t="str">
            <v>Single</v>
          </cell>
          <cell r="G22" t="str">
            <v>Non-Stg</v>
          </cell>
          <cell r="H22" t="str">
            <v>SUB JUNIOR</v>
          </cell>
        </row>
        <row r="23">
          <cell r="C23" t="str">
            <v>SJ17</v>
          </cell>
          <cell r="D23" t="str">
            <v>Mulafaza arabic</v>
          </cell>
          <cell r="E23">
            <v>1</v>
          </cell>
          <cell r="F23" t="str">
            <v>Single</v>
          </cell>
          <cell r="G23" t="str">
            <v>Stage</v>
          </cell>
          <cell r="H23" t="str">
            <v>SUB JUNIOR</v>
          </cell>
        </row>
        <row r="24">
          <cell r="C24" t="str">
            <v>SJ18</v>
          </cell>
          <cell r="D24" t="str">
            <v>Quiz</v>
          </cell>
          <cell r="E24">
            <v>1</v>
          </cell>
          <cell r="F24" t="str">
            <v>Single</v>
          </cell>
          <cell r="G24" t="str">
            <v>Non-Stg</v>
          </cell>
          <cell r="H24" t="str">
            <v>SUB JUNIOR</v>
          </cell>
        </row>
        <row r="25">
          <cell r="C25" t="str">
            <v>SJ19</v>
          </cell>
          <cell r="D25" t="str">
            <v>Geo giant</v>
          </cell>
          <cell r="E25">
            <v>1</v>
          </cell>
          <cell r="F25" t="str">
            <v>Single</v>
          </cell>
          <cell r="G25" t="str">
            <v>Stage</v>
          </cell>
          <cell r="H25" t="str">
            <v>SUB JUNIOR</v>
          </cell>
        </row>
        <row r="26">
          <cell r="C26" t="str">
            <v>SJ20</v>
          </cell>
          <cell r="D26" t="str">
            <v>Math Talent</v>
          </cell>
          <cell r="E26">
            <v>5</v>
          </cell>
          <cell r="F26" t="str">
            <v>Single</v>
          </cell>
          <cell r="G26" t="str">
            <v>Non-Stg</v>
          </cell>
          <cell r="H26" t="str">
            <v>SUB JUNIOR</v>
          </cell>
        </row>
        <row r="27">
          <cell r="C27" t="str">
            <v>SJ21</v>
          </cell>
          <cell r="D27" t="str">
            <v>Reading English</v>
          </cell>
          <cell r="E27">
            <v>3</v>
          </cell>
          <cell r="F27" t="str">
            <v>Single</v>
          </cell>
          <cell r="G27" t="str">
            <v>Stage</v>
          </cell>
          <cell r="H27" t="str">
            <v>SUB JUNIOR</v>
          </cell>
        </row>
        <row r="28">
          <cell r="C28" t="str">
            <v>SJ22</v>
          </cell>
          <cell r="D28" t="str">
            <v>Reading Hindi</v>
          </cell>
          <cell r="E28">
            <v>4</v>
          </cell>
          <cell r="F28" t="str">
            <v>Single</v>
          </cell>
          <cell r="G28" t="str">
            <v>Non-Stg</v>
          </cell>
          <cell r="H28" t="str">
            <v>SUB JUNIOR</v>
          </cell>
        </row>
        <row r="29">
          <cell r="C29" t="str">
            <v>SJ23</v>
          </cell>
          <cell r="D29" t="str">
            <v>Reading Arabic</v>
          </cell>
          <cell r="E29">
            <v>4</v>
          </cell>
          <cell r="F29" t="str">
            <v>Single</v>
          </cell>
          <cell r="G29" t="str">
            <v>Stage</v>
          </cell>
          <cell r="H29" t="str">
            <v>SUB JUNIOR</v>
          </cell>
        </row>
        <row r="30">
          <cell r="C30" t="str">
            <v>SJ24</v>
          </cell>
          <cell r="D30" t="str">
            <v>Group Song</v>
          </cell>
          <cell r="E30">
            <v>4</v>
          </cell>
          <cell r="F30" t="str">
            <v>Group</v>
          </cell>
          <cell r="G30" t="str">
            <v>Non-Stg</v>
          </cell>
          <cell r="H30" t="str">
            <v>SUB JUNIOR</v>
          </cell>
        </row>
        <row r="31">
          <cell r="C31" t="str">
            <v>SJ25</v>
          </cell>
          <cell r="D31" t="str">
            <v>Speech &amp; Song Malayalam</v>
          </cell>
          <cell r="E31">
            <v>4</v>
          </cell>
          <cell r="F31" t="str">
            <v>Group</v>
          </cell>
          <cell r="G31" t="str">
            <v>Stage</v>
          </cell>
          <cell r="H31" t="str">
            <v>SUB JUNIOR</v>
          </cell>
        </row>
        <row r="32">
          <cell r="C32" t="str">
            <v>SJ26</v>
          </cell>
          <cell r="D32" t="str">
            <v>Conversation English</v>
          </cell>
          <cell r="E32">
            <v>4</v>
          </cell>
          <cell r="F32" t="str">
            <v>Group</v>
          </cell>
          <cell r="G32" t="str">
            <v>Non-Stg</v>
          </cell>
          <cell r="H32" t="str">
            <v>SUB JUNIOR</v>
          </cell>
        </row>
        <row r="33">
          <cell r="C33" t="str">
            <v>SJ27</v>
          </cell>
          <cell r="D33" t="str">
            <v>Conversation Malayalam</v>
          </cell>
          <cell r="E33">
            <v>4</v>
          </cell>
          <cell r="F33" t="str">
            <v>Group</v>
          </cell>
          <cell r="G33" t="str">
            <v>Stage</v>
          </cell>
          <cell r="H33" t="str">
            <v>SUB JUNIOR</v>
          </cell>
        </row>
        <row r="34">
          <cell r="C34" t="str">
            <v>SJ28</v>
          </cell>
          <cell r="D34" t="str">
            <v>Hand Writing Arabic</v>
          </cell>
          <cell r="E34">
            <v>4</v>
          </cell>
          <cell r="F34" t="str">
            <v>Single</v>
          </cell>
          <cell r="G34" t="str">
            <v>Non-Stg</v>
          </cell>
          <cell r="H34" t="str">
            <v>SUB JUNIOR</v>
          </cell>
        </row>
        <row r="35">
          <cell r="C35" t="str">
            <v>SJ29</v>
          </cell>
          <cell r="D35" t="str">
            <v>Hand Writing Urdu</v>
          </cell>
          <cell r="E35">
            <v>4</v>
          </cell>
          <cell r="F35" t="str">
            <v>Single</v>
          </cell>
          <cell r="G35" t="str">
            <v>Stage</v>
          </cell>
          <cell r="H35" t="str">
            <v>SUB JUNIOR</v>
          </cell>
        </row>
        <row r="36">
          <cell r="C36" t="str">
            <v>SJ30</v>
          </cell>
          <cell r="D36" t="str">
            <v>Hand Writing English</v>
          </cell>
          <cell r="E36">
            <v>4</v>
          </cell>
          <cell r="F36" t="str">
            <v>Single</v>
          </cell>
          <cell r="G36" t="str">
            <v>Non-Stg</v>
          </cell>
          <cell r="H36" t="str">
            <v>SUB JUNIOR</v>
          </cell>
        </row>
        <row r="37">
          <cell r="C37" t="str">
            <v>SJ31</v>
          </cell>
          <cell r="D37" t="str">
            <v>Hand Writing Malayalam</v>
          </cell>
          <cell r="E37">
            <v>4</v>
          </cell>
          <cell r="F37" t="str">
            <v>Single</v>
          </cell>
          <cell r="G37" t="str">
            <v>Stage</v>
          </cell>
          <cell r="H37" t="str">
            <v>SUB JUNIOR</v>
          </cell>
        </row>
        <row r="38">
          <cell r="C38" t="str">
            <v>SJ32</v>
          </cell>
          <cell r="D38" t="str">
            <v>Hand Writing Hindi</v>
          </cell>
          <cell r="E38">
            <v>4</v>
          </cell>
          <cell r="F38" t="str">
            <v>Single</v>
          </cell>
          <cell r="G38" t="str">
            <v>Non-Stg</v>
          </cell>
          <cell r="H38" t="str">
            <v>SUB JUNIOR</v>
          </cell>
        </row>
        <row r="39">
          <cell r="C39" t="str">
            <v>SJ33</v>
          </cell>
          <cell r="D39" t="str">
            <v>Essay Writing Malyalam</v>
          </cell>
          <cell r="E39">
            <v>4</v>
          </cell>
          <cell r="F39" t="str">
            <v>Single</v>
          </cell>
          <cell r="G39" t="str">
            <v>Stage</v>
          </cell>
          <cell r="H39" t="str">
            <v>SUB JUNIOR</v>
          </cell>
        </row>
        <row r="40">
          <cell r="C40" t="str">
            <v>SJ34</v>
          </cell>
          <cell r="D40" t="str">
            <v>Poem Writing Malyalam</v>
          </cell>
          <cell r="E40">
            <v>4</v>
          </cell>
          <cell r="F40" t="str">
            <v>Single</v>
          </cell>
          <cell r="G40" t="str">
            <v>Non-Stg</v>
          </cell>
          <cell r="H40" t="str">
            <v>SUB JUNIOR</v>
          </cell>
        </row>
        <row r="41">
          <cell r="C41" t="str">
            <v>SJ35</v>
          </cell>
          <cell r="D41" t="str">
            <v>Story Completion MLM</v>
          </cell>
          <cell r="E41">
            <v>4</v>
          </cell>
          <cell r="F41" t="str">
            <v>Single</v>
          </cell>
          <cell r="G41" t="str">
            <v>Stage</v>
          </cell>
          <cell r="H41" t="str">
            <v>SUB JUNIOR</v>
          </cell>
        </row>
        <row r="42">
          <cell r="C42" t="str">
            <v>SJ36</v>
          </cell>
          <cell r="D42" t="str">
            <v>Memory Test</v>
          </cell>
          <cell r="E42">
            <v>4</v>
          </cell>
          <cell r="F42" t="str">
            <v>Single</v>
          </cell>
          <cell r="G42" t="str">
            <v>Non-Stg</v>
          </cell>
          <cell r="H42" t="str">
            <v>SUB JUNIOR</v>
          </cell>
        </row>
        <row r="43">
          <cell r="C43" t="str">
            <v>SJ37</v>
          </cell>
          <cell r="D43" t="str">
            <v>Vocabulary</v>
          </cell>
          <cell r="E43">
            <v>4</v>
          </cell>
          <cell r="F43" t="str">
            <v>Single</v>
          </cell>
          <cell r="G43" t="str">
            <v>Stage</v>
          </cell>
          <cell r="H43" t="str">
            <v>SUB JUNIOR</v>
          </cell>
        </row>
        <row r="44">
          <cell r="C44" t="str">
            <v>SJ38</v>
          </cell>
          <cell r="D44" t="str">
            <v>Pencil Drawing</v>
          </cell>
          <cell r="E44">
            <v>4</v>
          </cell>
          <cell r="F44" t="str">
            <v>Single</v>
          </cell>
          <cell r="G44" t="str">
            <v>Non-Stg</v>
          </cell>
          <cell r="H44" t="str">
            <v>SUB JUNIOR</v>
          </cell>
        </row>
        <row r="45">
          <cell r="C45" t="str">
            <v>SJ39</v>
          </cell>
          <cell r="D45" t="str">
            <v>Dictionary Making Arabic</v>
          </cell>
          <cell r="E45">
            <v>4</v>
          </cell>
          <cell r="F45" t="str">
            <v>Single</v>
          </cell>
          <cell r="G45" t="str">
            <v>Stage</v>
          </cell>
          <cell r="H45" t="str">
            <v>SUB JUNIOR</v>
          </cell>
        </row>
        <row r="46">
          <cell r="C46" t="str">
            <v>SJ40</v>
          </cell>
          <cell r="D46" t="str">
            <v>MS Paint</v>
          </cell>
          <cell r="E46">
            <v>4</v>
          </cell>
          <cell r="F46" t="str">
            <v>Single</v>
          </cell>
          <cell r="G46" t="str">
            <v>Non-Stg</v>
          </cell>
          <cell r="H46" t="str">
            <v>SUB JUNIOR</v>
          </cell>
        </row>
        <row r="47">
          <cell r="C47" t="str">
            <v>SJ41</v>
          </cell>
          <cell r="D47" t="str">
            <v>Calligraphy</v>
          </cell>
          <cell r="E47">
            <v>4</v>
          </cell>
          <cell r="F47" t="str">
            <v>Single</v>
          </cell>
          <cell r="G47" t="str">
            <v>Stage</v>
          </cell>
          <cell r="H47" t="str">
            <v>SUB JUNIOR</v>
          </cell>
        </row>
        <row r="48">
          <cell r="C48" t="str">
            <v>SJ42</v>
          </cell>
          <cell r="D48" t="str">
            <v>Short Story MLM</v>
          </cell>
          <cell r="E48">
            <v>4</v>
          </cell>
          <cell r="F48" t="str">
            <v>Single</v>
          </cell>
          <cell r="G48" t="str">
            <v>Non-Stg</v>
          </cell>
          <cell r="H48" t="str">
            <v>SUB JUNIOR</v>
          </cell>
        </row>
        <row r="49">
          <cell r="C49" t="str">
            <v>SJ43</v>
          </cell>
          <cell r="D49" t="str">
            <v>News writing MLM</v>
          </cell>
          <cell r="E49">
            <v>4</v>
          </cell>
          <cell r="F49" t="str">
            <v>Single</v>
          </cell>
          <cell r="G49" t="str">
            <v>Stage</v>
          </cell>
          <cell r="H49" t="str">
            <v>SUB JUNIOR</v>
          </cell>
        </row>
        <row r="50">
          <cell r="C50" t="str">
            <v>SJ44</v>
          </cell>
          <cell r="D50" t="str">
            <v>Poster Designing</v>
          </cell>
          <cell r="E50">
            <v>4</v>
          </cell>
          <cell r="F50" t="str">
            <v>Single</v>
          </cell>
          <cell r="G50" t="str">
            <v>Non-Stg</v>
          </cell>
          <cell r="H50" t="str">
            <v>SUB JUNIOR</v>
          </cell>
        </row>
        <row r="51">
          <cell r="C51" t="str">
            <v>SJ45</v>
          </cell>
          <cell r="D51" t="str">
            <v>Water Painting</v>
          </cell>
          <cell r="E51">
            <v>4</v>
          </cell>
          <cell r="F51" t="str">
            <v>Single</v>
          </cell>
          <cell r="G51" t="str">
            <v>Stage</v>
          </cell>
          <cell r="H51" t="str">
            <v>SUB JUNIOR</v>
          </cell>
        </row>
        <row r="52">
          <cell r="C52" t="str">
            <v>SJ46</v>
          </cell>
          <cell r="D52" t="str">
            <v>Origami</v>
          </cell>
          <cell r="E52">
            <v>4</v>
          </cell>
          <cell r="F52" t="str">
            <v>Single</v>
          </cell>
          <cell r="G52" t="str">
            <v>Non-Stg</v>
          </cell>
          <cell r="H52" t="str">
            <v>SUB JUNIOR</v>
          </cell>
        </row>
        <row r="53">
          <cell r="C53" t="str">
            <v>SJ47</v>
          </cell>
          <cell r="D53" t="str">
            <v>Su Do Ku</v>
          </cell>
          <cell r="E53">
            <v>4</v>
          </cell>
          <cell r="F53" t="str">
            <v>Single</v>
          </cell>
          <cell r="G53" t="str">
            <v>Stage</v>
          </cell>
          <cell r="H53" t="str">
            <v>SUB JUNIOR</v>
          </cell>
        </row>
        <row r="54">
          <cell r="C54" t="str">
            <v>JN01</v>
          </cell>
          <cell r="D54" t="str">
            <v>Quira'ath with Thajveed</v>
          </cell>
          <cell r="E54">
            <v>4</v>
          </cell>
          <cell r="F54" t="str">
            <v>Single</v>
          </cell>
          <cell r="G54" t="str">
            <v>Non-Stg</v>
          </cell>
          <cell r="H54" t="str">
            <v>JUNIOR</v>
          </cell>
        </row>
        <row r="55">
          <cell r="C55" t="str">
            <v>JN02</v>
          </cell>
          <cell r="D55" t="str">
            <v>Hifz</v>
          </cell>
          <cell r="E55">
            <v>4</v>
          </cell>
          <cell r="F55" t="str">
            <v>Single</v>
          </cell>
          <cell r="G55" t="str">
            <v>Stage</v>
          </cell>
          <cell r="H55" t="str">
            <v>JUNIOR</v>
          </cell>
        </row>
        <row r="56">
          <cell r="C56" t="str">
            <v>JN03</v>
          </cell>
          <cell r="D56" t="str">
            <v>Vank</v>
          </cell>
          <cell r="E56">
            <v>4</v>
          </cell>
          <cell r="F56" t="str">
            <v>Single</v>
          </cell>
          <cell r="G56" t="str">
            <v>Non-Stg</v>
          </cell>
          <cell r="H56" t="str">
            <v>JUNIOR</v>
          </cell>
        </row>
        <row r="57">
          <cell r="C57" t="str">
            <v>JN04</v>
          </cell>
          <cell r="D57" t="str">
            <v>va'az</v>
          </cell>
          <cell r="E57">
            <v>4</v>
          </cell>
          <cell r="F57" t="str">
            <v>Single</v>
          </cell>
          <cell r="G57" t="str">
            <v>Stage</v>
          </cell>
          <cell r="H57" t="str">
            <v>JUNIOR</v>
          </cell>
        </row>
        <row r="58">
          <cell r="C58" t="str">
            <v>JN05</v>
          </cell>
          <cell r="D58" t="str">
            <v>Speech Malayalam</v>
          </cell>
          <cell r="E58">
            <v>4</v>
          </cell>
          <cell r="F58" t="str">
            <v>Single</v>
          </cell>
          <cell r="G58" t="str">
            <v>Non-Stg</v>
          </cell>
          <cell r="H58" t="str">
            <v>JUNIOR</v>
          </cell>
        </row>
        <row r="59">
          <cell r="C59" t="str">
            <v>JN06</v>
          </cell>
          <cell r="D59" t="str">
            <v>Speech English</v>
          </cell>
          <cell r="E59">
            <v>4</v>
          </cell>
          <cell r="F59" t="str">
            <v>Single</v>
          </cell>
          <cell r="G59" t="str">
            <v>Stage</v>
          </cell>
          <cell r="H59" t="str">
            <v>JUNIOR</v>
          </cell>
        </row>
        <row r="60">
          <cell r="C60" t="str">
            <v>JN07</v>
          </cell>
          <cell r="D60" t="str">
            <v>Speech Urdu</v>
          </cell>
          <cell r="E60">
            <v>4</v>
          </cell>
          <cell r="F60" t="str">
            <v>Single</v>
          </cell>
          <cell r="G60" t="str">
            <v>Non-Stg</v>
          </cell>
          <cell r="H60" t="str">
            <v>JUNIOR</v>
          </cell>
        </row>
        <row r="61">
          <cell r="C61" t="str">
            <v>JN08</v>
          </cell>
          <cell r="D61" t="str">
            <v>Speech Arabic</v>
          </cell>
          <cell r="E61">
            <v>4</v>
          </cell>
          <cell r="F61" t="str">
            <v>Single</v>
          </cell>
          <cell r="G61" t="str">
            <v>Stage</v>
          </cell>
          <cell r="H61" t="str">
            <v>JUNIOR</v>
          </cell>
        </row>
        <row r="62">
          <cell r="C62" t="str">
            <v>JN09</v>
          </cell>
          <cell r="D62" t="str">
            <v>Song Arabic</v>
          </cell>
          <cell r="E62">
            <v>4</v>
          </cell>
          <cell r="F62" t="str">
            <v>Single</v>
          </cell>
          <cell r="G62" t="str">
            <v>Non-Stg</v>
          </cell>
          <cell r="H62" t="str">
            <v>JUNIOR</v>
          </cell>
        </row>
        <row r="63">
          <cell r="C63" t="str">
            <v>JN10</v>
          </cell>
          <cell r="D63" t="str">
            <v>Song Urdu</v>
          </cell>
          <cell r="E63">
            <v>4</v>
          </cell>
          <cell r="F63" t="str">
            <v>Single</v>
          </cell>
          <cell r="G63" t="str">
            <v>Stage</v>
          </cell>
          <cell r="H63" t="str">
            <v>JUNIOR</v>
          </cell>
        </row>
        <row r="64">
          <cell r="C64" t="str">
            <v>JN11</v>
          </cell>
          <cell r="D64" t="str">
            <v>Song English</v>
          </cell>
          <cell r="E64">
            <v>4</v>
          </cell>
          <cell r="F64" t="str">
            <v>Single</v>
          </cell>
          <cell r="G64" t="str">
            <v>Non-Stg</v>
          </cell>
          <cell r="H64" t="str">
            <v>JUNIOR</v>
          </cell>
        </row>
        <row r="65">
          <cell r="C65" t="str">
            <v>JN12</v>
          </cell>
          <cell r="D65" t="str">
            <v>Song Malyalam</v>
          </cell>
          <cell r="E65">
            <v>4</v>
          </cell>
          <cell r="F65" t="str">
            <v>Single</v>
          </cell>
          <cell r="G65" t="str">
            <v>Stage</v>
          </cell>
          <cell r="H65" t="str">
            <v>JUNIOR</v>
          </cell>
        </row>
        <row r="66">
          <cell r="C66" t="str">
            <v>JN13</v>
          </cell>
          <cell r="D66" t="str">
            <v xml:space="preserve">Kadhakadhanam </v>
          </cell>
          <cell r="E66">
            <v>4</v>
          </cell>
          <cell r="F66" t="str">
            <v>Single</v>
          </cell>
          <cell r="G66" t="str">
            <v>Non-Stg</v>
          </cell>
          <cell r="H66" t="str">
            <v>JUNIOR</v>
          </cell>
        </row>
        <row r="67">
          <cell r="C67" t="str">
            <v>JN14</v>
          </cell>
          <cell r="D67" t="str">
            <v>Mulafaza arabic</v>
          </cell>
          <cell r="E67">
            <v>3</v>
          </cell>
          <cell r="F67" t="str">
            <v>Single</v>
          </cell>
          <cell r="G67" t="str">
            <v>Stage</v>
          </cell>
          <cell r="H67" t="str">
            <v>JUNIOR</v>
          </cell>
        </row>
        <row r="68">
          <cell r="C68" t="str">
            <v>JN15</v>
          </cell>
          <cell r="D68" t="str">
            <v>Word War English</v>
          </cell>
          <cell r="E68">
            <v>3</v>
          </cell>
          <cell r="F68" t="str">
            <v>Single</v>
          </cell>
          <cell r="G68" t="str">
            <v>Non-Stg</v>
          </cell>
          <cell r="H68" t="str">
            <v>JUNIOR</v>
          </cell>
        </row>
        <row r="69">
          <cell r="C69" t="str">
            <v>JN16</v>
          </cell>
          <cell r="D69" t="str">
            <v>Quiz</v>
          </cell>
          <cell r="E69">
            <v>3</v>
          </cell>
          <cell r="F69" t="str">
            <v>Single</v>
          </cell>
          <cell r="G69" t="str">
            <v>Stage</v>
          </cell>
          <cell r="H69" t="str">
            <v>JUNIOR</v>
          </cell>
        </row>
        <row r="70">
          <cell r="C70" t="str">
            <v>JN17</v>
          </cell>
          <cell r="D70" t="str">
            <v>Word Wizard</v>
          </cell>
          <cell r="E70">
            <v>3</v>
          </cell>
          <cell r="F70" t="str">
            <v>Single</v>
          </cell>
          <cell r="G70" t="str">
            <v>Non-Stg</v>
          </cell>
          <cell r="H70" t="str">
            <v>JUNIOR</v>
          </cell>
        </row>
        <row r="71">
          <cell r="C71" t="str">
            <v>JN18</v>
          </cell>
          <cell r="D71" t="str">
            <v>Math Talent</v>
          </cell>
          <cell r="E71">
            <v>3</v>
          </cell>
          <cell r="F71" t="str">
            <v>Single</v>
          </cell>
          <cell r="G71" t="str">
            <v>Stage</v>
          </cell>
          <cell r="H71" t="str">
            <v>JUNIOR</v>
          </cell>
        </row>
        <row r="72">
          <cell r="C72" t="str">
            <v>JN19</v>
          </cell>
          <cell r="D72" t="str">
            <v>Padhyaparayanam</v>
          </cell>
          <cell r="E72">
            <v>3</v>
          </cell>
          <cell r="F72" t="str">
            <v>Single</v>
          </cell>
          <cell r="G72" t="str">
            <v>Non-Stg</v>
          </cell>
          <cell r="H72" t="str">
            <v>JUNIOR</v>
          </cell>
        </row>
        <row r="73">
          <cell r="C73" t="str">
            <v>JN20</v>
          </cell>
          <cell r="D73" t="str">
            <v>Science master</v>
          </cell>
          <cell r="E73">
            <v>3</v>
          </cell>
          <cell r="F73" t="str">
            <v>Single</v>
          </cell>
          <cell r="G73" t="str">
            <v>Stage</v>
          </cell>
          <cell r="H73" t="str">
            <v>JUNIOR</v>
          </cell>
        </row>
        <row r="74">
          <cell r="C74" t="str">
            <v>JN21</v>
          </cell>
          <cell r="D74" t="str">
            <v>Geo giant</v>
          </cell>
          <cell r="E74">
            <v>3</v>
          </cell>
          <cell r="F74" t="str">
            <v>Single</v>
          </cell>
          <cell r="G74" t="str">
            <v>Non-Stg</v>
          </cell>
          <cell r="H74" t="str">
            <v>JUNIOR</v>
          </cell>
        </row>
        <row r="75">
          <cell r="C75" t="str">
            <v>JN22</v>
          </cell>
          <cell r="D75" t="str">
            <v>Hija'unnahla</v>
          </cell>
          <cell r="E75">
            <v>3</v>
          </cell>
          <cell r="F75" t="str">
            <v>Single</v>
          </cell>
          <cell r="G75" t="str">
            <v>Stage</v>
          </cell>
          <cell r="H75" t="str">
            <v>JUNIOR</v>
          </cell>
        </row>
        <row r="76">
          <cell r="C76" t="str">
            <v>JN23</v>
          </cell>
          <cell r="D76" t="str">
            <v>Group Song</v>
          </cell>
          <cell r="E76">
            <v>3</v>
          </cell>
          <cell r="F76" t="str">
            <v>Group</v>
          </cell>
          <cell r="G76" t="str">
            <v>Non-Stg</v>
          </cell>
          <cell r="H76" t="str">
            <v>JUNIOR</v>
          </cell>
        </row>
        <row r="77">
          <cell r="C77" t="str">
            <v>JN24</v>
          </cell>
          <cell r="D77" t="str">
            <v>Speech and Song Malayalam</v>
          </cell>
          <cell r="E77">
            <v>3</v>
          </cell>
          <cell r="F77" t="str">
            <v>Group</v>
          </cell>
          <cell r="G77" t="str">
            <v>Stage</v>
          </cell>
          <cell r="H77" t="str">
            <v>JUNIOR</v>
          </cell>
        </row>
        <row r="78">
          <cell r="C78" t="str">
            <v>JN25</v>
          </cell>
          <cell r="D78" t="str">
            <v>Conversation Arabic</v>
          </cell>
          <cell r="E78">
            <v>3</v>
          </cell>
          <cell r="F78" t="str">
            <v>Group</v>
          </cell>
          <cell r="G78" t="str">
            <v>Non-Stg</v>
          </cell>
          <cell r="H78" t="str">
            <v>JUNIOR</v>
          </cell>
        </row>
        <row r="79">
          <cell r="C79" t="str">
            <v>JN26</v>
          </cell>
          <cell r="D79" t="str">
            <v>Conversation English</v>
          </cell>
          <cell r="E79">
            <v>3</v>
          </cell>
          <cell r="F79" t="str">
            <v>Group</v>
          </cell>
          <cell r="G79" t="str">
            <v>Stage</v>
          </cell>
          <cell r="H79" t="str">
            <v>JUNIOR</v>
          </cell>
        </row>
        <row r="80">
          <cell r="C80" t="str">
            <v>JN27</v>
          </cell>
          <cell r="D80" t="str">
            <v>Essay Writing English</v>
          </cell>
          <cell r="E80">
            <v>3</v>
          </cell>
          <cell r="F80" t="str">
            <v>Single</v>
          </cell>
          <cell r="G80" t="str">
            <v>Non-Stg</v>
          </cell>
          <cell r="H80" t="str">
            <v>JUNIOR</v>
          </cell>
        </row>
        <row r="81">
          <cell r="C81" t="str">
            <v>JN28</v>
          </cell>
          <cell r="D81" t="str">
            <v>Essay Writing Urdu</v>
          </cell>
          <cell r="E81">
            <v>3</v>
          </cell>
          <cell r="F81" t="str">
            <v>Single</v>
          </cell>
          <cell r="G81" t="str">
            <v>Stage</v>
          </cell>
          <cell r="H81" t="str">
            <v>JUNIOR</v>
          </cell>
        </row>
        <row r="82">
          <cell r="C82" t="str">
            <v>JN29</v>
          </cell>
          <cell r="D82" t="str">
            <v>Essay Writing Arabic</v>
          </cell>
          <cell r="E82">
            <v>3</v>
          </cell>
          <cell r="F82" t="str">
            <v>Single</v>
          </cell>
          <cell r="G82" t="str">
            <v>Non-Stg</v>
          </cell>
          <cell r="H82" t="str">
            <v>JUNIOR</v>
          </cell>
        </row>
        <row r="83">
          <cell r="C83" t="str">
            <v>JN30</v>
          </cell>
          <cell r="D83" t="str">
            <v>Essay Writing Malyalam</v>
          </cell>
          <cell r="E83">
            <v>3</v>
          </cell>
          <cell r="F83" t="str">
            <v>Single</v>
          </cell>
          <cell r="G83" t="str">
            <v>Stage</v>
          </cell>
          <cell r="H83" t="str">
            <v>JUNIOR</v>
          </cell>
        </row>
        <row r="84">
          <cell r="C84" t="str">
            <v>JN31</v>
          </cell>
          <cell r="D84" t="str">
            <v>Short Story URD</v>
          </cell>
          <cell r="E84">
            <v>3</v>
          </cell>
          <cell r="F84" t="str">
            <v>Single</v>
          </cell>
          <cell r="G84" t="str">
            <v>Non-Stg</v>
          </cell>
          <cell r="H84" t="str">
            <v>JUNIOR</v>
          </cell>
        </row>
        <row r="85">
          <cell r="C85" t="str">
            <v>JN32</v>
          </cell>
          <cell r="D85" t="str">
            <v>Short Story ARB</v>
          </cell>
          <cell r="E85">
            <v>3</v>
          </cell>
          <cell r="F85" t="str">
            <v>Single</v>
          </cell>
          <cell r="G85" t="str">
            <v>Stage</v>
          </cell>
          <cell r="H85" t="str">
            <v>JUNIOR</v>
          </cell>
        </row>
        <row r="86">
          <cell r="C86" t="str">
            <v>JN33</v>
          </cell>
          <cell r="D86" t="str">
            <v>Short Story ENG</v>
          </cell>
          <cell r="E86">
            <v>3</v>
          </cell>
          <cell r="F86" t="str">
            <v>Single</v>
          </cell>
          <cell r="G86" t="str">
            <v>Non-Stg</v>
          </cell>
          <cell r="H86" t="str">
            <v>JUNIOR</v>
          </cell>
        </row>
        <row r="87">
          <cell r="C87" t="str">
            <v>JN34</v>
          </cell>
          <cell r="D87" t="str">
            <v>Poem Writing Arabic</v>
          </cell>
          <cell r="E87">
            <v>3</v>
          </cell>
          <cell r="F87" t="str">
            <v>Single</v>
          </cell>
          <cell r="G87" t="str">
            <v>Stage</v>
          </cell>
          <cell r="H87" t="str">
            <v>JUNIOR</v>
          </cell>
        </row>
        <row r="88">
          <cell r="C88" t="str">
            <v>JN35</v>
          </cell>
          <cell r="D88" t="str">
            <v>Poem Writing English</v>
          </cell>
          <cell r="E88">
            <v>3</v>
          </cell>
          <cell r="F88" t="str">
            <v>Single</v>
          </cell>
          <cell r="G88" t="str">
            <v>Non-Stg</v>
          </cell>
          <cell r="H88" t="str">
            <v>JUNIOR</v>
          </cell>
        </row>
        <row r="89">
          <cell r="C89" t="str">
            <v>JN36</v>
          </cell>
          <cell r="D89" t="str">
            <v>Poem Writing Malayalam</v>
          </cell>
          <cell r="E89">
            <v>3</v>
          </cell>
          <cell r="F89" t="str">
            <v>Single</v>
          </cell>
          <cell r="G89" t="str">
            <v>Stage</v>
          </cell>
          <cell r="H89" t="str">
            <v>JUNIOR</v>
          </cell>
        </row>
        <row r="90">
          <cell r="C90" t="str">
            <v>JN37</v>
          </cell>
          <cell r="D90" t="str">
            <v>Pencil Drawing</v>
          </cell>
          <cell r="E90">
            <v>3</v>
          </cell>
          <cell r="F90" t="str">
            <v>Single</v>
          </cell>
          <cell r="G90" t="str">
            <v>Non-Stg</v>
          </cell>
          <cell r="H90" t="str">
            <v>JUNIOR</v>
          </cell>
        </row>
        <row r="91">
          <cell r="C91" t="str">
            <v>JN38</v>
          </cell>
          <cell r="D91" t="str">
            <v>Memory Test</v>
          </cell>
          <cell r="E91">
            <v>3</v>
          </cell>
          <cell r="F91" t="str">
            <v>Single</v>
          </cell>
          <cell r="G91" t="str">
            <v>Stage</v>
          </cell>
          <cell r="H91" t="str">
            <v>JUNIOR</v>
          </cell>
        </row>
        <row r="92">
          <cell r="C92" t="str">
            <v>JN39</v>
          </cell>
          <cell r="D92" t="str">
            <v>Vocabulary</v>
          </cell>
          <cell r="E92">
            <v>3</v>
          </cell>
          <cell r="F92" t="str">
            <v>Single</v>
          </cell>
          <cell r="G92" t="str">
            <v>Non-Stg</v>
          </cell>
          <cell r="H92" t="str">
            <v>JUNIOR</v>
          </cell>
        </row>
        <row r="93">
          <cell r="C93" t="str">
            <v>JN40</v>
          </cell>
          <cell r="D93" t="str">
            <v>Dictionary Making Arabic</v>
          </cell>
          <cell r="E93">
            <v>3</v>
          </cell>
          <cell r="F93" t="str">
            <v>Single</v>
          </cell>
          <cell r="G93" t="str">
            <v>Stage</v>
          </cell>
          <cell r="H93" t="str">
            <v>JUNIOR</v>
          </cell>
        </row>
        <row r="94">
          <cell r="C94" t="str">
            <v>JN41</v>
          </cell>
          <cell r="D94" t="str">
            <v>Su Do Ku</v>
          </cell>
          <cell r="E94">
            <v>3</v>
          </cell>
          <cell r="F94" t="str">
            <v>Single</v>
          </cell>
          <cell r="G94" t="str">
            <v>Non-Stg</v>
          </cell>
          <cell r="H94" t="str">
            <v>JUNIOR</v>
          </cell>
        </row>
        <row r="95">
          <cell r="C95" t="str">
            <v>JN42</v>
          </cell>
          <cell r="D95" t="str">
            <v>Calligraphy</v>
          </cell>
          <cell r="E95">
            <v>3</v>
          </cell>
          <cell r="F95" t="str">
            <v>Single</v>
          </cell>
          <cell r="G95" t="str">
            <v>Stage</v>
          </cell>
          <cell r="H95" t="str">
            <v>JUNIOR</v>
          </cell>
        </row>
        <row r="96">
          <cell r="C96" t="str">
            <v>JN43</v>
          </cell>
          <cell r="D96" t="str">
            <v>Slogan Making</v>
          </cell>
          <cell r="E96">
            <v>3</v>
          </cell>
          <cell r="F96" t="str">
            <v>Single</v>
          </cell>
          <cell r="G96" t="str">
            <v>Non-Stg</v>
          </cell>
          <cell r="H96" t="str">
            <v>JUNIOR</v>
          </cell>
        </row>
        <row r="97">
          <cell r="C97" t="str">
            <v>JN44</v>
          </cell>
          <cell r="D97" t="str">
            <v>Short Story MLM</v>
          </cell>
          <cell r="E97">
            <v>3</v>
          </cell>
          <cell r="F97" t="str">
            <v>Single</v>
          </cell>
          <cell r="G97" t="str">
            <v>Stage</v>
          </cell>
          <cell r="H97" t="str">
            <v>JUNIOR</v>
          </cell>
        </row>
        <row r="98">
          <cell r="C98" t="str">
            <v>JN45</v>
          </cell>
          <cell r="D98" t="str">
            <v>News Writing MLM</v>
          </cell>
          <cell r="E98">
            <v>3</v>
          </cell>
          <cell r="F98" t="str">
            <v>Single</v>
          </cell>
          <cell r="G98" t="str">
            <v>Non-Stg</v>
          </cell>
          <cell r="H98" t="str">
            <v>JUNIOR</v>
          </cell>
        </row>
        <row r="99">
          <cell r="C99" t="str">
            <v>JN46</v>
          </cell>
          <cell r="D99" t="str">
            <v>Poster Designing</v>
          </cell>
          <cell r="E99">
            <v>3</v>
          </cell>
          <cell r="F99" t="str">
            <v>Single</v>
          </cell>
          <cell r="G99" t="str">
            <v>Stage</v>
          </cell>
          <cell r="H99" t="str">
            <v>JUNIOR</v>
          </cell>
        </row>
        <row r="100">
          <cell r="C100" t="str">
            <v>JN47</v>
          </cell>
          <cell r="D100" t="str">
            <v>Water painting</v>
          </cell>
          <cell r="E100">
            <v>3</v>
          </cell>
          <cell r="F100" t="str">
            <v>Single</v>
          </cell>
          <cell r="G100" t="str">
            <v>Non-Stg</v>
          </cell>
          <cell r="H100" t="str">
            <v>JUNIOR</v>
          </cell>
        </row>
        <row r="101">
          <cell r="C101" t="str">
            <v>JN48</v>
          </cell>
          <cell r="D101" t="str">
            <v>Story Completion</v>
          </cell>
          <cell r="E101">
            <v>3</v>
          </cell>
          <cell r="F101" t="str">
            <v>Single</v>
          </cell>
          <cell r="G101" t="str">
            <v>Stage</v>
          </cell>
          <cell r="H101" t="str">
            <v>JUNIOR</v>
          </cell>
        </row>
        <row r="102">
          <cell r="C102" t="str">
            <v>JN49</v>
          </cell>
          <cell r="D102" t="str">
            <v>MS Paint</v>
          </cell>
          <cell r="E102">
            <v>3</v>
          </cell>
          <cell r="F102" t="str">
            <v>Single</v>
          </cell>
          <cell r="G102" t="str">
            <v>Non-Stg</v>
          </cell>
          <cell r="H102" t="str">
            <v>JUNIOR</v>
          </cell>
        </row>
        <row r="103">
          <cell r="C103" t="str">
            <v>JN50</v>
          </cell>
          <cell r="D103" t="str">
            <v>Sentence Translation</v>
          </cell>
          <cell r="E103">
            <v>3</v>
          </cell>
          <cell r="F103" t="str">
            <v>Single</v>
          </cell>
          <cell r="G103" t="str">
            <v>Stage</v>
          </cell>
          <cell r="H103" t="str">
            <v>JUNIOR</v>
          </cell>
        </row>
        <row r="104">
          <cell r="C104" t="str">
            <v>JN51</v>
          </cell>
          <cell r="D104" t="str">
            <v>Cartoon</v>
          </cell>
          <cell r="E104">
            <v>3</v>
          </cell>
          <cell r="F104" t="str">
            <v>Single</v>
          </cell>
          <cell r="G104" t="str">
            <v>Non-Stg</v>
          </cell>
          <cell r="H104" t="str">
            <v>JUNIOR</v>
          </cell>
        </row>
        <row r="105">
          <cell r="C105" t="str">
            <v>JN52</v>
          </cell>
          <cell r="D105" t="str">
            <v>Caption Making</v>
          </cell>
          <cell r="E105">
            <v>3</v>
          </cell>
          <cell r="F105" t="str">
            <v>Single</v>
          </cell>
          <cell r="G105" t="str">
            <v>Stage</v>
          </cell>
          <cell r="H105" t="str">
            <v>JUNIOR</v>
          </cell>
        </row>
        <row r="106">
          <cell r="C106" t="str">
            <v>JN53</v>
          </cell>
          <cell r="D106" t="str">
            <v>Instant Children magazine MLM</v>
          </cell>
          <cell r="E106">
            <v>3</v>
          </cell>
          <cell r="F106" t="str">
            <v>Group</v>
          </cell>
          <cell r="G106" t="str">
            <v>Non-Stg</v>
          </cell>
          <cell r="H106" t="str">
            <v>JUNIOR</v>
          </cell>
        </row>
        <row r="107">
          <cell r="C107" t="str">
            <v>JN54</v>
          </cell>
          <cell r="D107" t="str">
            <v>Instant Newspaper MLM</v>
          </cell>
          <cell r="E107">
            <v>3</v>
          </cell>
          <cell r="F107" t="str">
            <v>Group</v>
          </cell>
          <cell r="G107" t="str">
            <v>Stage</v>
          </cell>
          <cell r="H107" t="str">
            <v>JUNIOR</v>
          </cell>
        </row>
        <row r="108">
          <cell r="C108" t="str">
            <v>SN01</v>
          </cell>
          <cell r="D108" t="str">
            <v>Quira'ath with Thajveed</v>
          </cell>
          <cell r="E108">
            <v>3</v>
          </cell>
          <cell r="F108" t="str">
            <v>Single</v>
          </cell>
          <cell r="G108" t="str">
            <v>Non-Stg</v>
          </cell>
          <cell r="H108" t="str">
            <v>SENIOR</v>
          </cell>
        </row>
        <row r="109">
          <cell r="C109" t="str">
            <v>SN02</v>
          </cell>
          <cell r="D109" t="str">
            <v>Hifz</v>
          </cell>
          <cell r="E109">
            <v>3</v>
          </cell>
          <cell r="F109" t="str">
            <v>Single</v>
          </cell>
          <cell r="G109" t="str">
            <v>Stage</v>
          </cell>
          <cell r="H109" t="str">
            <v>SENIOR</v>
          </cell>
        </row>
        <row r="110">
          <cell r="C110" t="str">
            <v>SN03</v>
          </cell>
          <cell r="D110" t="str">
            <v>Va'az</v>
          </cell>
          <cell r="E110">
            <v>3</v>
          </cell>
          <cell r="F110" t="str">
            <v>Single</v>
          </cell>
          <cell r="G110" t="str">
            <v>Non-Stg</v>
          </cell>
          <cell r="H110" t="str">
            <v>SENIOR</v>
          </cell>
        </row>
        <row r="111">
          <cell r="C111" t="str">
            <v>SN04</v>
          </cell>
          <cell r="D111" t="str">
            <v>Speech Arabic</v>
          </cell>
          <cell r="E111">
            <v>3</v>
          </cell>
          <cell r="F111" t="str">
            <v>Single</v>
          </cell>
          <cell r="G111" t="str">
            <v>Stage</v>
          </cell>
          <cell r="H111" t="str">
            <v>SENIOR</v>
          </cell>
        </row>
        <row r="112">
          <cell r="C112" t="str">
            <v>SN05</v>
          </cell>
          <cell r="D112" t="str">
            <v>Speech Urdu</v>
          </cell>
          <cell r="E112">
            <v>3</v>
          </cell>
          <cell r="F112" t="str">
            <v>Single</v>
          </cell>
          <cell r="G112" t="str">
            <v>Non-Stg</v>
          </cell>
          <cell r="H112" t="str">
            <v>SENIOR</v>
          </cell>
        </row>
        <row r="113">
          <cell r="C113" t="str">
            <v>SN06</v>
          </cell>
          <cell r="D113" t="str">
            <v>Speech English</v>
          </cell>
          <cell r="E113">
            <v>3</v>
          </cell>
          <cell r="F113" t="str">
            <v>Single</v>
          </cell>
          <cell r="G113" t="str">
            <v>Stage</v>
          </cell>
          <cell r="H113" t="str">
            <v>SENIOR</v>
          </cell>
        </row>
        <row r="114">
          <cell r="C114" t="str">
            <v>SN07</v>
          </cell>
          <cell r="D114" t="str">
            <v>Extempore Malayalam</v>
          </cell>
          <cell r="E114">
            <v>3</v>
          </cell>
          <cell r="F114" t="str">
            <v>Single</v>
          </cell>
          <cell r="G114" t="str">
            <v>Non-Stg</v>
          </cell>
          <cell r="H114" t="str">
            <v>SENIOR</v>
          </cell>
        </row>
        <row r="115">
          <cell r="C115" t="str">
            <v>SN08</v>
          </cell>
          <cell r="D115" t="str">
            <v>Qissapaattu</v>
          </cell>
          <cell r="E115">
            <v>3</v>
          </cell>
          <cell r="F115" t="str">
            <v>Single</v>
          </cell>
          <cell r="G115" t="str">
            <v>Stage</v>
          </cell>
          <cell r="H115" t="str">
            <v>SENIOR</v>
          </cell>
        </row>
        <row r="116">
          <cell r="C116" t="str">
            <v>SN09</v>
          </cell>
          <cell r="D116" t="str">
            <v>Song Urdu</v>
          </cell>
          <cell r="E116">
            <v>3</v>
          </cell>
          <cell r="F116" t="str">
            <v>Single</v>
          </cell>
          <cell r="G116" t="str">
            <v>Non-Stg</v>
          </cell>
          <cell r="H116" t="str">
            <v>SENIOR</v>
          </cell>
        </row>
        <row r="117">
          <cell r="C117" t="str">
            <v>SN10</v>
          </cell>
          <cell r="D117" t="str">
            <v>Nasheed Arabic</v>
          </cell>
          <cell r="E117">
            <v>3</v>
          </cell>
          <cell r="F117" t="str">
            <v>Single</v>
          </cell>
          <cell r="G117" t="str">
            <v>Stage</v>
          </cell>
          <cell r="H117" t="str">
            <v>SENIOR</v>
          </cell>
        </row>
        <row r="118">
          <cell r="C118" t="str">
            <v>SN11</v>
          </cell>
          <cell r="D118" t="str">
            <v>Song English</v>
          </cell>
          <cell r="E118">
            <v>3</v>
          </cell>
          <cell r="F118" t="str">
            <v>Single</v>
          </cell>
          <cell r="G118" t="str">
            <v>Non-Stg</v>
          </cell>
          <cell r="H118" t="str">
            <v>SENIOR</v>
          </cell>
        </row>
        <row r="119">
          <cell r="C119" t="str">
            <v>SN12</v>
          </cell>
          <cell r="D119" t="str">
            <v>Math Talent</v>
          </cell>
          <cell r="E119">
            <v>3</v>
          </cell>
          <cell r="F119" t="str">
            <v>Single</v>
          </cell>
          <cell r="G119" t="str">
            <v>Stage</v>
          </cell>
          <cell r="H119" t="str">
            <v>SENIOR</v>
          </cell>
        </row>
        <row r="120">
          <cell r="C120" t="str">
            <v>SN13</v>
          </cell>
          <cell r="D120" t="str">
            <v>GK Talent</v>
          </cell>
          <cell r="E120">
            <v>3</v>
          </cell>
          <cell r="F120" t="str">
            <v>Single</v>
          </cell>
          <cell r="G120" t="str">
            <v>Non-Stg</v>
          </cell>
          <cell r="H120" t="str">
            <v>SENIOR</v>
          </cell>
        </row>
        <row r="121">
          <cell r="C121" t="str">
            <v>SN14</v>
          </cell>
          <cell r="D121" t="str">
            <v>Song Composing &amp; Recitation</v>
          </cell>
          <cell r="E121">
            <v>3</v>
          </cell>
          <cell r="F121" t="str">
            <v>Single</v>
          </cell>
          <cell r="G121" t="str">
            <v>Stage</v>
          </cell>
          <cell r="H121" t="str">
            <v>SENIOR</v>
          </cell>
        </row>
        <row r="122">
          <cell r="C122" t="str">
            <v>SN15</v>
          </cell>
          <cell r="D122" t="str">
            <v>Science master</v>
          </cell>
          <cell r="E122">
            <v>3</v>
          </cell>
          <cell r="F122" t="str">
            <v>Single</v>
          </cell>
          <cell r="G122" t="str">
            <v>Non-Stg</v>
          </cell>
          <cell r="H122" t="str">
            <v>SENIOR</v>
          </cell>
        </row>
        <row r="123">
          <cell r="C123" t="str">
            <v>SN16</v>
          </cell>
          <cell r="D123" t="str">
            <v>Face to Face English</v>
          </cell>
          <cell r="E123">
            <v>3</v>
          </cell>
          <cell r="F123" t="str">
            <v>Group</v>
          </cell>
          <cell r="G123" t="str">
            <v>Stage</v>
          </cell>
          <cell r="H123" t="str">
            <v>SENIOR</v>
          </cell>
        </row>
        <row r="124">
          <cell r="C124" t="str">
            <v>SN17</v>
          </cell>
          <cell r="D124" t="str">
            <v>GD ARB</v>
          </cell>
          <cell r="E124">
            <v>3</v>
          </cell>
          <cell r="F124" t="str">
            <v>Single</v>
          </cell>
          <cell r="G124" t="str">
            <v>Non-Stg</v>
          </cell>
          <cell r="H124" t="str">
            <v>SENIOR</v>
          </cell>
        </row>
        <row r="125">
          <cell r="C125" t="str">
            <v>SN18</v>
          </cell>
          <cell r="D125" t="str">
            <v>Hija'unnahla</v>
          </cell>
          <cell r="E125">
            <v>3</v>
          </cell>
          <cell r="F125" t="str">
            <v>Single</v>
          </cell>
          <cell r="G125" t="str">
            <v>Stage</v>
          </cell>
          <cell r="H125" t="str">
            <v>SENIOR</v>
          </cell>
        </row>
        <row r="126">
          <cell r="C126" t="str">
            <v>SN19</v>
          </cell>
          <cell r="D126" t="str">
            <v>Padhakshari</v>
          </cell>
          <cell r="E126">
            <v>3</v>
          </cell>
          <cell r="F126" t="str">
            <v>Single</v>
          </cell>
          <cell r="G126" t="str">
            <v>Non-Stg</v>
          </cell>
          <cell r="H126" t="str">
            <v>SENIOR</v>
          </cell>
        </row>
        <row r="127">
          <cell r="C127" t="str">
            <v>SN20</v>
          </cell>
          <cell r="D127" t="str">
            <v>Geo giant</v>
          </cell>
          <cell r="E127">
            <v>3</v>
          </cell>
          <cell r="F127" t="str">
            <v>Single</v>
          </cell>
          <cell r="G127" t="str">
            <v>Stage</v>
          </cell>
          <cell r="H127" t="str">
            <v>SENIOR</v>
          </cell>
        </row>
        <row r="128">
          <cell r="C128" t="str">
            <v>SN21</v>
          </cell>
          <cell r="D128" t="str">
            <v>Grammar Talent</v>
          </cell>
          <cell r="E128">
            <v>3</v>
          </cell>
          <cell r="F128" t="str">
            <v>Single</v>
          </cell>
          <cell r="G128" t="str">
            <v>Non-Stg</v>
          </cell>
          <cell r="H128" t="str">
            <v>SENIOR</v>
          </cell>
        </row>
        <row r="129">
          <cell r="C129" t="str">
            <v>SN22</v>
          </cell>
          <cell r="D129" t="str">
            <v>Ashwamedham</v>
          </cell>
          <cell r="E129">
            <v>3</v>
          </cell>
          <cell r="F129" t="str">
            <v>Single</v>
          </cell>
          <cell r="G129" t="str">
            <v>Stage</v>
          </cell>
          <cell r="H129" t="str">
            <v>SENIOR</v>
          </cell>
        </row>
        <row r="130">
          <cell r="C130" t="str">
            <v>SN23</v>
          </cell>
          <cell r="D130" t="str">
            <v>Thahleel al Ibara</v>
          </cell>
          <cell r="E130">
            <v>3</v>
          </cell>
          <cell r="F130" t="str">
            <v>Single</v>
          </cell>
          <cell r="G130" t="str">
            <v>Non-Stg</v>
          </cell>
          <cell r="H130" t="str">
            <v>SENIOR</v>
          </cell>
        </row>
        <row r="131">
          <cell r="C131" t="str">
            <v>SN24</v>
          </cell>
          <cell r="D131" t="str">
            <v>Teaching</v>
          </cell>
          <cell r="E131">
            <v>3</v>
          </cell>
          <cell r="F131" t="str">
            <v>Single</v>
          </cell>
          <cell r="G131" t="str">
            <v>Stage</v>
          </cell>
          <cell r="H131" t="str">
            <v>SENIOR</v>
          </cell>
        </row>
        <row r="132">
          <cell r="C132" t="str">
            <v>SN25</v>
          </cell>
          <cell r="D132" t="str">
            <v>Speech and Song malayalam</v>
          </cell>
          <cell r="E132">
            <v>3</v>
          </cell>
          <cell r="F132" t="str">
            <v>Group</v>
          </cell>
          <cell r="G132" t="str">
            <v>Non-Stg</v>
          </cell>
          <cell r="H132" t="str">
            <v>SENIOR</v>
          </cell>
        </row>
        <row r="133">
          <cell r="C133" t="str">
            <v>SN26</v>
          </cell>
          <cell r="D133" t="str">
            <v>Mashup</v>
          </cell>
          <cell r="E133">
            <v>3</v>
          </cell>
          <cell r="F133" t="str">
            <v>Group</v>
          </cell>
          <cell r="G133" t="str">
            <v>Stage</v>
          </cell>
          <cell r="H133" t="str">
            <v>SENIOR</v>
          </cell>
        </row>
        <row r="134">
          <cell r="C134" t="str">
            <v>SN27</v>
          </cell>
          <cell r="D134" t="str">
            <v>TV News Reading ENG</v>
          </cell>
          <cell r="E134">
            <v>3</v>
          </cell>
          <cell r="F134" t="str">
            <v>Group</v>
          </cell>
          <cell r="G134" t="str">
            <v>Non-Stg</v>
          </cell>
          <cell r="H134" t="str">
            <v>SENIOR</v>
          </cell>
        </row>
        <row r="135">
          <cell r="C135" t="str">
            <v>SN28</v>
          </cell>
          <cell r="D135" t="str">
            <v>Essay Writing Arabic</v>
          </cell>
          <cell r="E135">
            <v>3</v>
          </cell>
          <cell r="F135" t="str">
            <v>Single</v>
          </cell>
          <cell r="G135" t="str">
            <v>Stage</v>
          </cell>
          <cell r="H135" t="str">
            <v>SENIOR</v>
          </cell>
        </row>
        <row r="136">
          <cell r="C136" t="str">
            <v>SN29</v>
          </cell>
          <cell r="D136" t="str">
            <v>Essay Writing Urdu</v>
          </cell>
          <cell r="E136">
            <v>3</v>
          </cell>
          <cell r="F136" t="str">
            <v>Single</v>
          </cell>
          <cell r="G136" t="str">
            <v>Non-Stg</v>
          </cell>
          <cell r="H136" t="str">
            <v>SENIOR</v>
          </cell>
        </row>
        <row r="137">
          <cell r="C137" t="str">
            <v>SN30</v>
          </cell>
          <cell r="D137" t="str">
            <v>Essay Writing English</v>
          </cell>
          <cell r="E137">
            <v>3</v>
          </cell>
          <cell r="F137" t="str">
            <v>Single</v>
          </cell>
          <cell r="G137" t="str">
            <v>Stage</v>
          </cell>
          <cell r="H137" t="str">
            <v>SENIOR</v>
          </cell>
        </row>
        <row r="138">
          <cell r="C138" t="str">
            <v>SN31</v>
          </cell>
          <cell r="D138" t="str">
            <v>Essay Writing Malayalam</v>
          </cell>
          <cell r="E138">
            <v>3</v>
          </cell>
          <cell r="F138" t="str">
            <v>Single</v>
          </cell>
          <cell r="G138" t="str">
            <v>Non-Stg</v>
          </cell>
          <cell r="H138" t="str">
            <v>SENIOR</v>
          </cell>
        </row>
        <row r="139">
          <cell r="C139" t="str">
            <v>SN32</v>
          </cell>
          <cell r="D139" t="str">
            <v>Short Story Writing Arabic</v>
          </cell>
          <cell r="E139">
            <v>3</v>
          </cell>
          <cell r="F139" t="str">
            <v>Single</v>
          </cell>
          <cell r="G139" t="str">
            <v>Stage</v>
          </cell>
          <cell r="H139" t="str">
            <v>SENIOR</v>
          </cell>
        </row>
        <row r="140">
          <cell r="C140" t="str">
            <v>SN33</v>
          </cell>
          <cell r="D140" t="str">
            <v>Short Story Writing Urdu</v>
          </cell>
          <cell r="E140">
            <v>3</v>
          </cell>
          <cell r="F140" t="str">
            <v>Single</v>
          </cell>
          <cell r="G140" t="str">
            <v>Non-Stg</v>
          </cell>
          <cell r="H140" t="str">
            <v>SENIOR</v>
          </cell>
        </row>
        <row r="141">
          <cell r="C141" t="str">
            <v>SN34</v>
          </cell>
          <cell r="D141" t="str">
            <v>Short story Writing Malayalam</v>
          </cell>
          <cell r="E141">
            <v>3</v>
          </cell>
          <cell r="F141" t="str">
            <v>Single</v>
          </cell>
          <cell r="G141" t="str">
            <v>Stage</v>
          </cell>
          <cell r="H141" t="str">
            <v>SENIOR</v>
          </cell>
        </row>
        <row r="142">
          <cell r="C142" t="str">
            <v>SN35</v>
          </cell>
          <cell r="D142" t="str">
            <v>Short Story Writing English</v>
          </cell>
          <cell r="E142">
            <v>3</v>
          </cell>
          <cell r="F142" t="str">
            <v>Single</v>
          </cell>
          <cell r="G142" t="str">
            <v>Non-Stg</v>
          </cell>
          <cell r="H142" t="str">
            <v>SENIOR</v>
          </cell>
        </row>
        <row r="143">
          <cell r="C143" t="str">
            <v>SN36</v>
          </cell>
          <cell r="D143" t="str">
            <v>Poem Writing Arabic</v>
          </cell>
          <cell r="E143">
            <v>3</v>
          </cell>
          <cell r="F143" t="str">
            <v>Single</v>
          </cell>
          <cell r="G143" t="str">
            <v>Stage</v>
          </cell>
          <cell r="H143" t="str">
            <v>SENIOR</v>
          </cell>
        </row>
        <row r="144">
          <cell r="C144" t="str">
            <v>SN37</v>
          </cell>
          <cell r="D144" t="str">
            <v>Poem writing Urdu</v>
          </cell>
          <cell r="E144">
            <v>3</v>
          </cell>
          <cell r="F144" t="str">
            <v>Single</v>
          </cell>
          <cell r="G144" t="str">
            <v>Non-Stg</v>
          </cell>
          <cell r="H144" t="str">
            <v>SENIOR</v>
          </cell>
        </row>
        <row r="145">
          <cell r="C145" t="str">
            <v>SN38</v>
          </cell>
          <cell r="D145" t="str">
            <v>Poem Writing English</v>
          </cell>
          <cell r="E145">
            <v>3</v>
          </cell>
          <cell r="F145" t="str">
            <v>Single</v>
          </cell>
          <cell r="G145" t="str">
            <v>Stage</v>
          </cell>
          <cell r="H145" t="str">
            <v>SENIOR</v>
          </cell>
        </row>
        <row r="146">
          <cell r="C146" t="str">
            <v>SN39</v>
          </cell>
          <cell r="D146" t="str">
            <v>Poem Writing Malayalam</v>
          </cell>
          <cell r="E146">
            <v>3</v>
          </cell>
          <cell r="F146" t="str">
            <v>Single</v>
          </cell>
          <cell r="G146" t="str">
            <v>Non-Stg</v>
          </cell>
          <cell r="H146" t="str">
            <v>SENIOR</v>
          </cell>
        </row>
        <row r="147">
          <cell r="C147" t="str">
            <v>SN40</v>
          </cell>
          <cell r="D147" t="str">
            <v>Vocabulary</v>
          </cell>
          <cell r="E147">
            <v>3</v>
          </cell>
          <cell r="F147" t="str">
            <v>Single</v>
          </cell>
          <cell r="G147" t="str">
            <v>Stage</v>
          </cell>
          <cell r="H147" t="str">
            <v>SENIOR</v>
          </cell>
        </row>
        <row r="148">
          <cell r="C148" t="str">
            <v>SN41</v>
          </cell>
          <cell r="D148" t="str">
            <v>Poster Designing Digital</v>
          </cell>
          <cell r="E148">
            <v>3</v>
          </cell>
          <cell r="F148" t="str">
            <v>Single</v>
          </cell>
          <cell r="G148" t="str">
            <v>Non-Stg</v>
          </cell>
          <cell r="H148" t="str">
            <v>SENIOR</v>
          </cell>
        </row>
        <row r="149">
          <cell r="C149" t="str">
            <v>SN42</v>
          </cell>
          <cell r="D149" t="str">
            <v>Poster Designing</v>
          </cell>
          <cell r="E149">
            <v>3</v>
          </cell>
          <cell r="F149" t="str">
            <v>Single</v>
          </cell>
          <cell r="G149" t="str">
            <v>Stage</v>
          </cell>
          <cell r="H149" t="str">
            <v>SENIOR</v>
          </cell>
        </row>
        <row r="150">
          <cell r="C150" t="str">
            <v>SN43</v>
          </cell>
          <cell r="D150" t="str">
            <v>Dictionary Making Arabic</v>
          </cell>
          <cell r="E150">
            <v>3</v>
          </cell>
          <cell r="F150" t="str">
            <v>Single</v>
          </cell>
          <cell r="G150" t="str">
            <v>Non-Stg</v>
          </cell>
          <cell r="H150" t="str">
            <v>SENIOR</v>
          </cell>
        </row>
        <row r="151">
          <cell r="C151" t="str">
            <v>SN44</v>
          </cell>
          <cell r="D151" t="str">
            <v>Pencil Drawing</v>
          </cell>
          <cell r="E151">
            <v>3</v>
          </cell>
          <cell r="F151" t="str">
            <v>Single</v>
          </cell>
          <cell r="G151" t="str">
            <v>Stage</v>
          </cell>
          <cell r="H151" t="str">
            <v>SENIOR</v>
          </cell>
        </row>
        <row r="152">
          <cell r="C152" t="str">
            <v>SN45</v>
          </cell>
          <cell r="D152" t="str">
            <v>Water Painting</v>
          </cell>
          <cell r="E152">
            <v>3</v>
          </cell>
          <cell r="F152" t="str">
            <v>Single</v>
          </cell>
          <cell r="G152" t="str">
            <v>Non-Stg</v>
          </cell>
          <cell r="H152" t="str">
            <v>SENIOR</v>
          </cell>
        </row>
        <row r="153">
          <cell r="C153" t="str">
            <v>SN46</v>
          </cell>
          <cell r="D153" t="str">
            <v>Translation ( Tri-Lingual )</v>
          </cell>
          <cell r="E153">
            <v>3</v>
          </cell>
          <cell r="F153" t="str">
            <v>Single</v>
          </cell>
          <cell r="G153" t="str">
            <v>Stage</v>
          </cell>
          <cell r="H153" t="str">
            <v>SENIOR</v>
          </cell>
        </row>
        <row r="154">
          <cell r="C154" t="str">
            <v>SN47</v>
          </cell>
          <cell r="D154" t="str">
            <v>Su Do Ku</v>
          </cell>
          <cell r="E154">
            <v>3</v>
          </cell>
          <cell r="F154" t="str">
            <v>Single</v>
          </cell>
          <cell r="G154" t="str">
            <v>Non-Stg</v>
          </cell>
          <cell r="H154" t="str">
            <v>SENIOR</v>
          </cell>
        </row>
        <row r="155">
          <cell r="C155" t="str">
            <v>SN48</v>
          </cell>
          <cell r="D155" t="str">
            <v>Typing ( Tri-Lingual )</v>
          </cell>
          <cell r="E155">
            <v>3</v>
          </cell>
          <cell r="F155" t="str">
            <v>Single</v>
          </cell>
          <cell r="G155" t="str">
            <v>Stage</v>
          </cell>
          <cell r="H155" t="str">
            <v>SENIOR</v>
          </cell>
        </row>
        <row r="156">
          <cell r="C156" t="str">
            <v>SN49</v>
          </cell>
          <cell r="D156" t="str">
            <v>Video Making</v>
          </cell>
          <cell r="E156">
            <v>3</v>
          </cell>
          <cell r="F156" t="str">
            <v>Single</v>
          </cell>
          <cell r="G156" t="str">
            <v>Non-Stg</v>
          </cell>
          <cell r="H156" t="str">
            <v>SENIOR</v>
          </cell>
        </row>
        <row r="157">
          <cell r="C157" t="str">
            <v>SN50</v>
          </cell>
          <cell r="D157" t="str">
            <v>Cartoon</v>
          </cell>
          <cell r="E157">
            <v>3</v>
          </cell>
          <cell r="F157" t="str">
            <v>Single</v>
          </cell>
          <cell r="G157" t="str">
            <v>Stage</v>
          </cell>
          <cell r="H157" t="str">
            <v>SENIOR</v>
          </cell>
        </row>
        <row r="158">
          <cell r="C158" t="str">
            <v>SN51</v>
          </cell>
          <cell r="D158" t="str">
            <v>News Writing ARB</v>
          </cell>
          <cell r="E158">
            <v>3</v>
          </cell>
          <cell r="F158" t="str">
            <v>Single</v>
          </cell>
          <cell r="G158" t="str">
            <v>Non-Stg</v>
          </cell>
          <cell r="H158" t="str">
            <v>SENIOR</v>
          </cell>
        </row>
        <row r="159">
          <cell r="C159" t="str">
            <v>SN52</v>
          </cell>
          <cell r="D159" t="str">
            <v>News Writing ENG</v>
          </cell>
          <cell r="E159">
            <v>3</v>
          </cell>
          <cell r="F159" t="str">
            <v>Single</v>
          </cell>
          <cell r="G159" t="str">
            <v>Stage</v>
          </cell>
          <cell r="H159" t="str">
            <v>SENIOR</v>
          </cell>
        </row>
        <row r="160">
          <cell r="C160" t="str">
            <v>SN53</v>
          </cell>
          <cell r="D160" t="str">
            <v>Photography</v>
          </cell>
          <cell r="E160">
            <v>3</v>
          </cell>
          <cell r="F160" t="str">
            <v>Single</v>
          </cell>
          <cell r="G160" t="str">
            <v>Non-Stg</v>
          </cell>
          <cell r="H160" t="str">
            <v>SENIOR</v>
          </cell>
        </row>
        <row r="161">
          <cell r="C161" t="str">
            <v>SN54</v>
          </cell>
          <cell r="D161" t="str">
            <v>Calligraphy</v>
          </cell>
          <cell r="E161">
            <v>3</v>
          </cell>
          <cell r="F161" t="str">
            <v>Single</v>
          </cell>
          <cell r="G161" t="str">
            <v>Stage</v>
          </cell>
          <cell r="H161" t="str">
            <v>SENIOR</v>
          </cell>
        </row>
        <row r="162">
          <cell r="C162" t="str">
            <v>SN55</v>
          </cell>
          <cell r="D162" t="str">
            <v>Proof Reading ENG</v>
          </cell>
          <cell r="E162">
            <v>3</v>
          </cell>
          <cell r="F162" t="str">
            <v>Single</v>
          </cell>
          <cell r="G162" t="str">
            <v>Non-Stg</v>
          </cell>
          <cell r="H162" t="str">
            <v>SENIOR</v>
          </cell>
        </row>
        <row r="163">
          <cell r="C163" t="str">
            <v>SN56</v>
          </cell>
          <cell r="D163" t="str">
            <v>Proof Reading MLM</v>
          </cell>
          <cell r="E163">
            <v>3</v>
          </cell>
          <cell r="F163" t="str">
            <v>Single</v>
          </cell>
          <cell r="G163" t="str">
            <v>Stage</v>
          </cell>
          <cell r="H163" t="str">
            <v>SENIOR</v>
          </cell>
        </row>
        <row r="164">
          <cell r="C164" t="str">
            <v>SN57</v>
          </cell>
          <cell r="D164" t="str">
            <v>Thashkeel</v>
          </cell>
          <cell r="E164">
            <v>3</v>
          </cell>
          <cell r="F164" t="str">
            <v>Single</v>
          </cell>
          <cell r="G164" t="str">
            <v>Non-Stg</v>
          </cell>
          <cell r="H164" t="str">
            <v>SENIOR</v>
          </cell>
        </row>
        <row r="165">
          <cell r="C165" t="str">
            <v>SN58</v>
          </cell>
          <cell r="D165" t="str">
            <v>Slogan Making</v>
          </cell>
          <cell r="E165">
            <v>3</v>
          </cell>
          <cell r="F165" t="str">
            <v>Single</v>
          </cell>
          <cell r="G165" t="str">
            <v>Stage</v>
          </cell>
          <cell r="H165" t="str">
            <v>SENIOR</v>
          </cell>
        </row>
        <row r="166">
          <cell r="C166" t="str">
            <v>SN59</v>
          </cell>
          <cell r="D166" t="str">
            <v>Instant Magazine (ENG )</v>
          </cell>
          <cell r="E166">
            <v>3</v>
          </cell>
          <cell r="F166" t="str">
            <v>Group</v>
          </cell>
          <cell r="G166" t="str">
            <v>Non-Stg</v>
          </cell>
          <cell r="H166" t="str">
            <v>SENIOR</v>
          </cell>
        </row>
        <row r="167">
          <cell r="C167" t="str">
            <v>SN60</v>
          </cell>
          <cell r="D167" t="str">
            <v>Instant Newspaper  MLM</v>
          </cell>
          <cell r="E167">
            <v>3</v>
          </cell>
          <cell r="F167" t="str">
            <v>Group</v>
          </cell>
          <cell r="G167" t="str">
            <v>Stage</v>
          </cell>
          <cell r="H167" t="str">
            <v>SENIOR</v>
          </cell>
        </row>
        <row r="168">
          <cell r="C168" t="str">
            <v>SP01</v>
          </cell>
          <cell r="D168" t="str">
            <v>Quira'ath with Thajveed</v>
          </cell>
          <cell r="E168">
            <v>3</v>
          </cell>
          <cell r="F168" t="str">
            <v>Single</v>
          </cell>
          <cell r="G168" t="str">
            <v>Non-Stg</v>
          </cell>
          <cell r="H168" t="str">
            <v>SUPER SENIOR</v>
          </cell>
        </row>
        <row r="169">
          <cell r="C169" t="str">
            <v>SP02</v>
          </cell>
          <cell r="D169" t="str">
            <v>Hifz</v>
          </cell>
          <cell r="E169">
            <v>3</v>
          </cell>
          <cell r="F169" t="str">
            <v>Single</v>
          </cell>
          <cell r="G169" t="str">
            <v>Stage</v>
          </cell>
          <cell r="H169" t="str">
            <v>SUPER SENIOR</v>
          </cell>
        </row>
        <row r="170">
          <cell r="C170" t="str">
            <v>SP03</v>
          </cell>
          <cell r="D170" t="str">
            <v>Va'az</v>
          </cell>
          <cell r="E170">
            <v>3</v>
          </cell>
          <cell r="F170" t="str">
            <v>Single</v>
          </cell>
          <cell r="G170" t="str">
            <v>Non-Stg</v>
          </cell>
          <cell r="H170" t="str">
            <v>SUPER SENIOR</v>
          </cell>
        </row>
        <row r="171">
          <cell r="C171" t="str">
            <v>SP04</v>
          </cell>
          <cell r="D171" t="str">
            <v>Thadrees</v>
          </cell>
          <cell r="E171">
            <v>3</v>
          </cell>
          <cell r="F171" t="str">
            <v>Single</v>
          </cell>
          <cell r="G171" t="str">
            <v>Stage</v>
          </cell>
          <cell r="H171" t="str">
            <v>SUPER SENIOR</v>
          </cell>
        </row>
        <row r="172">
          <cell r="C172" t="str">
            <v>SP05</v>
          </cell>
          <cell r="D172" t="str">
            <v>Kuthuba</v>
          </cell>
          <cell r="E172">
            <v>3</v>
          </cell>
          <cell r="F172" t="str">
            <v>Single</v>
          </cell>
          <cell r="G172" t="str">
            <v>Non-Stg</v>
          </cell>
          <cell r="H172" t="str">
            <v>SUPER SENIOR</v>
          </cell>
        </row>
        <row r="173">
          <cell r="C173" t="str">
            <v>SP06</v>
          </cell>
          <cell r="D173" t="str">
            <v>Ghazal Urdu</v>
          </cell>
          <cell r="E173">
            <v>3</v>
          </cell>
          <cell r="F173" t="str">
            <v>Single</v>
          </cell>
          <cell r="G173" t="str">
            <v>Stage</v>
          </cell>
          <cell r="H173" t="str">
            <v>SUPER SENIOR</v>
          </cell>
        </row>
        <row r="174">
          <cell r="C174" t="str">
            <v>SP07</v>
          </cell>
          <cell r="D174" t="str">
            <v>Kaviyarang</v>
          </cell>
          <cell r="E174">
            <v>3</v>
          </cell>
          <cell r="F174" t="str">
            <v>Single</v>
          </cell>
          <cell r="G174" t="str">
            <v>Non-Stg</v>
          </cell>
          <cell r="H174" t="str">
            <v>SUPER SENIOR</v>
          </cell>
        </row>
        <row r="175">
          <cell r="C175" t="str">
            <v>SP08</v>
          </cell>
          <cell r="D175" t="str">
            <v>Project Presentation ENG</v>
          </cell>
          <cell r="E175">
            <v>3</v>
          </cell>
          <cell r="F175" t="str">
            <v>Single</v>
          </cell>
          <cell r="G175" t="str">
            <v>Stage</v>
          </cell>
          <cell r="H175" t="str">
            <v>SUPER SENIOR</v>
          </cell>
        </row>
        <row r="176">
          <cell r="C176" t="str">
            <v>SP09</v>
          </cell>
          <cell r="D176" t="str">
            <v>News Writing &amp; Reading ENG</v>
          </cell>
          <cell r="E176">
            <v>3</v>
          </cell>
          <cell r="F176" t="str">
            <v>Single</v>
          </cell>
          <cell r="G176" t="str">
            <v>Non-Stg</v>
          </cell>
          <cell r="H176" t="str">
            <v>SUPER SENIOR</v>
          </cell>
        </row>
        <row r="177">
          <cell r="C177" t="str">
            <v>SP10</v>
          </cell>
          <cell r="D177" t="str">
            <v>News Writing &amp; Reading ARB</v>
          </cell>
          <cell r="E177">
            <v>3</v>
          </cell>
          <cell r="F177" t="str">
            <v>Single</v>
          </cell>
          <cell r="G177" t="str">
            <v>Stage</v>
          </cell>
          <cell r="H177" t="str">
            <v>SUPER SENIOR</v>
          </cell>
        </row>
        <row r="178">
          <cell r="C178" t="str">
            <v>SP11</v>
          </cell>
          <cell r="D178" t="str">
            <v>Junction Speech</v>
          </cell>
          <cell r="E178">
            <v>3</v>
          </cell>
          <cell r="F178" t="str">
            <v>Single</v>
          </cell>
          <cell r="G178" t="str">
            <v>Non-Stg</v>
          </cell>
          <cell r="H178" t="str">
            <v>SUPER SENIOR</v>
          </cell>
        </row>
        <row r="179">
          <cell r="C179" t="str">
            <v>SP12</v>
          </cell>
          <cell r="D179" t="str">
            <v>Extempore Speech ARB</v>
          </cell>
          <cell r="E179">
            <v>3</v>
          </cell>
          <cell r="F179" t="str">
            <v>Single</v>
          </cell>
          <cell r="G179" t="str">
            <v>Stage</v>
          </cell>
          <cell r="H179" t="str">
            <v>SUPER SENIOR</v>
          </cell>
        </row>
        <row r="180">
          <cell r="C180" t="str">
            <v>SP13</v>
          </cell>
          <cell r="D180" t="str">
            <v>Extempore Speech ENG</v>
          </cell>
          <cell r="E180">
            <v>3</v>
          </cell>
          <cell r="F180" t="str">
            <v>Single</v>
          </cell>
          <cell r="G180" t="str">
            <v>Non-Stg</v>
          </cell>
          <cell r="H180" t="str">
            <v>SUPER SENIOR</v>
          </cell>
        </row>
        <row r="181">
          <cell r="C181" t="str">
            <v>SP14</v>
          </cell>
          <cell r="D181" t="str">
            <v>Extempore Speech URD</v>
          </cell>
          <cell r="E181">
            <v>3</v>
          </cell>
          <cell r="F181" t="str">
            <v>Single</v>
          </cell>
          <cell r="G181" t="str">
            <v>Stage</v>
          </cell>
          <cell r="H181" t="str">
            <v>SUPER SENIOR</v>
          </cell>
        </row>
        <row r="182">
          <cell r="C182" t="str">
            <v>SP15</v>
          </cell>
          <cell r="D182" t="str">
            <v>Ashwamedham</v>
          </cell>
          <cell r="E182">
            <v>3</v>
          </cell>
          <cell r="F182" t="str">
            <v>Single</v>
          </cell>
          <cell r="G182" t="str">
            <v>Non-Stg</v>
          </cell>
          <cell r="H182" t="str">
            <v>SUPER SENIOR</v>
          </cell>
        </row>
        <row r="183">
          <cell r="C183" t="str">
            <v>SP16</v>
          </cell>
          <cell r="D183" t="str">
            <v>Announcement Malayalam</v>
          </cell>
          <cell r="E183">
            <v>3</v>
          </cell>
          <cell r="F183" t="str">
            <v>Single</v>
          </cell>
          <cell r="G183" t="str">
            <v>Stage</v>
          </cell>
          <cell r="H183" t="str">
            <v>SUPER SENIOR</v>
          </cell>
        </row>
        <row r="184">
          <cell r="C184" t="str">
            <v>SP17</v>
          </cell>
          <cell r="D184" t="str">
            <v xml:space="preserve">Padappattu </v>
          </cell>
          <cell r="E184">
            <v>3</v>
          </cell>
          <cell r="F184" t="str">
            <v>Single</v>
          </cell>
          <cell r="G184" t="str">
            <v>Non-Stg</v>
          </cell>
          <cell r="H184" t="str">
            <v>SUPER SENIOR</v>
          </cell>
        </row>
        <row r="185">
          <cell r="C185" t="str">
            <v>SP18</v>
          </cell>
          <cell r="D185" t="str">
            <v>Nasheed Arabic</v>
          </cell>
          <cell r="E185">
            <v>3</v>
          </cell>
          <cell r="F185" t="str">
            <v>Single</v>
          </cell>
          <cell r="G185" t="str">
            <v>Stage</v>
          </cell>
          <cell r="H185" t="str">
            <v>SUPER SENIOR</v>
          </cell>
        </row>
        <row r="186">
          <cell r="C186" t="str">
            <v>SP19</v>
          </cell>
          <cell r="D186" t="str">
            <v>Arabic Commentary</v>
          </cell>
          <cell r="E186">
            <v>3</v>
          </cell>
          <cell r="F186" t="str">
            <v>Single</v>
          </cell>
          <cell r="G186" t="str">
            <v>Non-Stg</v>
          </cell>
          <cell r="H186" t="str">
            <v>SUPER SENIOR</v>
          </cell>
        </row>
        <row r="187">
          <cell r="C187" t="str">
            <v>SP20</v>
          </cell>
          <cell r="D187" t="str">
            <v>Al Faqeeh</v>
          </cell>
          <cell r="E187">
            <v>3</v>
          </cell>
          <cell r="F187" t="str">
            <v>Single</v>
          </cell>
          <cell r="G187" t="str">
            <v>Stage</v>
          </cell>
          <cell r="H187" t="str">
            <v>SUPER SENIOR</v>
          </cell>
        </row>
        <row r="188">
          <cell r="C188" t="str">
            <v>SP21</v>
          </cell>
          <cell r="D188" t="str">
            <v>Hija'unnahla</v>
          </cell>
          <cell r="E188">
            <v>3</v>
          </cell>
          <cell r="F188" t="str">
            <v>Single</v>
          </cell>
          <cell r="G188" t="str">
            <v>Non-Stg</v>
          </cell>
          <cell r="H188" t="str">
            <v>SUPER SENIOR</v>
          </cell>
        </row>
        <row r="189">
          <cell r="C189" t="str">
            <v>SP22</v>
          </cell>
          <cell r="D189" t="str">
            <v>TV News Reading ENG</v>
          </cell>
          <cell r="E189">
            <v>3</v>
          </cell>
          <cell r="F189" t="str">
            <v>Group</v>
          </cell>
          <cell r="G189" t="str">
            <v>Stage</v>
          </cell>
          <cell r="H189" t="str">
            <v>SUPER SENIOR</v>
          </cell>
        </row>
        <row r="190">
          <cell r="C190" t="str">
            <v>SP23</v>
          </cell>
          <cell r="D190" t="str">
            <v>Mashup</v>
          </cell>
          <cell r="E190">
            <v>3</v>
          </cell>
          <cell r="F190" t="str">
            <v>Group</v>
          </cell>
          <cell r="G190" t="str">
            <v>Non-Stg</v>
          </cell>
          <cell r="H190" t="str">
            <v>SUPER SENIOR</v>
          </cell>
        </row>
        <row r="191">
          <cell r="C191" t="str">
            <v>SP24</v>
          </cell>
          <cell r="D191" t="str">
            <v>Poem writing Arabic</v>
          </cell>
          <cell r="E191">
            <v>3</v>
          </cell>
          <cell r="F191" t="str">
            <v>Single</v>
          </cell>
          <cell r="G191" t="str">
            <v>Stage</v>
          </cell>
          <cell r="H191" t="str">
            <v>SUPER SENIOR</v>
          </cell>
        </row>
        <row r="192">
          <cell r="C192" t="str">
            <v>SP25</v>
          </cell>
          <cell r="D192" t="str">
            <v>Poem writing urdu</v>
          </cell>
          <cell r="E192">
            <v>3</v>
          </cell>
          <cell r="F192" t="str">
            <v>Single</v>
          </cell>
          <cell r="G192" t="str">
            <v>Non-Stg</v>
          </cell>
          <cell r="H192" t="str">
            <v>SUPER SENIOR</v>
          </cell>
        </row>
        <row r="193">
          <cell r="C193" t="str">
            <v>SP26</v>
          </cell>
          <cell r="D193" t="str">
            <v>Poem writing English</v>
          </cell>
          <cell r="E193">
            <v>3</v>
          </cell>
          <cell r="F193" t="str">
            <v>Single</v>
          </cell>
          <cell r="G193" t="str">
            <v>Stage</v>
          </cell>
          <cell r="H193" t="str">
            <v>SUPER SENIOR</v>
          </cell>
        </row>
        <row r="194">
          <cell r="C194" t="str">
            <v>SP27</v>
          </cell>
          <cell r="D194" t="str">
            <v>Poem writing Malayalam</v>
          </cell>
          <cell r="E194">
            <v>3</v>
          </cell>
          <cell r="F194" t="str">
            <v>Single</v>
          </cell>
          <cell r="G194" t="str">
            <v>Non-Stg</v>
          </cell>
          <cell r="H194" t="str">
            <v>SUPER SENIOR</v>
          </cell>
        </row>
        <row r="195">
          <cell r="C195" t="str">
            <v>SP28</v>
          </cell>
          <cell r="D195" t="str">
            <v>Essay Composition Arabic</v>
          </cell>
          <cell r="E195">
            <v>3</v>
          </cell>
          <cell r="F195" t="str">
            <v>Single</v>
          </cell>
          <cell r="G195" t="str">
            <v>Stage</v>
          </cell>
          <cell r="H195" t="str">
            <v>SUPER SENIOR</v>
          </cell>
        </row>
        <row r="196">
          <cell r="C196" t="str">
            <v>SP29</v>
          </cell>
          <cell r="D196" t="str">
            <v>Essay Composition Urdu</v>
          </cell>
          <cell r="E196">
            <v>3</v>
          </cell>
          <cell r="F196" t="str">
            <v>Single</v>
          </cell>
          <cell r="G196" t="str">
            <v>Non-Stg</v>
          </cell>
          <cell r="H196" t="str">
            <v>SUPER SENIOR</v>
          </cell>
        </row>
        <row r="197">
          <cell r="C197" t="str">
            <v>SP30</v>
          </cell>
          <cell r="D197" t="str">
            <v>Essay Composition English</v>
          </cell>
          <cell r="E197">
            <v>3</v>
          </cell>
          <cell r="F197" t="str">
            <v>Single</v>
          </cell>
          <cell r="G197" t="str">
            <v>Stage</v>
          </cell>
          <cell r="H197" t="str">
            <v>SUPER SENIOR</v>
          </cell>
        </row>
        <row r="198">
          <cell r="C198" t="str">
            <v>SP31</v>
          </cell>
          <cell r="D198" t="str">
            <v>Essay Composition Malayalam</v>
          </cell>
          <cell r="E198">
            <v>3</v>
          </cell>
          <cell r="F198" t="str">
            <v>Single</v>
          </cell>
          <cell r="G198" t="str">
            <v>Non-Stg</v>
          </cell>
          <cell r="H198" t="str">
            <v>SUPER SENIOR</v>
          </cell>
        </row>
        <row r="199">
          <cell r="C199" t="str">
            <v>SP32</v>
          </cell>
          <cell r="D199" t="str">
            <v>Short story Writing Arabic</v>
          </cell>
          <cell r="E199">
            <v>3</v>
          </cell>
          <cell r="F199" t="str">
            <v>Single</v>
          </cell>
          <cell r="G199" t="str">
            <v>Stage</v>
          </cell>
          <cell r="H199" t="str">
            <v>SUPER SENIOR</v>
          </cell>
        </row>
        <row r="200">
          <cell r="C200" t="str">
            <v>SP33</v>
          </cell>
          <cell r="D200" t="str">
            <v>Short story Writing Urdu</v>
          </cell>
          <cell r="E200">
            <v>3</v>
          </cell>
          <cell r="F200" t="str">
            <v>Single</v>
          </cell>
          <cell r="G200" t="str">
            <v>Non-Stg</v>
          </cell>
          <cell r="H200" t="str">
            <v>SUPER SENIOR</v>
          </cell>
        </row>
        <row r="201">
          <cell r="C201" t="str">
            <v>SP34</v>
          </cell>
          <cell r="D201" t="str">
            <v>Short story Writing English</v>
          </cell>
          <cell r="E201">
            <v>3</v>
          </cell>
          <cell r="F201" t="str">
            <v>Single</v>
          </cell>
          <cell r="G201" t="str">
            <v>Stage</v>
          </cell>
          <cell r="H201" t="str">
            <v>SUPER SENIOR</v>
          </cell>
        </row>
        <row r="202">
          <cell r="C202" t="str">
            <v>SP35</v>
          </cell>
          <cell r="D202" t="str">
            <v>Short story Writing Malayalam</v>
          </cell>
          <cell r="E202">
            <v>3</v>
          </cell>
          <cell r="F202" t="str">
            <v>Single</v>
          </cell>
          <cell r="G202" t="str">
            <v>Non-Stg</v>
          </cell>
          <cell r="H202" t="str">
            <v>SUPER SENIOR</v>
          </cell>
        </row>
        <row r="203">
          <cell r="C203" t="str">
            <v>SP36</v>
          </cell>
          <cell r="D203" t="str">
            <v>Proof Reading URD</v>
          </cell>
          <cell r="E203">
            <v>3</v>
          </cell>
          <cell r="F203" t="str">
            <v>Single</v>
          </cell>
          <cell r="G203" t="str">
            <v>Stage</v>
          </cell>
          <cell r="H203" t="str">
            <v>SUPER SENIOR</v>
          </cell>
        </row>
        <row r="204">
          <cell r="C204" t="str">
            <v>SP37</v>
          </cell>
          <cell r="D204" t="str">
            <v>Proof Reading ENG</v>
          </cell>
          <cell r="E204">
            <v>3</v>
          </cell>
          <cell r="F204" t="str">
            <v>Single</v>
          </cell>
          <cell r="G204" t="str">
            <v>Non-Stg</v>
          </cell>
          <cell r="H204" t="str">
            <v>SUPER SENIOR</v>
          </cell>
        </row>
        <row r="205">
          <cell r="C205" t="str">
            <v>SP38</v>
          </cell>
          <cell r="D205" t="str">
            <v>Proof Reading ARB</v>
          </cell>
          <cell r="E205">
            <v>3</v>
          </cell>
          <cell r="F205" t="str">
            <v>Single</v>
          </cell>
          <cell r="G205" t="str">
            <v>Stage</v>
          </cell>
          <cell r="H205" t="str">
            <v>SUPER SENIOR</v>
          </cell>
        </row>
        <row r="206">
          <cell r="C206" t="str">
            <v>SP39</v>
          </cell>
          <cell r="D206" t="str">
            <v>Proof Reading MLM</v>
          </cell>
          <cell r="E206">
            <v>3</v>
          </cell>
          <cell r="F206" t="str">
            <v>Single</v>
          </cell>
          <cell r="G206" t="str">
            <v>Non-Stg</v>
          </cell>
          <cell r="H206" t="str">
            <v>SUPER SENIOR</v>
          </cell>
        </row>
        <row r="207">
          <cell r="C207" t="str">
            <v>SP40</v>
          </cell>
          <cell r="D207" t="str">
            <v>Photography</v>
          </cell>
          <cell r="E207">
            <v>3</v>
          </cell>
          <cell r="F207" t="str">
            <v>Single</v>
          </cell>
          <cell r="G207" t="str">
            <v>Stage</v>
          </cell>
          <cell r="H207" t="str">
            <v>SUPER SENIOR</v>
          </cell>
        </row>
        <row r="208">
          <cell r="C208" t="str">
            <v>SP41</v>
          </cell>
          <cell r="D208" t="str">
            <v>Translation ( Tri-Lingual )</v>
          </cell>
          <cell r="E208">
            <v>3</v>
          </cell>
          <cell r="F208" t="str">
            <v>Single</v>
          </cell>
          <cell r="G208" t="str">
            <v>Non-Stg</v>
          </cell>
          <cell r="H208" t="str">
            <v>SUPER SENIOR</v>
          </cell>
        </row>
        <row r="209">
          <cell r="C209" t="str">
            <v>SP42</v>
          </cell>
          <cell r="D209" t="str">
            <v>Cover Designing ENG</v>
          </cell>
          <cell r="E209">
            <v>3</v>
          </cell>
          <cell r="F209" t="str">
            <v>Single</v>
          </cell>
          <cell r="G209" t="str">
            <v>Stage</v>
          </cell>
          <cell r="H209" t="str">
            <v>SUPER SENIOR</v>
          </cell>
        </row>
        <row r="210">
          <cell r="C210" t="str">
            <v>SP43</v>
          </cell>
          <cell r="D210" t="str">
            <v>Digital Troll Making</v>
          </cell>
          <cell r="E210">
            <v>3</v>
          </cell>
          <cell r="F210" t="str">
            <v>Single</v>
          </cell>
          <cell r="G210" t="str">
            <v>Non-Stg</v>
          </cell>
          <cell r="H210" t="str">
            <v>SUPER SENIOR</v>
          </cell>
        </row>
        <row r="211">
          <cell r="C211" t="str">
            <v>SP44</v>
          </cell>
          <cell r="D211" t="str">
            <v>Thahleel al Ibara</v>
          </cell>
          <cell r="E211">
            <v>3</v>
          </cell>
          <cell r="F211" t="str">
            <v>Single</v>
          </cell>
          <cell r="G211" t="str">
            <v>Stage</v>
          </cell>
          <cell r="H211" t="str">
            <v>SUPER SENIOR</v>
          </cell>
        </row>
        <row r="212">
          <cell r="C212" t="str">
            <v>SP45</v>
          </cell>
          <cell r="D212" t="str">
            <v>Video Making</v>
          </cell>
          <cell r="E212">
            <v>3</v>
          </cell>
          <cell r="F212" t="str">
            <v>Single</v>
          </cell>
          <cell r="G212" t="str">
            <v>Non-Stg</v>
          </cell>
          <cell r="H212" t="str">
            <v>SUPER SENIOR</v>
          </cell>
        </row>
        <row r="213">
          <cell r="C213" t="str">
            <v>SP46</v>
          </cell>
          <cell r="D213" t="str">
            <v>Logo Designing</v>
          </cell>
          <cell r="E213">
            <v>3</v>
          </cell>
          <cell r="F213" t="str">
            <v>Single</v>
          </cell>
          <cell r="G213" t="str">
            <v>Stage</v>
          </cell>
          <cell r="H213" t="str">
            <v>SUPER SENIOR</v>
          </cell>
        </row>
        <row r="214">
          <cell r="C214" t="str">
            <v>SP47</v>
          </cell>
          <cell r="D214" t="str">
            <v>Social Media Updates ENG</v>
          </cell>
          <cell r="E214">
            <v>3</v>
          </cell>
          <cell r="F214" t="str">
            <v>Single</v>
          </cell>
          <cell r="G214" t="str">
            <v>Non-Stg</v>
          </cell>
          <cell r="H214" t="str">
            <v>SUPER SENIOR</v>
          </cell>
        </row>
        <row r="215">
          <cell r="C215" t="str">
            <v>SP48</v>
          </cell>
          <cell r="D215" t="str">
            <v>Digital Tabloid ENG</v>
          </cell>
          <cell r="E215">
            <v>3</v>
          </cell>
          <cell r="F215" t="str">
            <v>Group</v>
          </cell>
          <cell r="G215" t="str">
            <v>Stage</v>
          </cell>
          <cell r="H215" t="str">
            <v>SUPER SENIOR</v>
          </cell>
        </row>
        <row r="216">
          <cell r="C216" t="str">
            <v>GN01</v>
          </cell>
          <cell r="D216" t="str">
            <v>Munazara Arabic</v>
          </cell>
          <cell r="E216">
            <v>3</v>
          </cell>
          <cell r="F216">
            <v>0</v>
          </cell>
          <cell r="G216" t="str">
            <v>Non-Stg</v>
          </cell>
          <cell r="H216" t="str">
            <v>GENERAL</v>
          </cell>
        </row>
        <row r="217">
          <cell r="C217" t="str">
            <v>GN02</v>
          </cell>
          <cell r="D217" t="str">
            <v>Debate English</v>
          </cell>
          <cell r="E217">
            <v>3</v>
          </cell>
          <cell r="F217">
            <v>0</v>
          </cell>
          <cell r="G217" t="str">
            <v>Stage</v>
          </cell>
          <cell r="H217" t="str">
            <v>GENERAL</v>
          </cell>
        </row>
        <row r="218">
          <cell r="C218" t="str">
            <v>GN03</v>
          </cell>
          <cell r="D218" t="str">
            <v>Practical Demo</v>
          </cell>
          <cell r="E218">
            <v>3</v>
          </cell>
          <cell r="F218">
            <v>0</v>
          </cell>
          <cell r="G218" t="str">
            <v>Non-Stg</v>
          </cell>
          <cell r="H218" t="str">
            <v>GENERAL</v>
          </cell>
        </row>
        <row r="219">
          <cell r="C219" t="str">
            <v>GN04</v>
          </cell>
          <cell r="D219" t="str">
            <v>Qawali Urdu</v>
          </cell>
          <cell r="E219">
            <v>3</v>
          </cell>
          <cell r="F219">
            <v>0</v>
          </cell>
          <cell r="G219" t="str">
            <v>Stage</v>
          </cell>
          <cell r="H219" t="str">
            <v>GENERAL</v>
          </cell>
        </row>
        <row r="220">
          <cell r="C220" t="str">
            <v>GN05</v>
          </cell>
          <cell r="D220" t="str">
            <v>Campus Talent</v>
          </cell>
          <cell r="E220">
            <v>3</v>
          </cell>
          <cell r="F220">
            <v>0</v>
          </cell>
          <cell r="G220" t="str">
            <v>Non-Stg</v>
          </cell>
          <cell r="H220" t="str">
            <v>GENERAL</v>
          </cell>
        </row>
        <row r="221">
          <cell r="C221" t="str">
            <v>GN06</v>
          </cell>
          <cell r="D221" t="str">
            <v>Fatwa Council</v>
          </cell>
          <cell r="E221">
            <v>3</v>
          </cell>
          <cell r="F221">
            <v>0</v>
          </cell>
          <cell r="G221" t="str">
            <v>Stage</v>
          </cell>
          <cell r="H221" t="str">
            <v>GENERAL</v>
          </cell>
        </row>
        <row r="222">
          <cell r="C222" t="str">
            <v>GN07</v>
          </cell>
          <cell r="D222" t="str">
            <v>Solo Concert</v>
          </cell>
          <cell r="E222">
            <v>3</v>
          </cell>
          <cell r="F222">
            <v>0</v>
          </cell>
          <cell r="G222" t="str">
            <v>Non-Stg</v>
          </cell>
          <cell r="H222" t="str">
            <v>GENERAL</v>
          </cell>
        </row>
        <row r="223">
          <cell r="C223" t="str">
            <v>GN08</v>
          </cell>
          <cell r="D223" t="str">
            <v>Musha'ara</v>
          </cell>
          <cell r="E223">
            <v>3</v>
          </cell>
          <cell r="F223">
            <v>0</v>
          </cell>
          <cell r="G223" t="str">
            <v>Stage</v>
          </cell>
          <cell r="H223" t="str">
            <v>GENERAL</v>
          </cell>
        </row>
        <row r="224">
          <cell r="C224" t="str">
            <v>GN09</v>
          </cell>
          <cell r="D224" t="str">
            <v>Documentary</v>
          </cell>
          <cell r="E224">
            <v>3</v>
          </cell>
          <cell r="F224">
            <v>0</v>
          </cell>
          <cell r="G224" t="str">
            <v>Non-Stg</v>
          </cell>
          <cell r="H224" t="str">
            <v>GENERAL</v>
          </cell>
        </row>
        <row r="225">
          <cell r="C225" t="str">
            <v>GN10</v>
          </cell>
          <cell r="D225" t="str">
            <v>Digital Magazine</v>
          </cell>
          <cell r="E225">
            <v>3</v>
          </cell>
          <cell r="F225">
            <v>0</v>
          </cell>
          <cell r="G225" t="str">
            <v>Stage</v>
          </cell>
          <cell r="H225" t="str">
            <v>GENERAL</v>
          </cell>
        </row>
        <row r="226">
          <cell r="C226" t="str">
            <v>GN11</v>
          </cell>
          <cell r="D226" t="str">
            <v>Collage</v>
          </cell>
          <cell r="E226">
            <v>3</v>
          </cell>
          <cell r="F226">
            <v>0</v>
          </cell>
          <cell r="G226" t="str">
            <v>Non-Stg</v>
          </cell>
          <cell r="H226" t="str">
            <v>GENERAL</v>
          </cell>
        </row>
        <row r="227">
          <cell r="D227" t="str">
            <v/>
          </cell>
          <cell r="E227" t="str">
            <v/>
          </cell>
          <cell r="F227" t="str">
            <v/>
          </cell>
          <cell r="G227" t="str">
            <v/>
          </cell>
        </row>
        <row r="228">
          <cell r="D228" t="str">
            <v/>
          </cell>
          <cell r="E228" t="str">
            <v/>
          </cell>
          <cell r="F228" t="str">
            <v/>
          </cell>
          <cell r="G228" t="str">
            <v/>
          </cell>
          <cell r="H228" t="str">
            <v/>
          </cell>
        </row>
        <row r="229">
          <cell r="E229" t="str">
            <v/>
          </cell>
          <cell r="F229" t="str">
            <v/>
          </cell>
          <cell r="G229" t="str">
            <v/>
          </cell>
        </row>
        <row r="230">
          <cell r="E230" t="str">
            <v/>
          </cell>
          <cell r="F230" t="str">
            <v/>
          </cell>
          <cell r="G230" t="str">
            <v/>
          </cell>
        </row>
        <row r="231">
          <cell r="D231" t="str">
            <v/>
          </cell>
          <cell r="E231" t="str">
            <v/>
          </cell>
          <cell r="F231" t="str">
            <v/>
          </cell>
          <cell r="G231" t="str">
            <v/>
          </cell>
          <cell r="H231" t="str">
            <v/>
          </cell>
        </row>
        <row r="232">
          <cell r="D232" t="str">
            <v/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</row>
        <row r="233">
          <cell r="D233" t="str">
            <v/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</row>
        <row r="234">
          <cell r="D234" t="str">
            <v/>
          </cell>
          <cell r="E234" t="str">
            <v/>
          </cell>
          <cell r="F234" t="str">
            <v/>
          </cell>
          <cell r="G234" t="str">
            <v/>
          </cell>
          <cell r="H234" t="str">
            <v/>
          </cell>
        </row>
        <row r="235">
          <cell r="D235" t="str">
            <v/>
          </cell>
          <cell r="E235" t="str">
            <v/>
          </cell>
          <cell r="F235" t="str">
            <v/>
          </cell>
          <cell r="G235" t="str">
            <v/>
          </cell>
          <cell r="H235" t="str">
            <v/>
          </cell>
        </row>
        <row r="236">
          <cell r="D236" t="str">
            <v/>
          </cell>
          <cell r="E236" t="str">
            <v/>
          </cell>
          <cell r="F236" t="str">
            <v/>
          </cell>
          <cell r="G236" t="str">
            <v/>
          </cell>
          <cell r="H236" t="str">
            <v/>
          </cell>
        </row>
        <row r="237">
          <cell r="D237" t="str">
            <v/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</row>
        <row r="238"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 t="str">
            <v/>
          </cell>
        </row>
        <row r="239"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 t="str">
            <v/>
          </cell>
        </row>
        <row r="240">
          <cell r="D240" t="str">
            <v/>
          </cell>
          <cell r="E240" t="str">
            <v/>
          </cell>
          <cell r="F240" t="str">
            <v/>
          </cell>
          <cell r="G240" t="str">
            <v/>
          </cell>
          <cell r="H240" t="str">
            <v/>
          </cell>
        </row>
        <row r="241"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 t="str">
            <v/>
          </cell>
        </row>
        <row r="242"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 t="str">
            <v/>
          </cell>
        </row>
        <row r="243"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 t="str">
            <v/>
          </cell>
        </row>
        <row r="244"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</row>
        <row r="245"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 t="str">
            <v/>
          </cell>
        </row>
        <row r="246"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 t="str">
            <v/>
          </cell>
        </row>
        <row r="247"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 t="str">
            <v/>
          </cell>
        </row>
        <row r="248"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 t="str">
            <v/>
          </cell>
        </row>
        <row r="249"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</row>
        <row r="250"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</row>
        <row r="251"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 t="str">
            <v/>
          </cell>
        </row>
        <row r="252"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 t="str">
            <v/>
          </cell>
        </row>
        <row r="253"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 t="str">
            <v/>
          </cell>
        </row>
        <row r="254"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 t="str">
            <v/>
          </cell>
        </row>
        <row r="255"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</row>
        <row r="256"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 t="str">
            <v/>
          </cell>
        </row>
        <row r="257"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 t="str">
            <v/>
          </cell>
        </row>
        <row r="258"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/>
          </cell>
        </row>
        <row r="259"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 t="str">
            <v/>
          </cell>
        </row>
        <row r="260">
          <cell r="D260" t="str">
            <v/>
          </cell>
          <cell r="E260" t="str">
            <v/>
          </cell>
          <cell r="F260" t="str">
            <v/>
          </cell>
          <cell r="G260" t="str">
            <v/>
          </cell>
          <cell r="H260" t="str">
            <v/>
          </cell>
        </row>
        <row r="261">
          <cell r="D261" t="str">
            <v/>
          </cell>
          <cell r="E261" t="str">
            <v/>
          </cell>
          <cell r="F261" t="str">
            <v/>
          </cell>
          <cell r="G261" t="str">
            <v/>
          </cell>
          <cell r="H261" t="str">
            <v/>
          </cell>
        </row>
        <row r="262">
          <cell r="D262" t="str">
            <v/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</row>
        <row r="263"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 t="str">
            <v/>
          </cell>
        </row>
        <row r="264">
          <cell r="D264" t="str">
            <v/>
          </cell>
          <cell r="E264" t="str">
            <v/>
          </cell>
          <cell r="F264" t="str">
            <v/>
          </cell>
          <cell r="G264" t="str">
            <v/>
          </cell>
          <cell r="H264" t="str">
            <v/>
          </cell>
        </row>
        <row r="265">
          <cell r="D265" t="str">
            <v/>
          </cell>
          <cell r="E265" t="str">
            <v/>
          </cell>
          <cell r="F265" t="str">
            <v/>
          </cell>
          <cell r="G265" t="str">
            <v/>
          </cell>
          <cell r="H265" t="str">
            <v/>
          </cell>
        </row>
        <row r="266">
          <cell r="D266" t="str">
            <v/>
          </cell>
          <cell r="E266" t="str">
            <v/>
          </cell>
          <cell r="F266" t="str">
            <v/>
          </cell>
          <cell r="G266" t="str">
            <v/>
          </cell>
          <cell r="H266" t="str">
            <v/>
          </cell>
        </row>
        <row r="267">
          <cell r="D267" t="str">
            <v/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</row>
        <row r="268">
          <cell r="D268" t="str">
            <v/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</row>
        <row r="269">
          <cell r="D269" t="str">
            <v/>
          </cell>
          <cell r="E269" t="str">
            <v/>
          </cell>
          <cell r="F269" t="str">
            <v/>
          </cell>
          <cell r="G269" t="str">
            <v/>
          </cell>
          <cell r="H269" t="str">
            <v/>
          </cell>
        </row>
        <row r="270">
          <cell r="D270" t="str">
            <v/>
          </cell>
          <cell r="E270" t="str">
            <v/>
          </cell>
          <cell r="F270" t="str">
            <v/>
          </cell>
          <cell r="G270" t="str">
            <v/>
          </cell>
          <cell r="H270" t="str">
            <v/>
          </cell>
        </row>
        <row r="271">
          <cell r="D271" t="str">
            <v/>
          </cell>
          <cell r="E271" t="str">
            <v/>
          </cell>
          <cell r="F271" t="str">
            <v/>
          </cell>
          <cell r="G271" t="str">
            <v/>
          </cell>
          <cell r="H271" t="str">
            <v/>
          </cell>
        </row>
        <row r="272">
          <cell r="D272" t="str">
            <v/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</row>
        <row r="273">
          <cell r="D273" t="str">
            <v/>
          </cell>
          <cell r="E273" t="str">
            <v/>
          </cell>
          <cell r="F273" t="str">
            <v/>
          </cell>
          <cell r="G273" t="str">
            <v/>
          </cell>
          <cell r="H273" t="str">
            <v/>
          </cell>
        </row>
        <row r="274">
          <cell r="D274" t="str">
            <v/>
          </cell>
          <cell r="E274" t="str">
            <v/>
          </cell>
          <cell r="F274" t="str">
            <v/>
          </cell>
          <cell r="G274" t="str">
            <v/>
          </cell>
          <cell r="H274" t="str">
            <v/>
          </cell>
        </row>
        <row r="275">
          <cell r="D275" t="str">
            <v/>
          </cell>
          <cell r="E275" t="str">
            <v/>
          </cell>
          <cell r="F275" t="str">
            <v/>
          </cell>
          <cell r="G275" t="str">
            <v/>
          </cell>
          <cell r="H275" t="str">
            <v/>
          </cell>
        </row>
        <row r="276">
          <cell r="D276" t="str">
            <v/>
          </cell>
          <cell r="E276" t="str">
            <v/>
          </cell>
          <cell r="F276" t="str">
            <v/>
          </cell>
          <cell r="G276" t="str">
            <v/>
          </cell>
          <cell r="H276" t="str">
            <v/>
          </cell>
        </row>
        <row r="277">
          <cell r="D277" t="str">
            <v/>
          </cell>
          <cell r="E277" t="str">
            <v/>
          </cell>
          <cell r="F277" t="str">
            <v/>
          </cell>
          <cell r="G277" t="str">
            <v/>
          </cell>
          <cell r="H277" t="str">
            <v/>
          </cell>
        </row>
        <row r="278">
          <cell r="D278" t="str">
            <v/>
          </cell>
          <cell r="E278" t="str">
            <v/>
          </cell>
          <cell r="F278" t="str">
            <v/>
          </cell>
          <cell r="G278" t="str">
            <v/>
          </cell>
          <cell r="H278" t="str">
            <v/>
          </cell>
        </row>
        <row r="279">
          <cell r="D279" t="str">
            <v/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</row>
        <row r="280">
          <cell r="D280" t="str">
            <v/>
          </cell>
          <cell r="E280" t="str">
            <v/>
          </cell>
          <cell r="F280" t="str">
            <v/>
          </cell>
          <cell r="G280" t="str">
            <v/>
          </cell>
          <cell r="H280" t="str">
            <v/>
          </cell>
        </row>
        <row r="281">
          <cell r="D281" t="str">
            <v/>
          </cell>
          <cell r="E281" t="str">
            <v/>
          </cell>
          <cell r="F281" t="str">
            <v/>
          </cell>
          <cell r="G281" t="str">
            <v/>
          </cell>
          <cell r="H281" t="str">
            <v/>
          </cell>
        </row>
        <row r="282">
          <cell r="D282" t="str">
            <v/>
          </cell>
          <cell r="E282" t="str">
            <v/>
          </cell>
          <cell r="F282" t="str">
            <v/>
          </cell>
          <cell r="G282" t="str">
            <v/>
          </cell>
          <cell r="H282" t="str">
            <v/>
          </cell>
        </row>
        <row r="283">
          <cell r="D283" t="str">
            <v/>
          </cell>
          <cell r="E283" t="str">
            <v/>
          </cell>
          <cell r="F283" t="str">
            <v/>
          </cell>
          <cell r="G283" t="str">
            <v/>
          </cell>
          <cell r="H283" t="str">
            <v/>
          </cell>
        </row>
        <row r="284">
          <cell r="D284" t="str">
            <v/>
          </cell>
          <cell r="E284" t="str">
            <v/>
          </cell>
          <cell r="F284" t="str">
            <v/>
          </cell>
          <cell r="G284" t="str">
            <v/>
          </cell>
          <cell r="H284" t="str">
            <v/>
          </cell>
        </row>
        <row r="285">
          <cell r="D285" t="str">
            <v/>
          </cell>
          <cell r="E285" t="str">
            <v/>
          </cell>
          <cell r="F285" t="str">
            <v/>
          </cell>
          <cell r="G285" t="str">
            <v/>
          </cell>
          <cell r="H285" t="str">
            <v/>
          </cell>
        </row>
        <row r="286">
          <cell r="D286" t="str">
            <v/>
          </cell>
          <cell r="E286" t="str">
            <v/>
          </cell>
          <cell r="F286" t="str">
            <v/>
          </cell>
          <cell r="G286" t="str">
            <v/>
          </cell>
          <cell r="H286" t="str">
            <v/>
          </cell>
        </row>
        <row r="287">
          <cell r="D287" t="str">
            <v/>
          </cell>
          <cell r="E287" t="str">
            <v/>
          </cell>
          <cell r="F287" t="str">
            <v/>
          </cell>
          <cell r="G287" t="str">
            <v/>
          </cell>
          <cell r="H287" t="str">
            <v/>
          </cell>
        </row>
        <row r="288">
          <cell r="D288" t="str">
            <v/>
          </cell>
          <cell r="E288" t="str">
            <v/>
          </cell>
          <cell r="F288" t="str">
            <v/>
          </cell>
          <cell r="G288" t="str">
            <v/>
          </cell>
          <cell r="H288" t="str">
            <v/>
          </cell>
        </row>
        <row r="289"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</row>
        <row r="290">
          <cell r="D290" t="str">
            <v/>
          </cell>
          <cell r="E290" t="str">
            <v/>
          </cell>
          <cell r="F290" t="str">
            <v/>
          </cell>
          <cell r="G290" t="str">
            <v/>
          </cell>
          <cell r="H290" t="str">
            <v/>
          </cell>
        </row>
        <row r="291">
          <cell r="D291" t="str">
            <v/>
          </cell>
          <cell r="E291" t="str">
            <v/>
          </cell>
          <cell r="F291" t="str">
            <v/>
          </cell>
          <cell r="G291" t="str">
            <v/>
          </cell>
          <cell r="H291" t="str">
            <v/>
          </cell>
        </row>
        <row r="292">
          <cell r="D292" t="str">
            <v/>
          </cell>
          <cell r="E292" t="str">
            <v/>
          </cell>
          <cell r="F292" t="str">
            <v/>
          </cell>
          <cell r="G292" t="str">
            <v/>
          </cell>
          <cell r="H292" t="str">
            <v/>
          </cell>
        </row>
        <row r="293">
          <cell r="D293" t="str">
            <v/>
          </cell>
          <cell r="E293" t="str">
            <v/>
          </cell>
          <cell r="F293" t="str">
            <v/>
          </cell>
          <cell r="G293" t="str">
            <v/>
          </cell>
          <cell r="H293" t="str">
            <v/>
          </cell>
        </row>
        <row r="294">
          <cell r="D294" t="str">
            <v/>
          </cell>
          <cell r="E294" t="str">
            <v/>
          </cell>
          <cell r="F294" t="str">
            <v/>
          </cell>
          <cell r="G294" t="str">
            <v/>
          </cell>
          <cell r="H294" t="str">
            <v/>
          </cell>
        </row>
        <row r="295">
          <cell r="D295" t="str">
            <v/>
          </cell>
          <cell r="E295" t="str">
            <v/>
          </cell>
          <cell r="F295" t="str">
            <v/>
          </cell>
          <cell r="G295" t="str">
            <v/>
          </cell>
          <cell r="H295" t="str">
            <v/>
          </cell>
        </row>
        <row r="296">
          <cell r="D296" t="str">
            <v/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</row>
        <row r="297">
          <cell r="D297" t="str">
            <v/>
          </cell>
          <cell r="E297" t="str">
            <v/>
          </cell>
          <cell r="F297" t="str">
            <v/>
          </cell>
          <cell r="G297" t="str">
            <v/>
          </cell>
          <cell r="H297" t="str">
            <v/>
          </cell>
        </row>
        <row r="298">
          <cell r="D298" t="str">
            <v/>
          </cell>
          <cell r="E298" t="str">
            <v/>
          </cell>
          <cell r="F298" t="str">
            <v/>
          </cell>
          <cell r="G298" t="str">
            <v/>
          </cell>
          <cell r="H298" t="str">
            <v/>
          </cell>
        </row>
        <row r="299">
          <cell r="D299" t="str">
            <v/>
          </cell>
          <cell r="E299" t="str">
            <v/>
          </cell>
          <cell r="F299" t="str">
            <v/>
          </cell>
          <cell r="G299" t="str">
            <v/>
          </cell>
          <cell r="H299" t="str">
            <v/>
          </cell>
        </row>
        <row r="300">
          <cell r="D300" t="str">
            <v/>
          </cell>
          <cell r="E300" t="str">
            <v/>
          </cell>
          <cell r="F300" t="str">
            <v/>
          </cell>
          <cell r="G300" t="str">
            <v/>
          </cell>
          <cell r="H300" t="str">
            <v/>
          </cell>
        </row>
        <row r="301">
          <cell r="D301" t="str">
            <v/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</row>
        <row r="302">
          <cell r="D302" t="str">
            <v/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</row>
        <row r="303">
          <cell r="D303" t="str">
            <v/>
          </cell>
          <cell r="E303" t="str">
            <v/>
          </cell>
          <cell r="F303" t="str">
            <v/>
          </cell>
          <cell r="G303" t="str">
            <v/>
          </cell>
          <cell r="H303" t="str">
            <v/>
          </cell>
        </row>
        <row r="304">
          <cell r="D304" t="str">
            <v/>
          </cell>
          <cell r="E304" t="str">
            <v/>
          </cell>
          <cell r="F304" t="str">
            <v/>
          </cell>
          <cell r="G304" t="str">
            <v/>
          </cell>
          <cell r="H304" t="str">
            <v/>
          </cell>
        </row>
        <row r="305">
          <cell r="D305" t="str">
            <v/>
          </cell>
          <cell r="E305" t="str">
            <v/>
          </cell>
          <cell r="F305" t="str">
            <v/>
          </cell>
          <cell r="G305" t="str">
            <v/>
          </cell>
          <cell r="H305" t="str">
            <v/>
          </cell>
        </row>
        <row r="306">
          <cell r="D306" t="str">
            <v/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</row>
        <row r="307">
          <cell r="D307" t="str">
            <v/>
          </cell>
          <cell r="E307" t="str">
            <v/>
          </cell>
          <cell r="F307" t="str">
            <v/>
          </cell>
          <cell r="G307" t="str">
            <v/>
          </cell>
          <cell r="H307" t="str">
            <v/>
          </cell>
        </row>
        <row r="308">
          <cell r="D308" t="str">
            <v/>
          </cell>
          <cell r="E308" t="str">
            <v/>
          </cell>
          <cell r="F308" t="str">
            <v/>
          </cell>
          <cell r="G308" t="str">
            <v/>
          </cell>
          <cell r="H308" t="str">
            <v/>
          </cell>
        </row>
        <row r="309">
          <cell r="D309" t="str">
            <v/>
          </cell>
          <cell r="E309" t="str">
            <v/>
          </cell>
          <cell r="F309" t="str">
            <v/>
          </cell>
          <cell r="G309" t="str">
            <v/>
          </cell>
          <cell r="H309" t="str">
            <v/>
          </cell>
        </row>
        <row r="310">
          <cell r="D310" t="str">
            <v/>
          </cell>
          <cell r="E310" t="str">
            <v/>
          </cell>
          <cell r="F310" t="str">
            <v/>
          </cell>
          <cell r="G310" t="str">
            <v/>
          </cell>
          <cell r="H310" t="str">
            <v/>
          </cell>
        </row>
        <row r="311">
          <cell r="D311" t="str">
            <v/>
          </cell>
          <cell r="E311" t="str">
            <v/>
          </cell>
          <cell r="F311" t="str">
            <v/>
          </cell>
          <cell r="G311" t="str">
            <v/>
          </cell>
          <cell r="H311" t="str">
            <v/>
          </cell>
        </row>
        <row r="312">
          <cell r="D312" t="str">
            <v/>
          </cell>
          <cell r="E312" t="str">
            <v/>
          </cell>
          <cell r="F312" t="str">
            <v/>
          </cell>
          <cell r="G312" t="str">
            <v/>
          </cell>
          <cell r="H312" t="str">
            <v/>
          </cell>
        </row>
        <row r="313">
          <cell r="D313" t="str">
            <v/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</row>
        <row r="314">
          <cell r="D314" t="str">
            <v/>
          </cell>
          <cell r="E314" t="str">
            <v/>
          </cell>
          <cell r="F314" t="str">
            <v/>
          </cell>
          <cell r="G314" t="str">
            <v/>
          </cell>
          <cell r="H314" t="str">
            <v/>
          </cell>
        </row>
        <row r="315">
          <cell r="D315" t="str">
            <v/>
          </cell>
          <cell r="E315" t="str">
            <v/>
          </cell>
          <cell r="F315" t="str">
            <v/>
          </cell>
          <cell r="G315" t="str">
            <v/>
          </cell>
          <cell r="H315" t="str">
            <v/>
          </cell>
        </row>
        <row r="316">
          <cell r="D316" t="str">
            <v/>
          </cell>
          <cell r="E316" t="str">
            <v/>
          </cell>
          <cell r="F316" t="str">
            <v/>
          </cell>
          <cell r="G316" t="str">
            <v/>
          </cell>
          <cell r="H316" t="str">
            <v/>
          </cell>
        </row>
        <row r="317">
          <cell r="D317" t="str">
            <v/>
          </cell>
          <cell r="E317" t="str">
            <v/>
          </cell>
          <cell r="F317" t="str">
            <v/>
          </cell>
          <cell r="G317" t="str">
            <v/>
          </cell>
          <cell r="H317" t="str">
            <v/>
          </cell>
        </row>
        <row r="318">
          <cell r="D318" t="str">
            <v/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</row>
        <row r="319">
          <cell r="D319" t="str">
            <v/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</row>
        <row r="320">
          <cell r="D320" t="str">
            <v/>
          </cell>
          <cell r="E320" t="str">
            <v/>
          </cell>
          <cell r="F320" t="str">
            <v/>
          </cell>
          <cell r="G320" t="str">
            <v/>
          </cell>
          <cell r="H320" t="str">
            <v/>
          </cell>
        </row>
        <row r="321">
          <cell r="D321" t="str">
            <v/>
          </cell>
          <cell r="E321" t="str">
            <v/>
          </cell>
          <cell r="F321" t="str">
            <v/>
          </cell>
          <cell r="G321" t="str">
            <v/>
          </cell>
          <cell r="H321" t="str">
            <v/>
          </cell>
        </row>
        <row r="322">
          <cell r="D322" t="str">
            <v/>
          </cell>
          <cell r="E322" t="str">
            <v/>
          </cell>
          <cell r="F322" t="str">
            <v/>
          </cell>
          <cell r="G322" t="str">
            <v/>
          </cell>
          <cell r="H322" t="str">
            <v/>
          </cell>
        </row>
        <row r="323">
          <cell r="D323" t="str">
            <v/>
          </cell>
          <cell r="E323" t="str">
            <v/>
          </cell>
          <cell r="F323" t="str">
            <v/>
          </cell>
          <cell r="G323" t="str">
            <v/>
          </cell>
          <cell r="H323" t="str">
            <v/>
          </cell>
        </row>
        <row r="324">
          <cell r="D324" t="str">
            <v/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</row>
        <row r="325">
          <cell r="D325" t="str">
            <v/>
          </cell>
          <cell r="E325" t="str">
            <v/>
          </cell>
          <cell r="F325" t="str">
            <v/>
          </cell>
          <cell r="G325" t="str">
            <v/>
          </cell>
          <cell r="H325" t="str">
            <v/>
          </cell>
        </row>
        <row r="326">
          <cell r="D326" t="str">
            <v/>
          </cell>
          <cell r="E326" t="str">
            <v/>
          </cell>
          <cell r="F326" t="str">
            <v/>
          </cell>
          <cell r="G326" t="str">
            <v/>
          </cell>
          <cell r="H326" t="str">
            <v/>
          </cell>
        </row>
        <row r="327"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 t="str">
            <v/>
          </cell>
        </row>
        <row r="328">
          <cell r="D328" t="str">
            <v/>
          </cell>
          <cell r="E328" t="str">
            <v/>
          </cell>
          <cell r="F328" t="str">
            <v/>
          </cell>
          <cell r="G328" t="str">
            <v/>
          </cell>
          <cell r="H328" t="str">
            <v/>
          </cell>
        </row>
        <row r="329">
          <cell r="D329" t="str">
            <v/>
          </cell>
          <cell r="E329" t="str">
            <v/>
          </cell>
          <cell r="F329" t="str">
            <v/>
          </cell>
          <cell r="G329" t="str">
            <v/>
          </cell>
          <cell r="H329" t="str">
            <v/>
          </cell>
        </row>
        <row r="330">
          <cell r="D330" t="str">
            <v/>
          </cell>
          <cell r="E330" t="str">
            <v/>
          </cell>
          <cell r="F330" t="str">
            <v/>
          </cell>
          <cell r="G330" t="str">
            <v/>
          </cell>
          <cell r="H330" t="str">
            <v/>
          </cell>
        </row>
        <row r="331">
          <cell r="D331" t="str">
            <v/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</row>
        <row r="332">
          <cell r="D332" t="str">
            <v/>
          </cell>
          <cell r="E332" t="str">
            <v/>
          </cell>
          <cell r="F332" t="str">
            <v/>
          </cell>
          <cell r="G332" t="str">
            <v/>
          </cell>
          <cell r="H332" t="str">
            <v/>
          </cell>
        </row>
        <row r="333">
          <cell r="D333" t="str">
            <v/>
          </cell>
          <cell r="E333" t="str">
            <v/>
          </cell>
          <cell r="F333" t="str">
            <v/>
          </cell>
          <cell r="G333" t="str">
            <v/>
          </cell>
          <cell r="H333" t="str">
            <v/>
          </cell>
        </row>
        <row r="334">
          <cell r="D334" t="str">
            <v/>
          </cell>
          <cell r="E334" t="str">
            <v/>
          </cell>
          <cell r="F334" t="str">
            <v/>
          </cell>
          <cell r="G334" t="str">
            <v/>
          </cell>
          <cell r="H334" t="str">
            <v/>
          </cell>
        </row>
        <row r="335">
          <cell r="D335" t="str">
            <v/>
          </cell>
          <cell r="E335" t="str">
            <v/>
          </cell>
          <cell r="F335" t="str">
            <v/>
          </cell>
          <cell r="G335" t="str">
            <v/>
          </cell>
          <cell r="H335" t="str">
            <v/>
          </cell>
        </row>
        <row r="336">
          <cell r="D336" t="str">
            <v/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</row>
        <row r="337">
          <cell r="D337" t="str">
            <v/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</row>
        <row r="338">
          <cell r="D338" t="str">
            <v/>
          </cell>
          <cell r="E338" t="str">
            <v/>
          </cell>
          <cell r="F338" t="str">
            <v/>
          </cell>
          <cell r="G338" t="str">
            <v/>
          </cell>
          <cell r="H338" t="str">
            <v/>
          </cell>
        </row>
        <row r="339"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 t="str">
            <v/>
          </cell>
        </row>
        <row r="340">
          <cell r="D340" t="str">
            <v/>
          </cell>
          <cell r="E340" t="str">
            <v/>
          </cell>
          <cell r="F340" t="str">
            <v/>
          </cell>
          <cell r="G340" t="str">
            <v/>
          </cell>
          <cell r="H340" t="str">
            <v/>
          </cell>
        </row>
        <row r="341">
          <cell r="D341" t="str">
            <v/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</row>
        <row r="342">
          <cell r="D342" t="str">
            <v/>
          </cell>
          <cell r="E342" t="str">
            <v/>
          </cell>
          <cell r="F342" t="str">
            <v/>
          </cell>
          <cell r="G342" t="str">
            <v/>
          </cell>
          <cell r="H342" t="str">
            <v/>
          </cell>
        </row>
        <row r="343">
          <cell r="D343" t="str">
            <v/>
          </cell>
          <cell r="E343" t="str">
            <v/>
          </cell>
          <cell r="F343" t="str">
            <v/>
          </cell>
          <cell r="G343" t="str">
            <v/>
          </cell>
          <cell r="H343" t="str">
            <v/>
          </cell>
        </row>
        <row r="344">
          <cell r="D344" t="str">
            <v/>
          </cell>
          <cell r="E344" t="str">
            <v/>
          </cell>
          <cell r="F344" t="str">
            <v/>
          </cell>
          <cell r="G344" t="str">
            <v/>
          </cell>
          <cell r="H344" t="str">
            <v/>
          </cell>
        </row>
        <row r="345">
          <cell r="D345" t="str">
            <v/>
          </cell>
          <cell r="E345" t="str">
            <v/>
          </cell>
          <cell r="F345" t="str">
            <v/>
          </cell>
          <cell r="G345" t="str">
            <v/>
          </cell>
          <cell r="H345" t="str">
            <v/>
          </cell>
        </row>
        <row r="346">
          <cell r="D346" t="str">
            <v/>
          </cell>
          <cell r="E346" t="str">
            <v/>
          </cell>
          <cell r="F346" t="str">
            <v/>
          </cell>
          <cell r="G346" t="str">
            <v/>
          </cell>
          <cell r="H346" t="str">
            <v/>
          </cell>
        </row>
        <row r="347">
          <cell r="D347" t="str">
            <v/>
          </cell>
          <cell r="E347" t="str">
            <v/>
          </cell>
          <cell r="F347" t="str">
            <v/>
          </cell>
          <cell r="G347" t="str">
            <v/>
          </cell>
          <cell r="H347" t="str">
            <v/>
          </cell>
        </row>
        <row r="348">
          <cell r="D348" t="str">
            <v/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</row>
        <row r="349">
          <cell r="D349" t="str">
            <v/>
          </cell>
          <cell r="E349" t="str">
            <v/>
          </cell>
          <cell r="F349" t="str">
            <v/>
          </cell>
          <cell r="G349" t="str">
            <v/>
          </cell>
          <cell r="H349" t="str">
            <v/>
          </cell>
        </row>
        <row r="350">
          <cell r="D350" t="str">
            <v/>
          </cell>
          <cell r="E350" t="str">
            <v/>
          </cell>
          <cell r="F350" t="str">
            <v/>
          </cell>
          <cell r="G350" t="str">
            <v/>
          </cell>
          <cell r="H350" t="str">
            <v/>
          </cell>
        </row>
        <row r="351"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 t="str">
            <v/>
          </cell>
        </row>
        <row r="352"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 t="str">
            <v/>
          </cell>
        </row>
        <row r="353"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</row>
        <row r="354"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</row>
        <row r="355"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 t="str">
            <v/>
          </cell>
        </row>
        <row r="356"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 t="str">
            <v/>
          </cell>
        </row>
        <row r="357">
          <cell r="D357" t="str">
            <v/>
          </cell>
          <cell r="E357" t="str">
            <v/>
          </cell>
          <cell r="F357" t="str">
            <v/>
          </cell>
          <cell r="G357" t="str">
            <v/>
          </cell>
          <cell r="H357" t="str">
            <v/>
          </cell>
        </row>
        <row r="358"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</row>
        <row r="359"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 t="str">
            <v/>
          </cell>
        </row>
        <row r="360"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 t="str">
            <v/>
          </cell>
        </row>
        <row r="361"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 t="str">
            <v/>
          </cell>
        </row>
        <row r="362"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 t="str">
            <v/>
          </cell>
        </row>
        <row r="363"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 t="str">
            <v/>
          </cell>
        </row>
        <row r="364"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 t="str">
            <v/>
          </cell>
        </row>
        <row r="365"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</row>
        <row r="366"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 t="str">
            <v/>
          </cell>
        </row>
        <row r="367"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 t="str">
            <v/>
          </cell>
        </row>
        <row r="368"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 t="str">
            <v/>
          </cell>
        </row>
        <row r="369">
          <cell r="D369" t="str">
            <v/>
          </cell>
          <cell r="E369" t="str">
            <v/>
          </cell>
          <cell r="F369" t="str">
            <v/>
          </cell>
          <cell r="G369" t="str">
            <v/>
          </cell>
          <cell r="H369" t="str">
            <v/>
          </cell>
        </row>
        <row r="370"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</row>
        <row r="371"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</row>
        <row r="372"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 t="str">
            <v/>
          </cell>
        </row>
        <row r="373"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 t="str">
            <v/>
          </cell>
        </row>
        <row r="374"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 t="str">
            <v/>
          </cell>
        </row>
        <row r="375"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</row>
        <row r="376"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 t="str">
            <v/>
          </cell>
        </row>
        <row r="377"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 t="str">
            <v/>
          </cell>
        </row>
        <row r="378"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 t="str">
            <v/>
          </cell>
        </row>
        <row r="379"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 t="str">
            <v/>
          </cell>
        </row>
        <row r="380"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 t="str">
            <v/>
          </cell>
        </row>
        <row r="381"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 t="str">
            <v/>
          </cell>
        </row>
        <row r="382"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</row>
        <row r="383">
          <cell r="D383" t="str">
            <v/>
          </cell>
          <cell r="E383" t="str">
            <v/>
          </cell>
          <cell r="F383" t="str">
            <v/>
          </cell>
          <cell r="G383" t="str">
            <v/>
          </cell>
          <cell r="H383" t="str">
            <v/>
          </cell>
        </row>
        <row r="384"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</row>
        <row r="385"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</row>
        <row r="386"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</row>
        <row r="387"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</row>
        <row r="388"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</row>
        <row r="389"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</row>
        <row r="390"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</row>
        <row r="391"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</row>
        <row r="392"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</row>
        <row r="393"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</row>
        <row r="394"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</row>
        <row r="395"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</row>
        <row r="396"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</row>
        <row r="397"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</row>
        <row r="398"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</row>
        <row r="399"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</row>
        <row r="400"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</row>
        <row r="401"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</row>
        <row r="402"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</row>
        <row r="403"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</row>
        <row r="404"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</row>
        <row r="405"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</row>
        <row r="406"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</row>
        <row r="407"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</row>
        <row r="408"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</row>
        <row r="409"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</row>
        <row r="410"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</row>
        <row r="411"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</row>
        <row r="412"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</row>
        <row r="413"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</row>
        <row r="414"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</row>
        <row r="415"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</row>
        <row r="416"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</row>
        <row r="417"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</row>
        <row r="418"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</row>
        <row r="419"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</row>
        <row r="420"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</row>
        <row r="421"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</row>
        <row r="422"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</row>
        <row r="423"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</row>
        <row r="424"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</row>
        <row r="425"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</row>
        <row r="426"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</row>
        <row r="427"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</row>
        <row r="428"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</row>
        <row r="429"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</row>
        <row r="430"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</row>
        <row r="431"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</row>
        <row r="432"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</row>
        <row r="433"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</row>
        <row r="434"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</row>
        <row r="435"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</row>
        <row r="436"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</row>
        <row r="437"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</row>
        <row r="438"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</row>
        <row r="439"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</row>
        <row r="440"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</row>
        <row r="441"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</row>
        <row r="442"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</row>
        <row r="443"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</row>
        <row r="444"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</row>
        <row r="445"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</row>
        <row r="446"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</row>
        <row r="447"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</row>
        <row r="448"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</row>
        <row r="449"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</row>
        <row r="450"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</row>
        <row r="451"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</row>
        <row r="452"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</row>
        <row r="453"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</row>
        <row r="454"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</row>
        <row r="455"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</row>
        <row r="456"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</row>
        <row r="457"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</row>
        <row r="458"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</row>
        <row r="459"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</row>
        <row r="460"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</row>
        <row r="461"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</row>
        <row r="462"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</row>
        <row r="463"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</row>
        <row r="464"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</row>
        <row r="465"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</row>
        <row r="466"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</row>
        <row r="467"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</row>
        <row r="468"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</row>
        <row r="469"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</row>
        <row r="470"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</row>
        <row r="471"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</row>
        <row r="472"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</row>
        <row r="473"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</row>
        <row r="474"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</row>
        <row r="475"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</row>
        <row r="476"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</row>
        <row r="477"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</row>
        <row r="478"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</row>
        <row r="479"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</row>
        <row r="480"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</row>
        <row r="481"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</row>
        <row r="482"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</row>
        <row r="483"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</row>
        <row r="484"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</row>
        <row r="485"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</row>
        <row r="486"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</row>
        <row r="487"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</row>
        <row r="488"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</row>
        <row r="489"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</row>
        <row r="490"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</row>
        <row r="491"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</row>
        <row r="492"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</row>
        <row r="493"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</row>
        <row r="494"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</row>
        <row r="495"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</row>
        <row r="496"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</row>
        <row r="497"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</row>
        <row r="498"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</row>
        <row r="499"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</row>
        <row r="500"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</row>
        <row r="501"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</row>
        <row r="502"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</row>
        <row r="503"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</row>
        <row r="504"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</row>
        <row r="505"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</row>
        <row r="506"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</row>
      </sheetData>
      <sheetData sheetId="8">
        <row r="8">
          <cell r="C8" t="str">
            <v>A100</v>
          </cell>
          <cell r="D8" t="str">
            <v>ADINAN ABOOBACKER K</v>
          </cell>
          <cell r="E8" t="str">
            <v>A</v>
          </cell>
          <cell r="F8" t="str">
            <v>SUB JUNIOR</v>
          </cell>
          <cell r="G8" t="str">
            <v>NO ISSUES</v>
          </cell>
          <cell r="H8">
            <v>1</v>
          </cell>
          <cell r="I8">
            <v>0</v>
          </cell>
          <cell r="J8">
            <v>1</v>
          </cell>
          <cell r="K8">
            <v>0</v>
          </cell>
          <cell r="L8">
            <v>1</v>
          </cell>
        </row>
        <row r="9">
          <cell r="C9" t="str">
            <v>A101</v>
          </cell>
          <cell r="D9" t="str">
            <v>MUHAMMED TAMEEM</v>
          </cell>
          <cell r="E9" t="str">
            <v>D</v>
          </cell>
          <cell r="F9" t="str">
            <v>SUB JUNIOR</v>
          </cell>
          <cell r="G9" t="str">
            <v>NO ISSUES</v>
          </cell>
          <cell r="H9">
            <v>0</v>
          </cell>
          <cell r="I9">
            <v>1</v>
          </cell>
          <cell r="J9">
            <v>1</v>
          </cell>
          <cell r="K9">
            <v>0</v>
          </cell>
          <cell r="L9">
            <v>1</v>
          </cell>
        </row>
        <row r="10">
          <cell r="C10" t="str">
            <v>A102</v>
          </cell>
          <cell r="D10" t="str">
            <v>AJZAL ASHRAF OV</v>
          </cell>
          <cell r="E10" t="str">
            <v>D</v>
          </cell>
          <cell r="F10" t="str">
            <v>SUB JUNIOR</v>
          </cell>
          <cell r="G10" t="str">
            <v>NO ISSUES</v>
          </cell>
          <cell r="H10">
            <v>0</v>
          </cell>
          <cell r="I10">
            <v>1</v>
          </cell>
          <cell r="J10">
            <v>1</v>
          </cell>
          <cell r="K10">
            <v>0</v>
          </cell>
          <cell r="L10">
            <v>1</v>
          </cell>
        </row>
        <row r="11">
          <cell r="C11" t="str">
            <v>A103</v>
          </cell>
          <cell r="D11" t="str">
            <v>MUHAMMED RIZIN AMAN</v>
          </cell>
          <cell r="E11" t="str">
            <v>D</v>
          </cell>
          <cell r="F11" t="str">
            <v>SUB JUNIOR</v>
          </cell>
          <cell r="G11" t="str">
            <v>NO ISSUES</v>
          </cell>
          <cell r="H11">
            <v>1</v>
          </cell>
          <cell r="I11">
            <v>0</v>
          </cell>
          <cell r="J11">
            <v>1</v>
          </cell>
          <cell r="K11">
            <v>0</v>
          </cell>
          <cell r="L11">
            <v>1</v>
          </cell>
        </row>
        <row r="12">
          <cell r="C12" t="str">
            <v>A104</v>
          </cell>
          <cell r="D12" t="str">
            <v>MUHAMMAD AZEEM</v>
          </cell>
          <cell r="E12" t="str">
            <v>C</v>
          </cell>
          <cell r="F12" t="str">
            <v>SUB JUNIOR</v>
          </cell>
          <cell r="G12" t="str">
            <v>NO ISSUES</v>
          </cell>
          <cell r="H12">
            <v>0</v>
          </cell>
          <cell r="I12">
            <v>1</v>
          </cell>
          <cell r="J12">
            <v>1</v>
          </cell>
          <cell r="K12">
            <v>0</v>
          </cell>
          <cell r="L12">
            <v>1</v>
          </cell>
        </row>
        <row r="13">
          <cell r="C13" t="str">
            <v>A105</v>
          </cell>
          <cell r="D13" t="str">
            <v>MUHAMMED HAFIZ S T</v>
          </cell>
          <cell r="E13" t="str">
            <v>A</v>
          </cell>
          <cell r="F13" t="str">
            <v>SUB JUNIOR</v>
          </cell>
          <cell r="G13" t="str">
            <v>NO ISSUES</v>
          </cell>
          <cell r="H13">
            <v>1</v>
          </cell>
          <cell r="I13">
            <v>0</v>
          </cell>
          <cell r="J13">
            <v>1</v>
          </cell>
          <cell r="K13">
            <v>0</v>
          </cell>
          <cell r="L13">
            <v>1</v>
          </cell>
        </row>
        <row r="14">
          <cell r="C14" t="str">
            <v>A106</v>
          </cell>
          <cell r="D14" t="str">
            <v>Abdul Khader Uvais K A</v>
          </cell>
          <cell r="E14" t="str">
            <v>C</v>
          </cell>
          <cell r="F14" t="str">
            <v>SUB JUNIOR</v>
          </cell>
          <cell r="G14" t="str">
            <v>NO ISSUES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C15" t="str">
            <v>A107</v>
          </cell>
          <cell r="D15" t="str">
            <v>MUHAMMED ADHIL C H</v>
          </cell>
          <cell r="E15" t="str">
            <v>A</v>
          </cell>
          <cell r="F15" t="str">
            <v>SUB JUNIOR</v>
          </cell>
          <cell r="G15" t="str">
            <v>NO ISSUES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C16" t="str">
            <v>A108</v>
          </cell>
          <cell r="D16" t="str">
            <v>Mohammed Sinan N.A</v>
          </cell>
          <cell r="E16" t="str">
            <v>C</v>
          </cell>
          <cell r="F16" t="str">
            <v>SUB JUNIOR</v>
          </cell>
          <cell r="G16" t="str">
            <v>NO ISSUES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C17" t="str">
            <v>A109</v>
          </cell>
          <cell r="D17" t="str">
            <v>AHMED RAZI MR</v>
          </cell>
          <cell r="E17" t="str">
            <v>C</v>
          </cell>
          <cell r="F17" t="str">
            <v>SUB JUNIOR</v>
          </cell>
          <cell r="G17" t="str">
            <v>NO ISSUES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C18" t="str">
            <v>A110</v>
          </cell>
          <cell r="D18" t="str">
            <v>Muhammed Hisham K M</v>
          </cell>
          <cell r="E18" t="str">
            <v>A</v>
          </cell>
          <cell r="F18" t="str">
            <v>SUB JUNIOR</v>
          </cell>
          <cell r="G18">
            <v>2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C19" t="str">
            <v>A111</v>
          </cell>
          <cell r="D19" t="str">
            <v>HUSSAIN MUHAVIZ B A</v>
          </cell>
          <cell r="E19" t="str">
            <v>A</v>
          </cell>
          <cell r="F19" t="str">
            <v>SUB JUNIOR</v>
          </cell>
          <cell r="G19">
            <v>2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C20" t="str">
            <v>A112</v>
          </cell>
          <cell r="D20" t="str">
            <v>HILAL ABDULLA C H</v>
          </cell>
          <cell r="E20" t="str">
            <v>B</v>
          </cell>
          <cell r="F20" t="str">
            <v>SUB JUNIOR</v>
          </cell>
          <cell r="G20">
            <v>2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C21" t="str">
            <v>A113</v>
          </cell>
          <cell r="D21" t="str">
            <v>MOIDEEN KAIS</v>
          </cell>
          <cell r="E21" t="str">
            <v>B</v>
          </cell>
          <cell r="F21" t="str">
            <v>SUB JUNIOR</v>
          </cell>
          <cell r="G21">
            <v>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C22" t="str">
            <v>A114</v>
          </cell>
          <cell r="D22" t="str">
            <v>MUHAMMED SHAHID K A</v>
          </cell>
          <cell r="E22" t="str">
            <v>C</v>
          </cell>
          <cell r="F22" t="str">
            <v>SUB JUNIOR</v>
          </cell>
          <cell r="G22">
            <v>2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C23" t="str">
            <v>A115</v>
          </cell>
          <cell r="D23" t="str">
            <v>K MUHAMMAD JALAL</v>
          </cell>
          <cell r="E23" t="str">
            <v>B</v>
          </cell>
          <cell r="F23" t="str">
            <v>SUB JUNIOR</v>
          </cell>
          <cell r="G23">
            <v>2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C24" t="str">
            <v>A116</v>
          </cell>
          <cell r="D24" t="str">
            <v>MUHAMMED T K</v>
          </cell>
          <cell r="E24">
            <v>0</v>
          </cell>
          <cell r="F24" t="str">
            <v>SUB JUNIOR</v>
          </cell>
          <cell r="G24">
            <v>2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C25" t="str">
            <v>A117</v>
          </cell>
          <cell r="D25" t="str">
            <v>Muhammed Waheed R K</v>
          </cell>
          <cell r="E25" t="str">
            <v>D</v>
          </cell>
          <cell r="F25" t="str">
            <v>SUB JUNIOR</v>
          </cell>
          <cell r="G25">
            <v>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C26" t="str">
            <v>A118</v>
          </cell>
          <cell r="D26" t="str">
            <v>ABOOBACKER SAFWAN C B</v>
          </cell>
          <cell r="E26">
            <v>0</v>
          </cell>
          <cell r="F26" t="str">
            <v>SUB JUNIOR</v>
          </cell>
          <cell r="G26">
            <v>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C27" t="str">
            <v>A119</v>
          </cell>
          <cell r="D27" t="str">
            <v>MUHAMMED HASHIR A K</v>
          </cell>
          <cell r="E27" t="str">
            <v>D</v>
          </cell>
          <cell r="F27" t="str">
            <v>SUB JUNIOR</v>
          </cell>
          <cell r="G27">
            <v>2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C28" t="str">
            <v>A120</v>
          </cell>
          <cell r="D28" t="str">
            <v>MOHAMMED NAFIH</v>
          </cell>
          <cell r="E28" t="str">
            <v>B</v>
          </cell>
          <cell r="F28" t="str">
            <v>SUB JUNIOR</v>
          </cell>
          <cell r="G28">
            <v>2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C29" t="str">
            <v>A121</v>
          </cell>
          <cell r="D29" t="str">
            <v>BEERAN MUEENUDHEEN MH</v>
          </cell>
          <cell r="E29" t="str">
            <v>D</v>
          </cell>
          <cell r="F29" t="str">
            <v>SUB JUNIOR</v>
          </cell>
          <cell r="G29">
            <v>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C30" t="str">
            <v>A122</v>
          </cell>
          <cell r="D30" t="str">
            <v>MOHAMMAD K A</v>
          </cell>
          <cell r="E30" t="str">
            <v>A</v>
          </cell>
          <cell r="F30" t="str">
            <v>SUB JUNIOR</v>
          </cell>
          <cell r="G30">
            <v>2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C31" t="str">
            <v>A123</v>
          </cell>
          <cell r="D31" t="str">
            <v>IBRAHIM KALEEL</v>
          </cell>
          <cell r="E31" t="str">
            <v>D</v>
          </cell>
          <cell r="F31" t="str">
            <v>SUB JUNIOR</v>
          </cell>
          <cell r="G31">
            <v>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C32" t="str">
            <v>A124</v>
          </cell>
          <cell r="D32" t="str">
            <v>MOHAMMED JASEEM</v>
          </cell>
          <cell r="E32" t="str">
            <v>C</v>
          </cell>
          <cell r="F32" t="str">
            <v>SUB JUNIOR</v>
          </cell>
          <cell r="G32">
            <v>2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C33" t="str">
            <v>A125</v>
          </cell>
          <cell r="D33" t="str">
            <v>MUHAMMED RAZI A T</v>
          </cell>
          <cell r="E33" t="str">
            <v>B</v>
          </cell>
          <cell r="F33" t="str">
            <v>SUB JUNIOR</v>
          </cell>
          <cell r="G33">
            <v>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C34" t="str">
            <v>A126</v>
          </cell>
          <cell r="D34" t="str">
            <v>MUHAMMED ZAID</v>
          </cell>
          <cell r="E34" t="str">
            <v>D</v>
          </cell>
          <cell r="F34" t="str">
            <v>SUB JUNIOR</v>
          </cell>
          <cell r="G34">
            <v>2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C35" t="str">
            <v>A127</v>
          </cell>
          <cell r="D35" t="str">
            <v>MUHAMMED HAFEEZ P</v>
          </cell>
          <cell r="E35" t="str">
            <v>C</v>
          </cell>
          <cell r="F35" t="str">
            <v>SUB JUNIOR</v>
          </cell>
          <cell r="G35">
            <v>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C36" t="str">
            <v>A128</v>
          </cell>
          <cell r="D36" t="str">
            <v>MOHAMMED HAFEEZ B</v>
          </cell>
          <cell r="E36" t="str">
            <v>B</v>
          </cell>
          <cell r="F36" t="str">
            <v>SUB JUNIOR</v>
          </cell>
          <cell r="G36">
            <v>2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C37" t="str">
            <v>A129</v>
          </cell>
          <cell r="D37" t="str">
            <v>MUHAMMED BIN JAFAR</v>
          </cell>
          <cell r="E37" t="str">
            <v>A</v>
          </cell>
          <cell r="F37" t="str">
            <v>SUB JUNIOR</v>
          </cell>
          <cell r="G37">
            <v>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C38" t="str">
            <v>A130</v>
          </cell>
          <cell r="D38" t="str">
            <v>MOHAMMAD AJWAD</v>
          </cell>
          <cell r="E38" t="str">
            <v>D</v>
          </cell>
          <cell r="F38" t="str">
            <v>SUB JUNIOR</v>
          </cell>
          <cell r="G38">
            <v>2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C39" t="str">
            <v>A131</v>
          </cell>
          <cell r="D39" t="str">
            <v>FAZIL ABDULLA</v>
          </cell>
          <cell r="E39" t="str">
            <v>B</v>
          </cell>
          <cell r="F39" t="str">
            <v>SUB JUNIOR</v>
          </cell>
          <cell r="G39">
            <v>2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C40" t="str">
            <v>A132</v>
          </cell>
          <cell r="D40" t="str">
            <v>MUHAMMED SHIRAZ ISHAQUE</v>
          </cell>
          <cell r="E40" t="str">
            <v>A</v>
          </cell>
          <cell r="F40" t="str">
            <v>SUB JUNIOR</v>
          </cell>
          <cell r="G40">
            <v>2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C41" t="str">
            <v>A133</v>
          </cell>
          <cell r="D41" t="str">
            <v>JAUHAR ASHFAQUE MUHSIN</v>
          </cell>
          <cell r="E41" t="str">
            <v>D</v>
          </cell>
          <cell r="F41" t="str">
            <v>SUB JUNIOR</v>
          </cell>
          <cell r="G41">
            <v>2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C42" t="str">
            <v>A134</v>
          </cell>
          <cell r="D42" t="str">
            <v>YASEEN MUHAMMED</v>
          </cell>
          <cell r="E42" t="str">
            <v>B</v>
          </cell>
          <cell r="F42" t="str">
            <v>SUB JUNIOR</v>
          </cell>
          <cell r="G42">
            <v>2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C43" t="str">
            <v>A135</v>
          </cell>
          <cell r="D43" t="str">
            <v>MOHAMMED RAFAN A</v>
          </cell>
          <cell r="E43" t="str">
            <v>C</v>
          </cell>
          <cell r="F43" t="str">
            <v>SUB JUNIOR</v>
          </cell>
          <cell r="G43">
            <v>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C44" t="str">
            <v>A136</v>
          </cell>
          <cell r="D44" t="str">
            <v>MUHAMMED UVAIS.P. S</v>
          </cell>
          <cell r="E44" t="str">
            <v>C</v>
          </cell>
          <cell r="F44" t="str">
            <v>SUB JUNIOR</v>
          </cell>
          <cell r="G44">
            <v>2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C45" t="str">
            <v>A137</v>
          </cell>
          <cell r="D45" t="str">
            <v>MOHAMMED SHUAIB K M</v>
          </cell>
          <cell r="E45" t="str">
            <v>B</v>
          </cell>
          <cell r="F45" t="str">
            <v>SUB JUNIOR</v>
          </cell>
          <cell r="G45">
            <v>2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3</v>
          </cell>
          <cell r="S45">
            <v>2</v>
          </cell>
          <cell r="T45">
            <v>3</v>
          </cell>
        </row>
        <row r="46">
          <cell r="C46" t="str">
            <v>A138</v>
          </cell>
          <cell r="D46" t="str">
            <v>ziyad. K. M. C</v>
          </cell>
          <cell r="E46">
            <v>0</v>
          </cell>
          <cell r="F46" t="str">
            <v>SUB JUNIOR</v>
          </cell>
          <cell r="G46">
            <v>2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C47" t="str">
            <v>A139</v>
          </cell>
          <cell r="D47" t="str">
            <v>MUHAMMED MOIDEEN KUNHI</v>
          </cell>
          <cell r="E47" t="str">
            <v>A</v>
          </cell>
          <cell r="F47" t="str">
            <v>SUB JUNIOR</v>
          </cell>
          <cell r="G47">
            <v>2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C48" t="str">
            <v>A140</v>
          </cell>
          <cell r="D48" t="str">
            <v>MUHAMMED AFLAH.MK</v>
          </cell>
          <cell r="E48" t="str">
            <v>A</v>
          </cell>
          <cell r="F48" t="str">
            <v>SUB JUNIOR</v>
          </cell>
          <cell r="G48" t="str">
            <v>NO ISSUES</v>
          </cell>
        </row>
        <row r="49">
          <cell r="C49" t="str">
            <v>A141</v>
          </cell>
          <cell r="D49" t="str">
            <v>MUHAMMED SHUHAIR</v>
          </cell>
          <cell r="E49" t="str">
            <v>D</v>
          </cell>
          <cell r="F49" t="str">
            <v>SUB JUNIOR</v>
          </cell>
          <cell r="G49" t="str">
            <v>NO ISSUES</v>
          </cell>
        </row>
        <row r="50">
          <cell r="C50" t="str">
            <v>A142</v>
          </cell>
          <cell r="D50" t="str">
            <v>Muhammed Anshad A</v>
          </cell>
          <cell r="E50" t="str">
            <v>C</v>
          </cell>
          <cell r="F50" t="str">
            <v>SUB JUNIOR</v>
          </cell>
          <cell r="G50" t="str">
            <v>NO ISSUES</v>
          </cell>
        </row>
        <row r="51">
          <cell r="C51" t="str">
            <v>A143</v>
          </cell>
          <cell r="D51" t="str">
            <v>ABDUL AFEEZ C.F</v>
          </cell>
          <cell r="E51" t="str">
            <v>A</v>
          </cell>
          <cell r="F51" t="str">
            <v>SUB JUNIOR</v>
          </cell>
          <cell r="G51" t="str">
            <v>NO ISSUES</v>
          </cell>
        </row>
        <row r="52">
          <cell r="C52" t="str">
            <v>A144</v>
          </cell>
          <cell r="D52" t="str">
            <v>ABDULLA</v>
          </cell>
          <cell r="E52" t="str">
            <v>D</v>
          </cell>
          <cell r="F52" t="str">
            <v>SUB JUNIOR</v>
          </cell>
          <cell r="G52" t="str">
            <v>NO ISSUES</v>
          </cell>
        </row>
        <row r="53">
          <cell r="C53" t="str">
            <v>A145</v>
          </cell>
          <cell r="D53" t="str">
            <v>ABDULLAH A P</v>
          </cell>
          <cell r="E53" t="str">
            <v>C</v>
          </cell>
          <cell r="F53" t="str">
            <v>SUB JUNIOR</v>
          </cell>
          <cell r="G53" t="str">
            <v>NO ISSUES</v>
          </cell>
        </row>
        <row r="54">
          <cell r="C54" t="str">
            <v>A146</v>
          </cell>
          <cell r="D54" t="str">
            <v>AHAMED ADIL. A</v>
          </cell>
          <cell r="E54" t="str">
            <v>C</v>
          </cell>
          <cell r="F54" t="str">
            <v>SUB JUNIOR</v>
          </cell>
          <cell r="G54" t="str">
            <v>NO ISSUES</v>
          </cell>
        </row>
        <row r="55">
          <cell r="C55" t="str">
            <v>A147</v>
          </cell>
          <cell r="D55" t="str">
            <v>AHMED WALEED K A</v>
          </cell>
          <cell r="E55" t="str">
            <v>B</v>
          </cell>
          <cell r="F55" t="str">
            <v>SUB JUNIOR</v>
          </cell>
          <cell r="G55" t="str">
            <v>NO ISSUES</v>
          </cell>
        </row>
        <row r="56">
          <cell r="C56" t="str">
            <v>A148</v>
          </cell>
          <cell r="D56" t="str">
            <v>AYAAN ABOOBAKAR</v>
          </cell>
          <cell r="E56" t="str">
            <v>C</v>
          </cell>
          <cell r="F56" t="str">
            <v>SUB JUNIOR</v>
          </cell>
          <cell r="G56" t="str">
            <v>NO ISSUES</v>
          </cell>
        </row>
        <row r="57">
          <cell r="C57" t="str">
            <v>A149</v>
          </cell>
          <cell r="D57" t="str">
            <v>FADIL AMEEN ABDULLA</v>
          </cell>
          <cell r="E57" t="str">
            <v>D</v>
          </cell>
          <cell r="F57" t="str">
            <v>SUB JUNIOR</v>
          </cell>
          <cell r="G57" t="str">
            <v>NO ISSUES</v>
          </cell>
        </row>
        <row r="58">
          <cell r="C58" t="str">
            <v>A150</v>
          </cell>
          <cell r="D58" t="str">
            <v>MOHAMED JAWHAR J A</v>
          </cell>
          <cell r="E58" t="str">
            <v>A</v>
          </cell>
          <cell r="F58" t="str">
            <v>SUB JUNIOR</v>
          </cell>
          <cell r="G58" t="str">
            <v>NO ISSUES</v>
          </cell>
        </row>
        <row r="59">
          <cell r="C59" t="str">
            <v>A151</v>
          </cell>
          <cell r="D59" t="str">
            <v>Mohammad Yaseen</v>
          </cell>
          <cell r="E59" t="str">
            <v>A</v>
          </cell>
          <cell r="F59" t="str">
            <v>SUB JUNIOR</v>
          </cell>
          <cell r="G59" t="str">
            <v>NO ISSUES</v>
          </cell>
        </row>
        <row r="60">
          <cell r="C60" t="str">
            <v>A152</v>
          </cell>
          <cell r="D60" t="str">
            <v>MOHAMMED QUBAIB A H</v>
          </cell>
          <cell r="E60" t="str">
            <v>C</v>
          </cell>
          <cell r="F60" t="str">
            <v>SUB JUNIOR</v>
          </cell>
          <cell r="G60" t="str">
            <v>NO ISSUES</v>
          </cell>
        </row>
        <row r="61">
          <cell r="C61" t="str">
            <v>A153</v>
          </cell>
          <cell r="D61" t="str">
            <v>MOHAMMED SAWA T A</v>
          </cell>
          <cell r="E61" t="str">
            <v>A</v>
          </cell>
          <cell r="F61" t="str">
            <v>SUB JUNIOR</v>
          </cell>
          <cell r="G61" t="str">
            <v>NO ISSUES</v>
          </cell>
        </row>
        <row r="62">
          <cell r="C62" t="str">
            <v>A154</v>
          </cell>
          <cell r="D62" t="str">
            <v>MOHAMMED WASIM SHAHAD SM</v>
          </cell>
          <cell r="E62" t="str">
            <v>D</v>
          </cell>
          <cell r="F62" t="str">
            <v>SUB JUNIOR</v>
          </cell>
          <cell r="G62" t="str">
            <v>NO ISSUES</v>
          </cell>
        </row>
        <row r="63">
          <cell r="C63" t="str">
            <v>A155</v>
          </cell>
          <cell r="D63" t="str">
            <v>Muhammad M</v>
          </cell>
          <cell r="E63" t="str">
            <v>D</v>
          </cell>
          <cell r="F63" t="str">
            <v>SUB JUNIOR</v>
          </cell>
          <cell r="G63" t="str">
            <v>NO ISSUES</v>
          </cell>
        </row>
        <row r="64">
          <cell r="C64" t="str">
            <v>A156</v>
          </cell>
          <cell r="D64" t="str">
            <v>MUHAMMAD SHAHSAD HASAN</v>
          </cell>
          <cell r="E64" t="str">
            <v>D</v>
          </cell>
          <cell r="F64" t="str">
            <v>SUB JUNIOR</v>
          </cell>
          <cell r="G64" t="str">
            <v>NO ISSUES</v>
          </cell>
        </row>
        <row r="65">
          <cell r="C65" t="str">
            <v>A157</v>
          </cell>
          <cell r="D65" t="str">
            <v>MUHAMMED ADNAN K.A</v>
          </cell>
          <cell r="E65" t="str">
            <v>A</v>
          </cell>
          <cell r="F65" t="str">
            <v>SUB JUNIOR</v>
          </cell>
          <cell r="G65" t="str">
            <v>NO ISSUES</v>
          </cell>
        </row>
        <row r="66">
          <cell r="C66" t="str">
            <v>A158</v>
          </cell>
          <cell r="D66" t="str">
            <v>Muhammed Anas</v>
          </cell>
          <cell r="E66" t="str">
            <v>B</v>
          </cell>
          <cell r="F66" t="str">
            <v>SUB JUNIOR</v>
          </cell>
          <cell r="G66" t="str">
            <v>NO ISSUES</v>
          </cell>
        </row>
        <row r="67">
          <cell r="C67" t="str">
            <v>A159</v>
          </cell>
          <cell r="D67" t="str">
            <v>MUHAMMED ASHIR M</v>
          </cell>
          <cell r="E67" t="str">
            <v>D</v>
          </cell>
          <cell r="F67" t="str">
            <v>SUB JUNIOR</v>
          </cell>
          <cell r="G67" t="str">
            <v>NO ISSUES</v>
          </cell>
        </row>
        <row r="68">
          <cell r="C68" t="str">
            <v>A160</v>
          </cell>
          <cell r="D68" t="str">
            <v>MUHAMMED AYAAN</v>
          </cell>
          <cell r="E68" t="str">
            <v>D</v>
          </cell>
          <cell r="F68" t="str">
            <v>SUB JUNIOR</v>
          </cell>
          <cell r="G68" t="str">
            <v>NO ISSUES</v>
          </cell>
        </row>
        <row r="69">
          <cell r="C69" t="str">
            <v>A161</v>
          </cell>
          <cell r="D69" t="str">
            <v>MUHAMMED FAHAD</v>
          </cell>
          <cell r="E69" t="str">
            <v>A</v>
          </cell>
          <cell r="F69" t="str">
            <v>SUB JUNIOR</v>
          </cell>
          <cell r="G69" t="str">
            <v>NO ISSUES</v>
          </cell>
        </row>
        <row r="70">
          <cell r="C70" t="str">
            <v>A162</v>
          </cell>
          <cell r="D70" t="str">
            <v>MUHAMMED FAREED A S</v>
          </cell>
          <cell r="E70" t="str">
            <v>A</v>
          </cell>
          <cell r="F70" t="str">
            <v>SUB JUNIOR</v>
          </cell>
          <cell r="G70" t="str">
            <v>NO ISSUES</v>
          </cell>
        </row>
        <row r="71">
          <cell r="C71" t="str">
            <v>A163</v>
          </cell>
          <cell r="D71" t="str">
            <v>MUHAMMED LUQMAN TD</v>
          </cell>
          <cell r="E71" t="str">
            <v>C</v>
          </cell>
          <cell r="F71" t="str">
            <v>SUB JUNIOR</v>
          </cell>
          <cell r="G71" t="str">
            <v>NO ISSUES</v>
          </cell>
        </row>
        <row r="72">
          <cell r="C72" t="str">
            <v>A164</v>
          </cell>
          <cell r="D72" t="str">
            <v>MUHAMMED MICDAD RAMEES A H</v>
          </cell>
          <cell r="E72" t="str">
            <v>B</v>
          </cell>
          <cell r="F72" t="str">
            <v>SUB JUNIOR</v>
          </cell>
          <cell r="G72" t="str">
            <v>NO ISSUES</v>
          </cell>
        </row>
        <row r="73">
          <cell r="C73" t="str">
            <v>A165</v>
          </cell>
          <cell r="D73" t="str">
            <v>MUHAMMED MIDLAJ</v>
          </cell>
          <cell r="E73" t="str">
            <v>B</v>
          </cell>
          <cell r="F73" t="str">
            <v>SUB JUNIOR</v>
          </cell>
          <cell r="G73" t="str">
            <v>NO ISSUES</v>
          </cell>
        </row>
        <row r="74">
          <cell r="C74" t="str">
            <v>A166</v>
          </cell>
          <cell r="D74" t="str">
            <v>Muhammed Naieem</v>
          </cell>
          <cell r="E74" t="str">
            <v>C</v>
          </cell>
          <cell r="F74" t="str">
            <v>SUB JUNIOR</v>
          </cell>
          <cell r="G74" t="str">
            <v>NO ISSUES</v>
          </cell>
        </row>
        <row r="75">
          <cell r="C75" t="str">
            <v>A167</v>
          </cell>
          <cell r="D75" t="str">
            <v>MUHAMMED RAEES C A</v>
          </cell>
          <cell r="E75" t="str">
            <v>C</v>
          </cell>
          <cell r="F75" t="str">
            <v>SUB JUNIOR</v>
          </cell>
          <cell r="G75" t="str">
            <v>NO ISSUES</v>
          </cell>
        </row>
        <row r="76">
          <cell r="C76" t="str">
            <v>A168</v>
          </cell>
          <cell r="D76" t="str">
            <v>Muhammed Sinan D A</v>
          </cell>
          <cell r="E76" t="str">
            <v>D</v>
          </cell>
          <cell r="F76" t="str">
            <v>SUB JUNIOR</v>
          </cell>
          <cell r="G76" t="str">
            <v>NO ISSUES</v>
          </cell>
        </row>
        <row r="77">
          <cell r="C77" t="str">
            <v>A169</v>
          </cell>
          <cell r="D77" t="str">
            <v>NAZWAN MOHAMMED</v>
          </cell>
          <cell r="E77" t="str">
            <v>A</v>
          </cell>
          <cell r="F77" t="str">
            <v>SUB JUNIOR</v>
          </cell>
          <cell r="G77" t="str">
            <v>NO ISSUES</v>
          </cell>
        </row>
        <row r="78">
          <cell r="C78" t="str">
            <v>A170</v>
          </cell>
          <cell r="D78" t="str">
            <v>P.V.AHMAD ANAS</v>
          </cell>
          <cell r="E78" t="str">
            <v>B</v>
          </cell>
          <cell r="F78" t="str">
            <v>SUB JUNIOR</v>
          </cell>
          <cell r="G78" t="str">
            <v>NO ISSUES</v>
          </cell>
        </row>
        <row r="79">
          <cell r="C79" t="str">
            <v>A171</v>
          </cell>
          <cell r="D79" t="str">
            <v>SAYYED MOHAMMED SINAN AM</v>
          </cell>
          <cell r="E79" t="str">
            <v>B</v>
          </cell>
          <cell r="F79" t="str">
            <v>SUB JUNIOR</v>
          </cell>
          <cell r="G79" t="str">
            <v>NO ISSUES</v>
          </cell>
        </row>
        <row r="80">
          <cell r="C80" t="str">
            <v>A172</v>
          </cell>
          <cell r="D80" t="str">
            <v>SAYYED MUHAMMED ABOOBACKER</v>
          </cell>
          <cell r="E80" t="str">
            <v>B</v>
          </cell>
          <cell r="F80" t="str">
            <v>SUB JUNIOR</v>
          </cell>
          <cell r="G80">
            <v>6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C81" t="str">
            <v>A173</v>
          </cell>
          <cell r="D81" t="str">
            <v>SHAHUL HAMEED B.I</v>
          </cell>
          <cell r="E81" t="str">
            <v>C</v>
          </cell>
          <cell r="F81" t="str">
            <v>SUB JUNIOR</v>
          </cell>
          <cell r="G81">
            <v>6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C82" t="str">
            <v>A174</v>
          </cell>
          <cell r="D82" t="str">
            <v>THUFAIL</v>
          </cell>
          <cell r="E82" t="str">
            <v>B</v>
          </cell>
          <cell r="F82" t="str">
            <v>SUB JUNIOR</v>
          </cell>
          <cell r="G82">
            <v>6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</row>
        <row r="83">
          <cell r="C83" t="str">
            <v>A175</v>
          </cell>
          <cell r="D83" t="str">
            <v>YOUSUF FAHEEM P</v>
          </cell>
          <cell r="E83" t="str">
            <v>B</v>
          </cell>
          <cell r="F83" t="str">
            <v>SUB JUNIOR</v>
          </cell>
          <cell r="G83">
            <v>6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</row>
        <row r="84">
          <cell r="C84" t="str">
            <v>B100</v>
          </cell>
          <cell r="D84" t="str">
            <v>ZAINUL ABID K</v>
          </cell>
          <cell r="E84" t="str">
            <v>C</v>
          </cell>
          <cell r="F84" t="str">
            <v>JUNIOR</v>
          </cell>
          <cell r="G84">
            <v>6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  <row r="85">
          <cell r="C85" t="str">
            <v>B101</v>
          </cell>
          <cell r="D85" t="str">
            <v>AHMED AFRAZ MB</v>
          </cell>
          <cell r="E85" t="str">
            <v>B</v>
          </cell>
          <cell r="F85" t="str">
            <v>JUNIOR</v>
          </cell>
          <cell r="G85">
            <v>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</row>
        <row r="86">
          <cell r="C86" t="str">
            <v>B102</v>
          </cell>
          <cell r="D86" t="str">
            <v>AHMAD MUBASHAR</v>
          </cell>
          <cell r="E86" t="str">
            <v>A</v>
          </cell>
          <cell r="F86" t="str">
            <v>JUNIOR</v>
          </cell>
          <cell r="G86">
            <v>6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</row>
        <row r="87">
          <cell r="C87" t="str">
            <v>B103</v>
          </cell>
          <cell r="D87" t="str">
            <v>MOHAMMED NAFIH BA</v>
          </cell>
          <cell r="E87" t="str">
            <v>C</v>
          </cell>
          <cell r="F87" t="str">
            <v>JUNIOR</v>
          </cell>
          <cell r="G87">
            <v>6</v>
          </cell>
          <cell r="I87">
            <v>1</v>
          </cell>
          <cell r="J87">
            <v>4</v>
          </cell>
          <cell r="K87">
            <v>0</v>
          </cell>
          <cell r="L87">
            <v>4</v>
          </cell>
        </row>
        <row r="88">
          <cell r="C88" t="str">
            <v>B104</v>
          </cell>
          <cell r="D88" t="str">
            <v>FAKRUDDIN NAFIL</v>
          </cell>
          <cell r="E88" t="str">
            <v>A</v>
          </cell>
          <cell r="F88" t="str">
            <v>JUNIOR</v>
          </cell>
          <cell r="G88">
            <v>6</v>
          </cell>
          <cell r="I88">
            <v>1</v>
          </cell>
          <cell r="J88">
            <v>1</v>
          </cell>
          <cell r="K88">
            <v>0</v>
          </cell>
          <cell r="L88">
            <v>1</v>
          </cell>
        </row>
        <row r="89">
          <cell r="C89" t="str">
            <v>B105</v>
          </cell>
          <cell r="D89" t="str">
            <v>HASAN THAMMEEM</v>
          </cell>
          <cell r="E89" t="str">
            <v>D</v>
          </cell>
          <cell r="F89" t="str">
            <v>JUNIOR</v>
          </cell>
          <cell r="G89">
            <v>6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</row>
        <row r="90">
          <cell r="C90" t="str">
            <v>B106</v>
          </cell>
          <cell r="D90" t="str">
            <v>MUHAMMED ROUHAN M.K</v>
          </cell>
          <cell r="E90" t="str">
            <v>C</v>
          </cell>
          <cell r="F90" t="str">
            <v>JUNIOR</v>
          </cell>
          <cell r="G90">
            <v>6</v>
          </cell>
          <cell r="I90">
            <v>0</v>
          </cell>
          <cell r="J90">
            <v>0</v>
          </cell>
          <cell r="K90">
            <v>0</v>
          </cell>
          <cell r="L90">
            <v>1</v>
          </cell>
        </row>
        <row r="91">
          <cell r="C91" t="str">
            <v>B107</v>
          </cell>
          <cell r="D91" t="str">
            <v>MUHAMMED ZAMIL</v>
          </cell>
          <cell r="E91" t="str">
            <v>D</v>
          </cell>
          <cell r="F91" t="str">
            <v>JUNIOR</v>
          </cell>
          <cell r="G91">
            <v>6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</row>
        <row r="92">
          <cell r="C92" t="str">
            <v>B108</v>
          </cell>
          <cell r="D92" t="str">
            <v>ABDUL RAHIMAN FAIZ T A</v>
          </cell>
          <cell r="E92" t="str">
            <v>D</v>
          </cell>
          <cell r="F92" t="str">
            <v>JUNIOR</v>
          </cell>
          <cell r="G92">
            <v>6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</row>
        <row r="93">
          <cell r="C93" t="str">
            <v>B109</v>
          </cell>
          <cell r="D93" t="str">
            <v>AHAMMED SAFAR ZAKARIYA</v>
          </cell>
          <cell r="E93" t="str">
            <v>B</v>
          </cell>
          <cell r="F93" t="str">
            <v>JUNIOR</v>
          </cell>
          <cell r="G93">
            <v>6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C94" t="str">
            <v>B110</v>
          </cell>
          <cell r="D94" t="str">
            <v>MUHAMMED MUHAZ P A</v>
          </cell>
          <cell r="E94" t="str">
            <v>B</v>
          </cell>
          <cell r="F94" t="str">
            <v>JUNIOR</v>
          </cell>
          <cell r="G94">
            <v>6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</row>
        <row r="95">
          <cell r="C95" t="str">
            <v>B111</v>
          </cell>
          <cell r="D95" t="str">
            <v>MUHAMMED SAHEEM ASHRAF</v>
          </cell>
          <cell r="E95" t="str">
            <v>A</v>
          </cell>
          <cell r="F95" t="str">
            <v>JUNIOR</v>
          </cell>
          <cell r="G95">
            <v>6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</row>
        <row r="96">
          <cell r="C96" t="str">
            <v>B112</v>
          </cell>
          <cell r="D96" t="str">
            <v>SHARAZ AHAMMED</v>
          </cell>
          <cell r="E96" t="str">
            <v>A</v>
          </cell>
          <cell r="F96" t="str">
            <v>JUNIOR</v>
          </cell>
          <cell r="G96">
            <v>6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</row>
        <row r="97">
          <cell r="C97" t="str">
            <v>B113</v>
          </cell>
          <cell r="D97" t="str">
            <v>MUHAMMED IHTHISHAM P I</v>
          </cell>
          <cell r="E97" t="str">
            <v>C</v>
          </cell>
          <cell r="F97" t="str">
            <v>JUNIOR</v>
          </cell>
          <cell r="G97">
            <v>6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C98" t="str">
            <v>B114</v>
          </cell>
          <cell r="D98" t="str">
            <v>AMEEN RAHMAN MTP</v>
          </cell>
          <cell r="E98" t="str">
            <v>B</v>
          </cell>
          <cell r="F98" t="str">
            <v>JUNIOR</v>
          </cell>
          <cell r="G98">
            <v>6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</row>
        <row r="99">
          <cell r="C99" t="str">
            <v>B115</v>
          </cell>
          <cell r="D99" t="str">
            <v>HASSAN SAHAL N A</v>
          </cell>
          <cell r="E99" t="str">
            <v>A</v>
          </cell>
          <cell r="F99" t="str">
            <v>JUNIOR</v>
          </cell>
          <cell r="G99">
            <v>6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</row>
        <row r="100">
          <cell r="C100" t="str">
            <v>B116</v>
          </cell>
          <cell r="D100" t="str">
            <v>MOHAMMED SABIK BM</v>
          </cell>
          <cell r="E100" t="str">
            <v>D</v>
          </cell>
          <cell r="F100" t="str">
            <v>JUNIOR</v>
          </cell>
          <cell r="G100">
            <v>6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C101" t="str">
            <v>B117</v>
          </cell>
          <cell r="D101" t="str">
            <v>MUHAMMAD SABITH V K P</v>
          </cell>
          <cell r="E101" t="str">
            <v>C</v>
          </cell>
          <cell r="F101" t="str">
            <v>JUNIOR</v>
          </cell>
          <cell r="G101">
            <v>6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C102" t="str">
            <v>B118</v>
          </cell>
          <cell r="D102" t="str">
            <v>Muhammad Muaaz</v>
          </cell>
          <cell r="E102" t="str">
            <v>D</v>
          </cell>
          <cell r="F102" t="str">
            <v>JUNIOR</v>
          </cell>
          <cell r="G102">
            <v>6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</row>
        <row r="103">
          <cell r="C103" t="str">
            <v>B119</v>
          </cell>
          <cell r="D103" t="str">
            <v>ABDUL SA-AD</v>
          </cell>
          <cell r="E103" t="str">
            <v>D</v>
          </cell>
          <cell r="F103" t="str">
            <v>JUNIOR</v>
          </cell>
          <cell r="G103">
            <v>6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</row>
        <row r="104">
          <cell r="C104" t="str">
            <v>B120</v>
          </cell>
          <cell r="D104" t="str">
            <v>MOHAMMED RIYAN</v>
          </cell>
          <cell r="E104" t="str">
            <v>A</v>
          </cell>
          <cell r="F104" t="str">
            <v>JUNIOR</v>
          </cell>
          <cell r="G104">
            <v>6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C105" t="str">
            <v>B121</v>
          </cell>
          <cell r="D105" t="str">
            <v>MOHIDDEEN SHAHSHAD</v>
          </cell>
          <cell r="E105" t="str">
            <v>C</v>
          </cell>
          <cell r="F105" t="str">
            <v>JUNIOR</v>
          </cell>
          <cell r="G105">
            <v>6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C106" t="str">
            <v>B122</v>
          </cell>
          <cell r="D106" t="str">
            <v>MUHAMMAD FAYIZ B</v>
          </cell>
          <cell r="E106" t="str">
            <v>B</v>
          </cell>
          <cell r="F106" t="str">
            <v>JUNIOR</v>
          </cell>
          <cell r="G106">
            <v>6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C107" t="str">
            <v>B123</v>
          </cell>
          <cell r="D107" t="str">
            <v>MUHAMMED YASEEN</v>
          </cell>
          <cell r="E107" t="str">
            <v>A</v>
          </cell>
          <cell r="F107" t="str">
            <v>JUNIOR</v>
          </cell>
          <cell r="G107">
            <v>6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C108" t="str">
            <v>B124</v>
          </cell>
          <cell r="D108" t="str">
            <v>MOHAMMED RAED. UA</v>
          </cell>
          <cell r="E108" t="str">
            <v>B</v>
          </cell>
          <cell r="F108" t="str">
            <v>JUNIOR</v>
          </cell>
          <cell r="G108">
            <v>6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C109" t="str">
            <v>B125</v>
          </cell>
          <cell r="D109" t="str">
            <v>MUHAMMED SHANIFM P</v>
          </cell>
          <cell r="E109" t="str">
            <v>B</v>
          </cell>
          <cell r="F109" t="str">
            <v>JUNIOR</v>
          </cell>
          <cell r="G109">
            <v>6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C110" t="str">
            <v>B126</v>
          </cell>
          <cell r="D110" t="str">
            <v>AHAMMED JABIR K H</v>
          </cell>
          <cell r="E110" t="str">
            <v>D</v>
          </cell>
          <cell r="F110" t="str">
            <v>JUNIOR</v>
          </cell>
          <cell r="G110">
            <v>6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C111" t="str">
            <v>B127</v>
          </cell>
          <cell r="D111" t="str">
            <v>THANSEEHU RAHMAN</v>
          </cell>
          <cell r="E111" t="str">
            <v>B</v>
          </cell>
          <cell r="F111" t="str">
            <v>JUNIOR</v>
          </cell>
          <cell r="G111">
            <v>6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C112" t="str">
            <v>B128</v>
          </cell>
          <cell r="D112" t="str">
            <v>MOHAMMED AFNAN</v>
          </cell>
          <cell r="E112" t="str">
            <v>C</v>
          </cell>
          <cell r="F112" t="str">
            <v>JUNIOR</v>
          </cell>
          <cell r="G112">
            <v>6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C113" t="str">
            <v>B129</v>
          </cell>
          <cell r="D113" t="str">
            <v>MOHAMMED SABITH KU</v>
          </cell>
          <cell r="E113" t="str">
            <v>A</v>
          </cell>
          <cell r="F113" t="str">
            <v>JUNIOR</v>
          </cell>
          <cell r="G113">
            <v>6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C114" t="str">
            <v>B130</v>
          </cell>
          <cell r="D114" t="str">
            <v>HAFIL ADIL AMANULLAH K K</v>
          </cell>
          <cell r="E114" t="str">
            <v>A</v>
          </cell>
          <cell r="F114" t="str">
            <v>JUNIOR</v>
          </cell>
          <cell r="G114">
            <v>6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C115" t="str">
            <v>B131</v>
          </cell>
          <cell r="D115" t="str">
            <v>MUHAMMED BASSIM. E</v>
          </cell>
          <cell r="E115" t="str">
            <v>D</v>
          </cell>
          <cell r="F115" t="str">
            <v>JUNIOR</v>
          </cell>
          <cell r="G115">
            <v>6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C116" t="str">
            <v>B132</v>
          </cell>
          <cell r="D116" t="str">
            <v>MUHAMMED SAEED THUFAIL</v>
          </cell>
          <cell r="E116" t="str">
            <v>B</v>
          </cell>
          <cell r="F116" t="str">
            <v>JUNIOR</v>
          </cell>
          <cell r="G116">
            <v>6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C117" t="str">
            <v>B133</v>
          </cell>
          <cell r="D117" t="str">
            <v>MEERAN MOHIUDHEEN RAFIH</v>
          </cell>
          <cell r="E117" t="str">
            <v>D</v>
          </cell>
          <cell r="F117" t="str">
            <v>JUNIOR</v>
          </cell>
          <cell r="G117">
            <v>6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C118" t="str">
            <v>B134</v>
          </cell>
          <cell r="D118" t="str">
            <v>ABDUL RAHIMAN AZAAN</v>
          </cell>
          <cell r="E118" t="str">
            <v>D</v>
          </cell>
          <cell r="F118" t="str">
            <v>JUNIOR</v>
          </cell>
          <cell r="G118">
            <v>6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C119" t="str">
            <v>B135</v>
          </cell>
          <cell r="D119" t="str">
            <v>MOHAMMED RAFIH M R</v>
          </cell>
          <cell r="E119" t="str">
            <v>A</v>
          </cell>
          <cell r="F119" t="str">
            <v>JUNIOR</v>
          </cell>
          <cell r="G119">
            <v>6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C120" t="str">
            <v>B136</v>
          </cell>
          <cell r="D120" t="str">
            <v>MUHAMMAD MIJVAD K</v>
          </cell>
          <cell r="E120" t="str">
            <v>C</v>
          </cell>
          <cell r="F120" t="str">
            <v>JUNIOR</v>
          </cell>
          <cell r="G120">
            <v>6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C121" t="str">
            <v>B137</v>
          </cell>
          <cell r="D121" t="str">
            <v>MOHAMMAD IJAN</v>
          </cell>
          <cell r="E121" t="str">
            <v>C</v>
          </cell>
          <cell r="F121" t="str">
            <v>JUNIOR</v>
          </cell>
          <cell r="G121">
            <v>6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C122" t="str">
            <v>B138</v>
          </cell>
          <cell r="D122" t="str">
            <v>HABEEB RAHMAN CA</v>
          </cell>
          <cell r="E122" t="str">
            <v>C</v>
          </cell>
          <cell r="F122" t="str">
            <v>JUNIOR</v>
          </cell>
          <cell r="G122">
            <v>6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</row>
        <row r="123">
          <cell r="C123" t="str">
            <v>B139</v>
          </cell>
          <cell r="D123" t="str">
            <v>Muhammad</v>
          </cell>
          <cell r="E123" t="str">
            <v>B</v>
          </cell>
          <cell r="F123" t="str">
            <v>JUNIOR</v>
          </cell>
          <cell r="G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</row>
        <row r="124">
          <cell r="C124" t="str">
            <v>B140</v>
          </cell>
          <cell r="D124" t="str">
            <v>MOHAMMED SHAHID</v>
          </cell>
          <cell r="E124" t="str">
            <v>C</v>
          </cell>
          <cell r="F124" t="str">
            <v>JUNIOR</v>
          </cell>
          <cell r="G124">
            <v>6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</row>
        <row r="125">
          <cell r="C125" t="str">
            <v>B141</v>
          </cell>
          <cell r="D125" t="str">
            <v>RAFNAS P</v>
          </cell>
          <cell r="E125" t="str">
            <v>A</v>
          </cell>
          <cell r="F125" t="str">
            <v>JUNIOR</v>
          </cell>
          <cell r="G125">
            <v>6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</row>
        <row r="126">
          <cell r="C126" t="str">
            <v>B142</v>
          </cell>
          <cell r="D126" t="str">
            <v>MUHAMMED HAMDAN A.P</v>
          </cell>
          <cell r="E126" t="str">
            <v>C</v>
          </cell>
          <cell r="F126" t="str">
            <v>JUNIOR</v>
          </cell>
          <cell r="G126">
            <v>6</v>
          </cell>
          <cell r="I126">
            <v>0</v>
          </cell>
          <cell r="J126">
            <v>2</v>
          </cell>
          <cell r="K126">
            <v>0</v>
          </cell>
          <cell r="L126">
            <v>2</v>
          </cell>
        </row>
        <row r="127">
          <cell r="C127" t="str">
            <v>B143</v>
          </cell>
          <cell r="D127" t="str">
            <v>MOHAMMED SHADIL AP</v>
          </cell>
          <cell r="E127" t="str">
            <v>A</v>
          </cell>
          <cell r="F127" t="str">
            <v>JUNIOR</v>
          </cell>
          <cell r="G127">
            <v>5</v>
          </cell>
          <cell r="I127">
            <v>0</v>
          </cell>
          <cell r="J127">
            <v>1</v>
          </cell>
          <cell r="K127">
            <v>0</v>
          </cell>
          <cell r="L127">
            <v>1</v>
          </cell>
        </row>
        <row r="128">
          <cell r="C128" t="str">
            <v>B144</v>
          </cell>
          <cell r="D128" t="str">
            <v>MUHAMMED NAFIH CI</v>
          </cell>
          <cell r="E128" t="str">
            <v>A</v>
          </cell>
          <cell r="F128" t="str">
            <v>JUNIOR</v>
          </cell>
          <cell r="G128">
            <v>6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C129" t="str">
            <v>B145</v>
          </cell>
          <cell r="D129" t="str">
            <v>YASEEN NOORULLA PH</v>
          </cell>
          <cell r="E129" t="str">
            <v>A</v>
          </cell>
          <cell r="F129" t="str">
            <v>JUNIOR</v>
          </cell>
          <cell r="G129">
            <v>6</v>
          </cell>
          <cell r="I129">
            <v>0</v>
          </cell>
          <cell r="J129">
            <v>0</v>
          </cell>
          <cell r="K129">
            <v>0</v>
          </cell>
          <cell r="L129">
            <v>1</v>
          </cell>
        </row>
        <row r="130">
          <cell r="C130" t="str">
            <v>B146</v>
          </cell>
          <cell r="D130" t="str">
            <v>WASEEM NIHAD A M</v>
          </cell>
          <cell r="E130" t="str">
            <v>C</v>
          </cell>
          <cell r="F130" t="str">
            <v>JUNIOR</v>
          </cell>
          <cell r="G130">
            <v>6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</row>
        <row r="131">
          <cell r="C131" t="str">
            <v>B147</v>
          </cell>
          <cell r="D131" t="str">
            <v>MOHAMMED SHAMEEM B K</v>
          </cell>
          <cell r="E131" t="str">
            <v>D</v>
          </cell>
          <cell r="F131" t="str">
            <v>JUNIOR</v>
          </cell>
          <cell r="G131">
            <v>6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</row>
        <row r="132">
          <cell r="C132" t="str">
            <v>B148</v>
          </cell>
          <cell r="D132" t="str">
            <v>MOHAMMED BAQIR TS</v>
          </cell>
          <cell r="E132" t="str">
            <v>D</v>
          </cell>
          <cell r="F132" t="str">
            <v>JUNIOR</v>
          </cell>
          <cell r="G132">
            <v>6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</row>
        <row r="133">
          <cell r="C133" t="str">
            <v>B149</v>
          </cell>
          <cell r="D133" t="str">
            <v>MUHAMMED FARHAN PH</v>
          </cell>
          <cell r="E133" t="str">
            <v>B</v>
          </cell>
          <cell r="F133" t="str">
            <v>JUNIOR</v>
          </cell>
          <cell r="G133">
            <v>6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</row>
        <row r="134">
          <cell r="C134" t="str">
            <v>B150</v>
          </cell>
          <cell r="D134" t="str">
            <v>ABDULLA FAHAD T.U</v>
          </cell>
          <cell r="E134" t="str">
            <v>A</v>
          </cell>
          <cell r="F134" t="str">
            <v>JUNIOR</v>
          </cell>
          <cell r="G134">
            <v>6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</row>
        <row r="135">
          <cell r="C135" t="str">
            <v>B151</v>
          </cell>
          <cell r="D135" t="str">
            <v>ABDUL GAFOOR</v>
          </cell>
          <cell r="E135" t="str">
            <v>C</v>
          </cell>
          <cell r="F135" t="str">
            <v>JUNIOR</v>
          </cell>
          <cell r="G135">
            <v>6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</row>
        <row r="136">
          <cell r="C136" t="str">
            <v>B152</v>
          </cell>
          <cell r="D136" t="str">
            <v>MUHAMMED MUNAZIR MM</v>
          </cell>
          <cell r="E136" t="str">
            <v>D</v>
          </cell>
          <cell r="F136" t="str">
            <v>JUNIOR</v>
          </cell>
          <cell r="G136">
            <v>6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</row>
        <row r="137">
          <cell r="C137" t="str">
            <v>B153</v>
          </cell>
          <cell r="D137" t="str">
            <v>ABDUL KHADER ISHAQUE</v>
          </cell>
          <cell r="E137" t="str">
            <v>C</v>
          </cell>
          <cell r="F137" t="str">
            <v>JUNIOR</v>
          </cell>
          <cell r="G137">
            <v>6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</row>
        <row r="138">
          <cell r="C138" t="str">
            <v>B154</v>
          </cell>
          <cell r="D138" t="str">
            <v>ABDULLA ALBAS</v>
          </cell>
          <cell r="E138" t="str">
            <v>B</v>
          </cell>
          <cell r="F138" t="str">
            <v>JUNIOR</v>
          </cell>
          <cell r="G138">
            <v>6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C139" t="str">
            <v>B155</v>
          </cell>
          <cell r="D139" t="str">
            <v>MUHAMMED A</v>
          </cell>
          <cell r="E139" t="str">
            <v>B</v>
          </cell>
          <cell r="F139" t="str">
            <v>JUNIOR</v>
          </cell>
          <cell r="G139">
            <v>6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C140" t="str">
            <v>B156</v>
          </cell>
          <cell r="D140" t="str">
            <v>MOHAMMED ANAS A.A</v>
          </cell>
          <cell r="E140" t="str">
            <v>D</v>
          </cell>
          <cell r="F140" t="str">
            <v>JUNIOR</v>
          </cell>
          <cell r="G140">
            <v>6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C141" t="str">
            <v>B157</v>
          </cell>
          <cell r="D141" t="str">
            <v>MUHAMMED MIHRAZ</v>
          </cell>
          <cell r="E141" t="str">
            <v>A</v>
          </cell>
          <cell r="F141" t="str">
            <v>JUNIOR</v>
          </cell>
          <cell r="G141">
            <v>6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C142" t="str">
            <v>B158</v>
          </cell>
          <cell r="D142" t="str">
            <v>FADIL MOHAMMED K M</v>
          </cell>
          <cell r="E142" t="str">
            <v>B</v>
          </cell>
          <cell r="F142" t="str">
            <v>JUNIOR</v>
          </cell>
          <cell r="G142">
            <v>6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C143" t="str">
            <v>B159</v>
          </cell>
          <cell r="D143" t="str">
            <v>AJMAL AHMED MT</v>
          </cell>
          <cell r="E143" t="str">
            <v>B</v>
          </cell>
          <cell r="F143" t="str">
            <v>JUNIOR</v>
          </cell>
          <cell r="G143">
            <v>6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C144" t="str">
            <v>B160</v>
          </cell>
          <cell r="D144" t="str">
            <v>MOHAMMED DAWOOD K</v>
          </cell>
          <cell r="E144" t="str">
            <v>D</v>
          </cell>
          <cell r="F144" t="str">
            <v>JUNIOR</v>
          </cell>
          <cell r="G144">
            <v>6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C145" t="str">
            <v>B161</v>
          </cell>
          <cell r="D145" t="str">
            <v>MUHAMMED RAZI TM</v>
          </cell>
          <cell r="E145" t="str">
            <v>B</v>
          </cell>
          <cell r="F145" t="str">
            <v>JUNIOR</v>
          </cell>
          <cell r="G145">
            <v>6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C146" t="str">
            <v>B162</v>
          </cell>
          <cell r="D146" t="str">
            <v>RAYHAN PH</v>
          </cell>
          <cell r="E146" t="str">
            <v>D</v>
          </cell>
          <cell r="F146" t="str">
            <v>JUNIOR</v>
          </cell>
          <cell r="G146">
            <v>6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C147" t="str">
            <v>B163</v>
          </cell>
          <cell r="D147" t="str">
            <v>MOHAMMED YOUNUS</v>
          </cell>
          <cell r="E147" t="str">
            <v>D</v>
          </cell>
          <cell r="F147" t="str">
            <v>JUNIOR</v>
          </cell>
          <cell r="G147">
            <v>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C148" t="str">
            <v>B164</v>
          </cell>
          <cell r="D148" t="str">
            <v>RASALUL AMEEN T</v>
          </cell>
          <cell r="E148" t="str">
            <v>C</v>
          </cell>
          <cell r="F148" t="str">
            <v>JUNIOR</v>
          </cell>
          <cell r="G148">
            <v>5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C149" t="str">
            <v>C100</v>
          </cell>
          <cell r="D149" t="str">
            <v>IBRAHIM AFIL</v>
          </cell>
          <cell r="E149" t="str">
            <v>B</v>
          </cell>
          <cell r="F149" t="str">
            <v>SENIOR</v>
          </cell>
          <cell r="G149">
            <v>6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C150" t="str">
            <v>C101</v>
          </cell>
          <cell r="D150" t="str">
            <v>MUHAMMED KASHIF</v>
          </cell>
          <cell r="E150" t="str">
            <v>A</v>
          </cell>
          <cell r="F150" t="str">
            <v>SENIOR</v>
          </cell>
          <cell r="G150">
            <v>5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C151" t="str">
            <v>C102</v>
          </cell>
          <cell r="D151" t="str">
            <v>AHAMMED MAHSHOOK M.B</v>
          </cell>
          <cell r="E151" t="str">
            <v>B</v>
          </cell>
          <cell r="F151" t="str">
            <v>SENIOR</v>
          </cell>
          <cell r="G151">
            <v>6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C152" t="str">
            <v>C103</v>
          </cell>
          <cell r="D152" t="str">
            <v>MUHAMMED ABDUL KADER</v>
          </cell>
          <cell r="E152" t="str">
            <v>C</v>
          </cell>
          <cell r="F152" t="str">
            <v>SENIOR</v>
          </cell>
          <cell r="G152">
            <v>6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C153" t="str">
            <v>C104</v>
          </cell>
          <cell r="D153" t="str">
            <v>HADIL RIJAS</v>
          </cell>
          <cell r="E153" t="str">
            <v>C</v>
          </cell>
          <cell r="F153" t="str">
            <v>SENIOR</v>
          </cell>
          <cell r="G153">
            <v>6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C154" t="str">
            <v>C105</v>
          </cell>
          <cell r="D154" t="str">
            <v>AHMAD MANAL KUDINGILA</v>
          </cell>
          <cell r="E154" t="str">
            <v>D</v>
          </cell>
          <cell r="F154" t="str">
            <v>SENIOR</v>
          </cell>
          <cell r="G154">
            <v>6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C155" t="str">
            <v>C106</v>
          </cell>
          <cell r="D155" t="str">
            <v>ABDUL RAHMAN ANFHAL M I</v>
          </cell>
          <cell r="E155" t="str">
            <v>C</v>
          </cell>
          <cell r="F155" t="str">
            <v>SENIOR</v>
          </cell>
          <cell r="G155">
            <v>6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C156" t="str">
            <v>C107</v>
          </cell>
          <cell r="D156" t="str">
            <v>ADIL ABDULLA A</v>
          </cell>
          <cell r="E156" t="str">
            <v>B</v>
          </cell>
          <cell r="F156" t="str">
            <v>SENIOR</v>
          </cell>
          <cell r="G156">
            <v>6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C157" t="str">
            <v>C108</v>
          </cell>
          <cell r="D157" t="str">
            <v>ABDULLA SALMAN FARIS M</v>
          </cell>
          <cell r="E157" t="str">
            <v>A</v>
          </cell>
          <cell r="F157" t="str">
            <v>SENIOR</v>
          </cell>
          <cell r="G157">
            <v>6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C158" t="str">
            <v>C109</v>
          </cell>
          <cell r="D158" t="str">
            <v>ABDULLA FARHAN M</v>
          </cell>
          <cell r="E158" t="str">
            <v>C</v>
          </cell>
          <cell r="F158" t="str">
            <v>SENIOR</v>
          </cell>
          <cell r="G158">
            <v>6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C159" t="str">
            <v>C110</v>
          </cell>
          <cell r="D159" t="str">
            <v>SHADIL AHAMED</v>
          </cell>
          <cell r="E159" t="str">
            <v>B</v>
          </cell>
          <cell r="F159" t="str">
            <v>SENIOR</v>
          </cell>
          <cell r="G159">
            <v>6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C160" t="str">
            <v>C111</v>
          </cell>
          <cell r="D160" t="str">
            <v>MUHAMMAD ISMAIL HAMDULLA V K</v>
          </cell>
          <cell r="E160" t="str">
            <v>D</v>
          </cell>
          <cell r="F160" t="str">
            <v>SENIOR</v>
          </cell>
          <cell r="G160">
            <v>6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C161" t="str">
            <v>C112</v>
          </cell>
          <cell r="D161" t="str">
            <v>MOHAMMED SA'DUDDEEN K</v>
          </cell>
          <cell r="E161" t="str">
            <v>A</v>
          </cell>
          <cell r="F161" t="str">
            <v>SENIOR</v>
          </cell>
          <cell r="G161">
            <v>6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C162" t="str">
            <v>C113</v>
          </cell>
          <cell r="D162" t="str">
            <v>SEYYAD MUHAMMED FAHMAN</v>
          </cell>
          <cell r="E162" t="str">
            <v>D</v>
          </cell>
          <cell r="F162" t="str">
            <v>SENIOR</v>
          </cell>
          <cell r="G162">
            <v>5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C163" t="str">
            <v>C114</v>
          </cell>
          <cell r="D163" t="str">
            <v>AJMAL RUWAIS</v>
          </cell>
          <cell r="E163" t="str">
            <v>C</v>
          </cell>
          <cell r="F163" t="str">
            <v>SENIOR</v>
          </cell>
          <cell r="G163">
            <v>6</v>
          </cell>
          <cell r="I163">
            <v>0</v>
          </cell>
          <cell r="J163">
            <v>1</v>
          </cell>
          <cell r="K163">
            <v>0</v>
          </cell>
          <cell r="L163">
            <v>1</v>
          </cell>
        </row>
        <row r="164">
          <cell r="C164" t="str">
            <v>C115</v>
          </cell>
          <cell r="D164" t="str">
            <v>MOHAMMED ABDUL KHADER K</v>
          </cell>
          <cell r="E164" t="str">
            <v>A</v>
          </cell>
          <cell r="F164" t="str">
            <v>SENIOR</v>
          </cell>
          <cell r="G164">
            <v>6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C165" t="str">
            <v>C116</v>
          </cell>
          <cell r="D165" t="str">
            <v>MUAHMMED ANAS P A</v>
          </cell>
          <cell r="E165" t="str">
            <v>D</v>
          </cell>
          <cell r="F165" t="str">
            <v>SENIOR</v>
          </cell>
          <cell r="G165">
            <v>6</v>
          </cell>
          <cell r="I165">
            <v>1</v>
          </cell>
          <cell r="J165">
            <v>1</v>
          </cell>
          <cell r="K165">
            <v>0</v>
          </cell>
          <cell r="L165">
            <v>1</v>
          </cell>
        </row>
        <row r="166">
          <cell r="C166" t="str">
            <v>C117</v>
          </cell>
          <cell r="D166" t="str">
            <v>Muhammed fahiz A K</v>
          </cell>
          <cell r="E166" t="str">
            <v>B</v>
          </cell>
          <cell r="F166" t="str">
            <v>SENIOR</v>
          </cell>
          <cell r="G166">
            <v>6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C167" t="str">
            <v>C118</v>
          </cell>
          <cell r="D167" t="str">
            <v>MUHAMMAD SHAMMAS</v>
          </cell>
          <cell r="E167" t="str">
            <v>A</v>
          </cell>
          <cell r="F167" t="str">
            <v>SENIOR</v>
          </cell>
          <cell r="G167">
            <v>6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C168" t="str">
            <v>C119</v>
          </cell>
          <cell r="D168" t="str">
            <v>ARIFUDEEN ABBAS A</v>
          </cell>
          <cell r="E168" t="str">
            <v>D</v>
          </cell>
          <cell r="F168" t="str">
            <v>SENIOR</v>
          </cell>
          <cell r="G168">
            <v>5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C169" t="str">
            <v>C120</v>
          </cell>
          <cell r="D169" t="str">
            <v>MAJID MUHAMMED M</v>
          </cell>
          <cell r="E169" t="str">
            <v>B</v>
          </cell>
          <cell r="F169" t="str">
            <v>SENIOR</v>
          </cell>
          <cell r="G169">
            <v>2</v>
          </cell>
          <cell r="I169">
            <v>2</v>
          </cell>
          <cell r="J169">
            <v>2</v>
          </cell>
          <cell r="K169">
            <v>2</v>
          </cell>
          <cell r="L169">
            <v>2</v>
          </cell>
        </row>
        <row r="170">
          <cell r="C170" t="str">
            <v>C121</v>
          </cell>
          <cell r="D170" t="str">
            <v>ABDUL SALAM ARIF</v>
          </cell>
          <cell r="E170" t="str">
            <v>D</v>
          </cell>
          <cell r="F170" t="str">
            <v>SENIOR</v>
          </cell>
          <cell r="G170">
            <v>6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C171" t="str">
            <v>C122</v>
          </cell>
          <cell r="D171" t="str">
            <v>MOHAMMED K H</v>
          </cell>
          <cell r="E171" t="str">
            <v>C</v>
          </cell>
          <cell r="F171" t="str">
            <v>SENIOR</v>
          </cell>
          <cell r="G171">
            <v>6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C172" t="str">
            <v>C123</v>
          </cell>
          <cell r="D172" t="str">
            <v>MOHAMMED FAQRUDDEEN RAZI</v>
          </cell>
          <cell r="E172" t="str">
            <v>C</v>
          </cell>
          <cell r="F172" t="str">
            <v>SENIOR</v>
          </cell>
          <cell r="G172">
            <v>6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C173" t="str">
            <v>C124</v>
          </cell>
          <cell r="D173" t="str">
            <v>MOHAMMED MUBASHIR</v>
          </cell>
          <cell r="E173" t="str">
            <v>C</v>
          </cell>
          <cell r="F173" t="str">
            <v>SENIOR</v>
          </cell>
          <cell r="G173">
            <v>6</v>
          </cell>
          <cell r="I173">
            <v>0</v>
          </cell>
          <cell r="J173">
            <v>0</v>
          </cell>
          <cell r="K173">
            <v>0</v>
          </cell>
          <cell r="L173">
            <v>1</v>
          </cell>
        </row>
        <row r="174">
          <cell r="C174" t="str">
            <v>C125</v>
          </cell>
          <cell r="D174" t="str">
            <v>AHAMMED MINHAJ E M</v>
          </cell>
          <cell r="E174" t="str">
            <v>A</v>
          </cell>
          <cell r="F174" t="str">
            <v>SENIOR</v>
          </cell>
          <cell r="G174">
            <v>6</v>
          </cell>
          <cell r="I174">
            <v>0</v>
          </cell>
          <cell r="J174">
            <v>0</v>
          </cell>
          <cell r="K174">
            <v>0</v>
          </cell>
          <cell r="L174">
            <v>1</v>
          </cell>
        </row>
        <row r="175">
          <cell r="C175" t="str">
            <v>C126</v>
          </cell>
          <cell r="D175" t="str">
            <v>ADNAN ABDULLAH B A</v>
          </cell>
          <cell r="E175" t="str">
            <v>D</v>
          </cell>
          <cell r="F175" t="str">
            <v>SENIOR</v>
          </cell>
          <cell r="G175">
            <v>6</v>
          </cell>
          <cell r="I175">
            <v>0</v>
          </cell>
          <cell r="J175">
            <v>0</v>
          </cell>
          <cell r="K175">
            <v>0</v>
          </cell>
          <cell r="L175">
            <v>1</v>
          </cell>
        </row>
        <row r="176">
          <cell r="C176" t="str">
            <v>C127</v>
          </cell>
          <cell r="D176" t="str">
            <v>SHAMMAZ P A</v>
          </cell>
          <cell r="E176" t="str">
            <v>A</v>
          </cell>
          <cell r="F176" t="str">
            <v>SENIOR</v>
          </cell>
          <cell r="G176">
            <v>6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C177" t="str">
            <v>C128</v>
          </cell>
          <cell r="D177" t="str">
            <v>MAHIN SINAN</v>
          </cell>
          <cell r="E177" t="str">
            <v>B</v>
          </cell>
          <cell r="F177" t="str">
            <v>SENIOR</v>
          </cell>
          <cell r="G177">
            <v>6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C178" t="str">
            <v>C129</v>
          </cell>
          <cell r="D178" t="str">
            <v>P K ZAMEEL AHMED</v>
          </cell>
          <cell r="E178" t="str">
            <v>C</v>
          </cell>
          <cell r="F178" t="str">
            <v>SENIOR</v>
          </cell>
          <cell r="G178">
            <v>6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C179" t="str">
            <v>C130</v>
          </cell>
          <cell r="D179" t="str">
            <v>MOHAMMED HISHAM</v>
          </cell>
          <cell r="E179" t="str">
            <v>B</v>
          </cell>
          <cell r="F179" t="str">
            <v>SENIOR</v>
          </cell>
          <cell r="G179">
            <v>6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C180" t="str">
            <v>C131</v>
          </cell>
          <cell r="D180" t="str">
            <v>IBRAHIM AHRAZ</v>
          </cell>
          <cell r="E180" t="str">
            <v>A</v>
          </cell>
          <cell r="F180" t="str">
            <v>SENIOR</v>
          </cell>
          <cell r="G180">
            <v>6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C181" t="str">
            <v>C132</v>
          </cell>
          <cell r="D181" t="str">
            <v>MUHAMMAD SHAZIN</v>
          </cell>
          <cell r="E181" t="str">
            <v>C</v>
          </cell>
          <cell r="F181" t="str">
            <v>SENIOR</v>
          </cell>
          <cell r="G181">
            <v>6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C182" t="str">
            <v>C133</v>
          </cell>
          <cell r="D182" t="str">
            <v>SALMANUL FARIS</v>
          </cell>
          <cell r="E182" t="str">
            <v>B</v>
          </cell>
          <cell r="F182" t="str">
            <v>SENIOR</v>
          </cell>
          <cell r="G182">
            <v>6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C183" t="str">
            <v>C134</v>
          </cell>
          <cell r="D183" t="str">
            <v>MUHAMMED ABDUL NASIF P.A</v>
          </cell>
          <cell r="E183" t="str">
            <v>A</v>
          </cell>
          <cell r="F183" t="str">
            <v>SENIOR</v>
          </cell>
          <cell r="G183">
            <v>6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C184" t="str">
            <v>C135</v>
          </cell>
          <cell r="D184" t="str">
            <v>AHAMAD SHABAB P A</v>
          </cell>
          <cell r="E184" t="str">
            <v>D</v>
          </cell>
          <cell r="F184" t="str">
            <v>SENIOR</v>
          </cell>
          <cell r="G184">
            <v>6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C185" t="str">
            <v>C136</v>
          </cell>
          <cell r="D185" t="str">
            <v>MOHAMMED SHAKIR HUSSAIN K.Y</v>
          </cell>
          <cell r="E185" t="str">
            <v>B</v>
          </cell>
          <cell r="F185" t="str">
            <v>SENIOR</v>
          </cell>
          <cell r="G185">
            <v>6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C186" t="str">
            <v>C137</v>
          </cell>
          <cell r="D186" t="str">
            <v>MUHAMMED SHUHAIB S</v>
          </cell>
          <cell r="E186" t="str">
            <v>A</v>
          </cell>
          <cell r="F186" t="str">
            <v>SENIOR</v>
          </cell>
          <cell r="G186">
            <v>6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C187" t="str">
            <v>C138</v>
          </cell>
          <cell r="D187" t="str">
            <v>MOHAMMED MOINUDDEEN CHISTY</v>
          </cell>
          <cell r="E187" t="str">
            <v>A</v>
          </cell>
          <cell r="F187" t="str">
            <v>SENIOR</v>
          </cell>
          <cell r="G187">
            <v>6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C188" t="str">
            <v>C139</v>
          </cell>
          <cell r="D188" t="str">
            <v>SULAIMAN FAHAD AP</v>
          </cell>
          <cell r="E188" t="str">
            <v>C</v>
          </cell>
          <cell r="F188" t="str">
            <v>SENIOR</v>
          </cell>
          <cell r="G188">
            <v>6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C189" t="str">
            <v>C140</v>
          </cell>
          <cell r="D189" t="str">
            <v>IJAS EBRAHIM</v>
          </cell>
          <cell r="E189" t="str">
            <v>D</v>
          </cell>
          <cell r="F189" t="str">
            <v>SENIOR</v>
          </cell>
          <cell r="G189">
            <v>6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C190" t="str">
            <v>C141</v>
          </cell>
          <cell r="D190" t="str">
            <v>AHMAD MINHAJ</v>
          </cell>
          <cell r="E190" t="str">
            <v>C</v>
          </cell>
          <cell r="F190" t="str">
            <v>SENIOR</v>
          </cell>
          <cell r="G190">
            <v>6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C191" t="str">
            <v>C142</v>
          </cell>
          <cell r="D191" t="str">
            <v>AHMAD AMEEN T S</v>
          </cell>
          <cell r="E191" t="str">
            <v>A</v>
          </cell>
          <cell r="F191" t="str">
            <v>SENIOR</v>
          </cell>
          <cell r="G191">
            <v>6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C192" t="str">
            <v>C143</v>
          </cell>
          <cell r="D192" t="str">
            <v>MUHAMMED SINAN M</v>
          </cell>
          <cell r="E192" t="str">
            <v>D</v>
          </cell>
          <cell r="F192" t="str">
            <v>SENIOR</v>
          </cell>
          <cell r="G192">
            <v>6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C193" t="str">
            <v>C144</v>
          </cell>
          <cell r="D193" t="str">
            <v>MUHAMMED ASHKKAR ALI</v>
          </cell>
          <cell r="E193" t="str">
            <v>B</v>
          </cell>
          <cell r="F193" t="str">
            <v>SENIOR</v>
          </cell>
          <cell r="G193">
            <v>6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C194" t="str">
            <v>C145</v>
          </cell>
          <cell r="D194" t="str">
            <v>SHAMEEL AHAMMED P</v>
          </cell>
          <cell r="E194" t="str">
            <v>C</v>
          </cell>
          <cell r="F194" t="str">
            <v>SENIOR</v>
          </cell>
          <cell r="G194">
            <v>6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C195" t="str">
            <v>C146</v>
          </cell>
          <cell r="D195" t="str">
            <v>IMRAN HUSSAIN TI</v>
          </cell>
          <cell r="E195" t="str">
            <v>D</v>
          </cell>
          <cell r="F195" t="str">
            <v>SENIOR</v>
          </cell>
          <cell r="G195">
            <v>6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C196" t="str">
            <v>C147</v>
          </cell>
          <cell r="D196" t="str">
            <v>AHAMED ZAKI FOUZAN T.Z</v>
          </cell>
          <cell r="E196" t="str">
            <v>D</v>
          </cell>
          <cell r="F196" t="str">
            <v>SENIOR</v>
          </cell>
          <cell r="G196">
            <v>6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C197" t="str">
            <v>C148</v>
          </cell>
          <cell r="D197" t="str">
            <v>MUHAMMED SHABEEB</v>
          </cell>
          <cell r="E197" t="str">
            <v>C</v>
          </cell>
          <cell r="F197" t="str">
            <v>SENIOR</v>
          </cell>
          <cell r="G197">
            <v>6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C198" t="str">
            <v>C149</v>
          </cell>
          <cell r="D198" t="str">
            <v>ABDUL BAAIS N.A</v>
          </cell>
          <cell r="E198" t="str">
            <v>A</v>
          </cell>
          <cell r="F198" t="str">
            <v>SENIOR</v>
          </cell>
          <cell r="G198">
            <v>6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C199" t="str">
            <v>C150</v>
          </cell>
          <cell r="D199" t="str">
            <v>MUHAMMED PK</v>
          </cell>
          <cell r="E199" t="str">
            <v>B</v>
          </cell>
          <cell r="F199" t="str">
            <v>SENIOR</v>
          </cell>
          <cell r="G199">
            <v>6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C200" t="str">
            <v>C151</v>
          </cell>
          <cell r="D200" t="str">
            <v>MOHAMMED ASHMIL K A</v>
          </cell>
          <cell r="E200" t="str">
            <v>D</v>
          </cell>
          <cell r="F200" t="str">
            <v>SENIOR</v>
          </cell>
          <cell r="G200">
            <v>6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C201" t="str">
            <v>C152</v>
          </cell>
          <cell r="D201" t="str">
            <v>MUHAMMED SABITH ALI TM</v>
          </cell>
          <cell r="E201" t="str">
            <v>D</v>
          </cell>
          <cell r="F201" t="str">
            <v>SENIOR</v>
          </cell>
          <cell r="G201">
            <v>6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C202" t="str">
            <v>C153</v>
          </cell>
          <cell r="D202" t="str">
            <v>MUHAMMED AHMASH K</v>
          </cell>
          <cell r="E202" t="str">
            <v>B</v>
          </cell>
          <cell r="F202" t="str">
            <v>SENIOR</v>
          </cell>
          <cell r="G202">
            <v>6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C203" t="str">
            <v>C154</v>
          </cell>
          <cell r="D203" t="str">
            <v>MOHAMMED RAZEEN S.P</v>
          </cell>
          <cell r="E203" t="str">
            <v>B</v>
          </cell>
          <cell r="F203" t="str">
            <v>SENIOR</v>
          </cell>
          <cell r="G203">
            <v>6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C204" t="str">
            <v>C155</v>
          </cell>
          <cell r="D204" t="str">
            <v>HASSAN ZARKASH</v>
          </cell>
          <cell r="E204" t="str">
            <v>A</v>
          </cell>
          <cell r="F204" t="str">
            <v>SENIOR</v>
          </cell>
          <cell r="G204">
            <v>6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C205" t="str">
            <v>C156</v>
          </cell>
          <cell r="D205" t="str">
            <v>ABDULLA RAMSHAD</v>
          </cell>
          <cell r="E205" t="str">
            <v>A</v>
          </cell>
          <cell r="F205" t="str">
            <v>SENIOR</v>
          </cell>
          <cell r="G205">
            <v>6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C206" t="str">
            <v>C157</v>
          </cell>
          <cell r="D206" t="str">
            <v>HASAN YASIR</v>
          </cell>
          <cell r="E206" t="str">
            <v>C</v>
          </cell>
          <cell r="F206" t="str">
            <v>SENIOR</v>
          </cell>
          <cell r="G206">
            <v>6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C207" t="str">
            <v>C158</v>
          </cell>
          <cell r="D207" t="str">
            <v>ABDUL FATHAH AHAMMED C</v>
          </cell>
          <cell r="E207" t="str">
            <v>B</v>
          </cell>
          <cell r="F207" t="str">
            <v>SENIOR</v>
          </cell>
          <cell r="G207">
            <v>5</v>
          </cell>
          <cell r="I207">
            <v>0</v>
          </cell>
          <cell r="J207">
            <v>1</v>
          </cell>
          <cell r="K207">
            <v>0</v>
          </cell>
          <cell r="L207">
            <v>1</v>
          </cell>
        </row>
        <row r="208">
          <cell r="C208" t="str">
            <v>C159</v>
          </cell>
          <cell r="D208" t="str">
            <v>MUHAMMED KAIF BS</v>
          </cell>
          <cell r="E208" t="str">
            <v>C</v>
          </cell>
          <cell r="F208" t="str">
            <v>SENIOR</v>
          </cell>
          <cell r="G208">
            <v>6</v>
          </cell>
          <cell r="I208">
            <v>12</v>
          </cell>
          <cell r="J208">
            <v>23</v>
          </cell>
          <cell r="K208">
            <v>1</v>
          </cell>
          <cell r="L208">
            <v>26</v>
          </cell>
        </row>
        <row r="209">
          <cell r="C209" t="str">
            <v>C160</v>
          </cell>
          <cell r="D209" t="str">
            <v>AJMAL AM</v>
          </cell>
          <cell r="E209" t="str">
            <v>C</v>
          </cell>
          <cell r="F209" t="str">
            <v>SENIOR</v>
          </cell>
          <cell r="G209">
            <v>5</v>
          </cell>
          <cell r="I209">
            <v>7</v>
          </cell>
          <cell r="J209">
            <v>11</v>
          </cell>
          <cell r="K209">
            <v>1</v>
          </cell>
          <cell r="L209">
            <v>12</v>
          </cell>
        </row>
        <row r="210">
          <cell r="C210" t="str">
            <v>C161</v>
          </cell>
          <cell r="D210" t="str">
            <v>MOHAMMED ABDUL KHADER NABAVI E A</v>
          </cell>
          <cell r="E210" t="str">
            <v>B</v>
          </cell>
          <cell r="F210" t="str">
            <v>SENIOR</v>
          </cell>
          <cell r="G210">
            <v>6</v>
          </cell>
          <cell r="I210">
            <v>2</v>
          </cell>
          <cell r="J210">
            <v>2</v>
          </cell>
          <cell r="K210">
            <v>0</v>
          </cell>
          <cell r="L210">
            <v>2</v>
          </cell>
        </row>
        <row r="211">
          <cell r="C211" t="str">
            <v>C162</v>
          </cell>
          <cell r="D211" t="str">
            <v>MUHAMMAD K.A</v>
          </cell>
          <cell r="E211" t="str">
            <v>A</v>
          </cell>
          <cell r="F211" t="str">
            <v>SENIOR</v>
          </cell>
          <cell r="G211">
            <v>6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C212" t="str">
            <v>C163</v>
          </cell>
          <cell r="D212" t="str">
            <v>MOHAMMED SAHEED A.K</v>
          </cell>
          <cell r="E212" t="str">
            <v>D</v>
          </cell>
          <cell r="F212" t="str">
            <v>SENIOR</v>
          </cell>
          <cell r="G212">
            <v>6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C213" t="str">
            <v>C164</v>
          </cell>
          <cell r="D213" t="str">
            <v>AHMED FAHEEM MA</v>
          </cell>
          <cell r="E213" t="str">
            <v>A</v>
          </cell>
          <cell r="F213" t="str">
            <v>SENIOR</v>
          </cell>
          <cell r="G213">
            <v>6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C214" t="str">
            <v>C165</v>
          </cell>
          <cell r="D214" t="str">
            <v>MUHAMMAD IBN AHMAD</v>
          </cell>
          <cell r="E214" t="str">
            <v>D</v>
          </cell>
          <cell r="F214" t="str">
            <v>SENIOR</v>
          </cell>
          <cell r="G214">
            <v>6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C215" t="str">
            <v>C166</v>
          </cell>
          <cell r="D215" t="str">
            <v>RESWAN</v>
          </cell>
          <cell r="E215" t="str">
            <v>B</v>
          </cell>
          <cell r="F215" t="str">
            <v>SENIOR</v>
          </cell>
          <cell r="G215">
            <v>6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C216" t="str">
            <v>C167</v>
          </cell>
          <cell r="D216" t="str">
            <v>MUHAMMED MUJTHABA MK</v>
          </cell>
          <cell r="E216" t="str">
            <v>D</v>
          </cell>
          <cell r="F216" t="str">
            <v>SENIOR</v>
          </cell>
          <cell r="G216">
            <v>6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C217" t="str">
            <v>C168</v>
          </cell>
          <cell r="D217" t="str">
            <v>MUHAMMED SHAHAN P.S</v>
          </cell>
          <cell r="E217" t="str">
            <v>A</v>
          </cell>
          <cell r="F217" t="str">
            <v>SENIOR</v>
          </cell>
          <cell r="G217">
            <v>6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C218" t="str">
            <v>C169</v>
          </cell>
          <cell r="D218" t="str">
            <v>MOHAMMED THAJUDDEEN A R P</v>
          </cell>
          <cell r="E218" t="str">
            <v>C</v>
          </cell>
          <cell r="F218" t="str">
            <v>SENIOR</v>
          </cell>
          <cell r="G218">
            <v>6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C219" t="str">
            <v>C170</v>
          </cell>
          <cell r="D219" t="str">
            <v>RUMAIZALI R IBRAHIM</v>
          </cell>
          <cell r="E219" t="str">
            <v>C</v>
          </cell>
          <cell r="F219" t="str">
            <v>SENIOR</v>
          </cell>
          <cell r="G219">
            <v>6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C220" t="str">
            <v>C171</v>
          </cell>
          <cell r="D220" t="str">
            <v>MUHAMMED THASLEEM</v>
          </cell>
          <cell r="E220" t="str">
            <v>C</v>
          </cell>
          <cell r="F220" t="str">
            <v>SENIOR</v>
          </cell>
          <cell r="G220">
            <v>6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C221" t="str">
            <v>C172</v>
          </cell>
          <cell r="D221" t="str">
            <v>AHAMED SHAMMAS C.M</v>
          </cell>
          <cell r="E221" t="str">
            <v>B</v>
          </cell>
          <cell r="F221" t="str">
            <v>SENIOR</v>
          </cell>
          <cell r="G221">
            <v>6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C222" t="str">
            <v>C173</v>
          </cell>
          <cell r="D222" t="str">
            <v>ABDUL HADIL P.M</v>
          </cell>
          <cell r="E222" t="str">
            <v>A</v>
          </cell>
          <cell r="F222" t="str">
            <v>SENIOR</v>
          </cell>
          <cell r="G222">
            <v>6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C223" t="str">
            <v>C174</v>
          </cell>
          <cell r="D223" t="str">
            <v>MUHAMMAD MUSTHAFA K.M</v>
          </cell>
          <cell r="E223" t="str">
            <v>C</v>
          </cell>
          <cell r="F223" t="str">
            <v>SENIOR</v>
          </cell>
          <cell r="G223">
            <v>6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C224" t="str">
            <v>C175</v>
          </cell>
          <cell r="D224" t="str">
            <v>ABDULLAH MAZIN</v>
          </cell>
          <cell r="E224" t="str">
            <v>D</v>
          </cell>
          <cell r="F224" t="str">
            <v>SENIOR</v>
          </cell>
          <cell r="G224">
            <v>6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C225" t="str">
            <v>C176</v>
          </cell>
          <cell r="D225" t="str">
            <v>MUHAMMED T A</v>
          </cell>
          <cell r="E225" t="str">
            <v>A</v>
          </cell>
          <cell r="F225" t="str">
            <v>SENIOR</v>
          </cell>
          <cell r="G225">
            <v>6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C226" t="str">
            <v>C177</v>
          </cell>
          <cell r="D226" t="str">
            <v>MOHAMMED HUSSAIN</v>
          </cell>
          <cell r="E226" t="str">
            <v>B</v>
          </cell>
          <cell r="F226" t="str">
            <v>SENIOR</v>
          </cell>
          <cell r="G226">
            <v>6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C227" t="str">
            <v>C178</v>
          </cell>
          <cell r="D227" t="str">
            <v>MUHAMMED ZAYAN N.S</v>
          </cell>
          <cell r="E227" t="str">
            <v>D</v>
          </cell>
          <cell r="F227" t="str">
            <v>SENIOR</v>
          </cell>
          <cell r="G227">
            <v>6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C228" t="str">
            <v>C179</v>
          </cell>
          <cell r="D228" t="str">
            <v>MUHAMMED FARHAN</v>
          </cell>
          <cell r="E228" t="str">
            <v>B</v>
          </cell>
          <cell r="F228" t="str">
            <v>SENIOR</v>
          </cell>
          <cell r="G228">
            <v>6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C229" t="str">
            <v>D100</v>
          </cell>
          <cell r="D229" t="str">
            <v>MOHAMMED RAZI</v>
          </cell>
          <cell r="E229" t="str">
            <v>D</v>
          </cell>
          <cell r="F229" t="str">
            <v>SUPER SENIOR</v>
          </cell>
          <cell r="G229">
            <v>6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C230" t="str">
            <v>D101</v>
          </cell>
          <cell r="D230" t="str">
            <v>MOHAMMED AFSAL</v>
          </cell>
          <cell r="E230" t="str">
            <v>D</v>
          </cell>
          <cell r="F230" t="str">
            <v>SUPER SENIOR</v>
          </cell>
          <cell r="G230">
            <v>6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C231" t="str">
            <v>D102</v>
          </cell>
          <cell r="D231" t="str">
            <v>JALALUDHEEN K</v>
          </cell>
          <cell r="E231" t="str">
            <v>B</v>
          </cell>
          <cell r="F231" t="str">
            <v>SUPER SENIOR</v>
          </cell>
          <cell r="G231">
            <v>5</v>
          </cell>
          <cell r="I231">
            <v>0</v>
          </cell>
          <cell r="J231">
            <v>1</v>
          </cell>
          <cell r="K231">
            <v>0</v>
          </cell>
          <cell r="L231">
            <v>1</v>
          </cell>
        </row>
        <row r="232">
          <cell r="C232" t="str">
            <v>D103</v>
          </cell>
          <cell r="D232" t="str">
            <v>MUHAMMAD RAZI</v>
          </cell>
          <cell r="E232" t="str">
            <v>B</v>
          </cell>
          <cell r="F232" t="str">
            <v>SUPER SENIOR</v>
          </cell>
          <cell r="G232">
            <v>5</v>
          </cell>
          <cell r="I232">
            <v>0</v>
          </cell>
          <cell r="J232">
            <v>1</v>
          </cell>
          <cell r="K232">
            <v>0</v>
          </cell>
          <cell r="L232">
            <v>1</v>
          </cell>
        </row>
        <row r="233">
          <cell r="C233" t="str">
            <v>D104</v>
          </cell>
          <cell r="D233" t="str">
            <v>MUHAMMAD SHANEED.</v>
          </cell>
          <cell r="E233" t="str">
            <v>D</v>
          </cell>
          <cell r="F233" t="str">
            <v>SUPER SENIOR</v>
          </cell>
          <cell r="G233">
            <v>6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C234" t="str">
            <v>D105</v>
          </cell>
          <cell r="D234" t="str">
            <v>ABDUL WADHOOD</v>
          </cell>
          <cell r="E234" t="str">
            <v>A</v>
          </cell>
          <cell r="F234" t="str">
            <v>SUPER SENIOR</v>
          </cell>
          <cell r="G234">
            <v>6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C235" t="str">
            <v>D106</v>
          </cell>
          <cell r="D235" t="str">
            <v>MOHAMMED SHAMMAS S.I</v>
          </cell>
          <cell r="E235" t="str">
            <v>B</v>
          </cell>
          <cell r="F235" t="str">
            <v>SUPER SENIOR</v>
          </cell>
          <cell r="G235">
            <v>6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C236" t="str">
            <v>D107</v>
          </cell>
          <cell r="D236" t="str">
            <v>AHMMED HASHIM M</v>
          </cell>
          <cell r="E236" t="str">
            <v>B</v>
          </cell>
          <cell r="F236" t="str">
            <v>SUPER SENIOR</v>
          </cell>
          <cell r="G236">
            <v>6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C237" t="str">
            <v>D108</v>
          </cell>
          <cell r="D237" t="str">
            <v>MOHAMMED HASHIR</v>
          </cell>
          <cell r="E237">
            <v>0</v>
          </cell>
          <cell r="F237" t="str">
            <v>SUPER SENIOR</v>
          </cell>
          <cell r="G237">
            <v>6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C238" t="str">
            <v>D109</v>
          </cell>
          <cell r="D238" t="str">
            <v>AHAMMED AJEER</v>
          </cell>
          <cell r="E238" t="str">
            <v>C</v>
          </cell>
          <cell r="F238" t="str">
            <v>SUPER SENIOR</v>
          </cell>
          <cell r="G238">
            <v>6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C239" t="str">
            <v>D110</v>
          </cell>
          <cell r="D239" t="str">
            <v>ABBAS AZNAB M.A</v>
          </cell>
          <cell r="E239" t="str">
            <v>C</v>
          </cell>
          <cell r="F239" t="str">
            <v>SUPER SENIOR</v>
          </cell>
          <cell r="G239">
            <v>6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C240" t="str">
            <v>D111</v>
          </cell>
          <cell r="D240" t="str">
            <v>MAHAMMED SHAMEEL</v>
          </cell>
          <cell r="E240" t="str">
            <v>D</v>
          </cell>
          <cell r="F240" t="str">
            <v>SUPER SENIOR</v>
          </cell>
          <cell r="G240">
            <v>6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C241" t="str">
            <v>D112</v>
          </cell>
          <cell r="D241" t="str">
            <v>AMEEN ABDULLA</v>
          </cell>
          <cell r="E241" t="str">
            <v>A</v>
          </cell>
          <cell r="F241" t="str">
            <v>SUPER SENIOR</v>
          </cell>
          <cell r="G241">
            <v>6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C242" t="str">
            <v>D113</v>
          </cell>
          <cell r="D242" t="str">
            <v>ZULFIKARALI</v>
          </cell>
          <cell r="E242" t="str">
            <v>D</v>
          </cell>
          <cell r="F242" t="str">
            <v>SUPER SENIOR</v>
          </cell>
          <cell r="G242">
            <v>6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C243" t="str">
            <v>D114</v>
          </cell>
          <cell r="D243" t="str">
            <v>MUHAMMED ANAS M.N</v>
          </cell>
          <cell r="E243" t="str">
            <v>A</v>
          </cell>
          <cell r="F243" t="str">
            <v>SUPER SENIOR</v>
          </cell>
          <cell r="G243">
            <v>6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C244" t="str">
            <v>D115</v>
          </cell>
          <cell r="D244" t="str">
            <v>ABDULLA M HAKEEM</v>
          </cell>
          <cell r="E244" t="str">
            <v>B</v>
          </cell>
          <cell r="F244" t="str">
            <v>SUPER SENIOR</v>
          </cell>
          <cell r="G244">
            <v>6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C245" t="str">
            <v>D116</v>
          </cell>
          <cell r="D245" t="str">
            <v>HASSAN SHADDAD UM</v>
          </cell>
          <cell r="E245" t="str">
            <v>D</v>
          </cell>
          <cell r="F245" t="str">
            <v>SUPER SENIOR</v>
          </cell>
          <cell r="G245">
            <v>6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C246" t="str">
            <v>D117</v>
          </cell>
          <cell r="D246" t="str">
            <v>MOHAMMED SAHL CS</v>
          </cell>
          <cell r="E246" t="str">
            <v>A</v>
          </cell>
          <cell r="F246" t="str">
            <v>SUPER SENIOR</v>
          </cell>
          <cell r="G246">
            <v>6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C247" t="str">
            <v>D118</v>
          </cell>
          <cell r="D247" t="str">
            <v>MOHAMMAD KHALANDAR ZIYAD</v>
          </cell>
          <cell r="E247" t="str">
            <v>C</v>
          </cell>
          <cell r="F247" t="str">
            <v>SUPER SENIOR</v>
          </cell>
          <cell r="G247">
            <v>6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C248" t="str">
            <v>D119</v>
          </cell>
          <cell r="D248" t="str">
            <v>ABU THAHIR</v>
          </cell>
          <cell r="E248" t="str">
            <v>C</v>
          </cell>
          <cell r="F248" t="str">
            <v>SUPER SENIOR</v>
          </cell>
          <cell r="G248">
            <v>6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C249" t="str">
            <v>D120</v>
          </cell>
          <cell r="D249" t="str">
            <v>MUHAMMAD SINAN NP</v>
          </cell>
          <cell r="E249" t="str">
            <v>A</v>
          </cell>
          <cell r="F249" t="str">
            <v>SUPER SENIOR</v>
          </cell>
          <cell r="G249">
            <v>6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C250" t="str">
            <v>D121</v>
          </cell>
          <cell r="D250" t="str">
            <v>ABDUL RAHMAN MUNZIR</v>
          </cell>
          <cell r="E250" t="str">
            <v>B</v>
          </cell>
          <cell r="F250" t="str">
            <v>SUPER SENIOR</v>
          </cell>
          <cell r="G250">
            <v>6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C251" t="str">
            <v>D122</v>
          </cell>
          <cell r="D251" t="str">
            <v>MUHAMMED MUZAMMIL P.M</v>
          </cell>
          <cell r="E251">
            <v>0</v>
          </cell>
          <cell r="F251" t="str">
            <v>SUPER SENIOR</v>
          </cell>
          <cell r="G251">
            <v>3</v>
          </cell>
          <cell r="I251">
            <v>1</v>
          </cell>
          <cell r="J251">
            <v>2</v>
          </cell>
          <cell r="K251">
            <v>0</v>
          </cell>
          <cell r="L251">
            <v>2</v>
          </cell>
        </row>
        <row r="252">
          <cell r="C252" t="str">
            <v>D123</v>
          </cell>
          <cell r="D252" t="str">
            <v>MOHAMMED SALIH</v>
          </cell>
          <cell r="E252" t="str">
            <v>D</v>
          </cell>
          <cell r="F252" t="str">
            <v>SUPER SENIOR</v>
          </cell>
          <cell r="G252">
            <v>5</v>
          </cell>
          <cell r="I252">
            <v>0</v>
          </cell>
          <cell r="J252">
            <v>1</v>
          </cell>
          <cell r="K252">
            <v>0</v>
          </cell>
          <cell r="L252">
            <v>1</v>
          </cell>
        </row>
        <row r="253">
          <cell r="C253" t="str">
            <v>D124</v>
          </cell>
          <cell r="D253" t="str">
            <v>MUHAMMED SUFAZ P</v>
          </cell>
          <cell r="E253" t="str">
            <v>C</v>
          </cell>
          <cell r="F253" t="str">
            <v>SUPER SENIOR</v>
          </cell>
          <cell r="G253">
            <v>6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C254" t="str">
            <v>D125</v>
          </cell>
          <cell r="D254" t="str">
            <v>SAYYAD MOHAMMED VASIL</v>
          </cell>
          <cell r="E254" t="str">
            <v>B</v>
          </cell>
          <cell r="F254" t="str">
            <v>SUPER SENIOR</v>
          </cell>
          <cell r="G254">
            <v>6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C255" t="str">
            <v>D126</v>
          </cell>
          <cell r="D255" t="str">
            <v>MUHAMMED MIDHLAJ KK</v>
          </cell>
          <cell r="E255" t="str">
            <v>C</v>
          </cell>
          <cell r="F255" t="str">
            <v>SUPER SENIOR</v>
          </cell>
          <cell r="G255">
            <v>6</v>
          </cell>
          <cell r="I255">
            <v>0</v>
          </cell>
          <cell r="J255">
            <v>0</v>
          </cell>
          <cell r="K255">
            <v>0</v>
          </cell>
          <cell r="L255">
            <v>1</v>
          </cell>
        </row>
        <row r="256">
          <cell r="C256" t="str">
            <v>D127</v>
          </cell>
          <cell r="D256" t="str">
            <v>SHADIN G</v>
          </cell>
          <cell r="E256" t="str">
            <v>A</v>
          </cell>
          <cell r="F256" t="str">
            <v>SUPER SENIOR</v>
          </cell>
          <cell r="G256">
            <v>6</v>
          </cell>
          <cell r="I256">
            <v>0</v>
          </cell>
          <cell r="J256">
            <v>0</v>
          </cell>
          <cell r="K256">
            <v>0</v>
          </cell>
          <cell r="L256">
            <v>1</v>
          </cell>
        </row>
        <row r="257">
          <cell r="C257" t="str">
            <v>D128</v>
          </cell>
          <cell r="D257" t="str">
            <v>MEHAZIN AMAN T</v>
          </cell>
          <cell r="E257" t="str">
            <v>A</v>
          </cell>
          <cell r="F257" t="str">
            <v>SUPER SENIOR</v>
          </cell>
          <cell r="G257">
            <v>6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C258" t="str">
            <v>D129</v>
          </cell>
          <cell r="D258" t="str">
            <v>MUHAMMED UNAIS CK</v>
          </cell>
          <cell r="E258" t="str">
            <v>C</v>
          </cell>
          <cell r="F258" t="str">
            <v>SUPER SENIOR</v>
          </cell>
          <cell r="G258">
            <v>6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C259" t="str">
            <v>D130</v>
          </cell>
          <cell r="D259" t="str">
            <v>ZAINUDEEN</v>
          </cell>
          <cell r="E259" t="str">
            <v>B</v>
          </cell>
          <cell r="F259" t="str">
            <v>SUPER SENIOR</v>
          </cell>
          <cell r="G259">
            <v>6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C260" t="str">
            <v>D131</v>
          </cell>
          <cell r="D260" t="str">
            <v>MAHAMMAD RIYAZ</v>
          </cell>
          <cell r="E260" t="str">
            <v>B</v>
          </cell>
          <cell r="F260" t="str">
            <v>SUPER SENIOR</v>
          </cell>
          <cell r="G260">
            <v>6</v>
          </cell>
          <cell r="I260">
            <v>1</v>
          </cell>
          <cell r="J260">
            <v>1</v>
          </cell>
          <cell r="K260">
            <v>0</v>
          </cell>
          <cell r="L260">
            <v>1</v>
          </cell>
        </row>
        <row r="261">
          <cell r="C261" t="str">
            <v>D132</v>
          </cell>
          <cell r="D261" t="str">
            <v>ABOOBAKR MA'ROOF</v>
          </cell>
          <cell r="E261" t="str">
            <v>A</v>
          </cell>
          <cell r="F261" t="str">
            <v>SUPER SENIOR</v>
          </cell>
          <cell r="G261">
            <v>6</v>
          </cell>
          <cell r="I261">
            <v>0</v>
          </cell>
          <cell r="J261">
            <v>1</v>
          </cell>
          <cell r="K261">
            <v>0</v>
          </cell>
          <cell r="L261">
            <v>1</v>
          </cell>
        </row>
        <row r="262">
          <cell r="C262" t="str">
            <v>D133</v>
          </cell>
          <cell r="D262" t="str">
            <v>MOHAMMED SHAMSHEER</v>
          </cell>
          <cell r="E262" t="str">
            <v>A</v>
          </cell>
          <cell r="F262" t="str">
            <v>SUPER SENIOR</v>
          </cell>
          <cell r="G262">
            <v>6</v>
          </cell>
          <cell r="I262">
            <v>1</v>
          </cell>
          <cell r="J262">
            <v>1</v>
          </cell>
          <cell r="K262">
            <v>0</v>
          </cell>
          <cell r="L262">
            <v>1</v>
          </cell>
        </row>
        <row r="263">
          <cell r="C263" t="str">
            <v>D134</v>
          </cell>
          <cell r="D263" t="str">
            <v>AJMAL ANEES</v>
          </cell>
          <cell r="E263" t="str">
            <v>A</v>
          </cell>
          <cell r="F263" t="str">
            <v>SUPER SENIOR</v>
          </cell>
          <cell r="G263">
            <v>6</v>
          </cell>
          <cell r="I263">
            <v>1</v>
          </cell>
          <cell r="J263">
            <v>1</v>
          </cell>
          <cell r="K263">
            <v>0</v>
          </cell>
          <cell r="L263">
            <v>1</v>
          </cell>
        </row>
        <row r="264">
          <cell r="C264" t="str">
            <v>D135</v>
          </cell>
          <cell r="D264" t="str">
            <v>HASHIR HUSSAIN IK</v>
          </cell>
          <cell r="E264" t="str">
            <v>B</v>
          </cell>
          <cell r="F264" t="str">
            <v>SUPER SENIOR</v>
          </cell>
          <cell r="G264">
            <v>6</v>
          </cell>
          <cell r="I264">
            <v>0</v>
          </cell>
          <cell r="J264">
            <v>1</v>
          </cell>
          <cell r="K264">
            <v>0</v>
          </cell>
          <cell r="L264">
            <v>1</v>
          </cell>
        </row>
        <row r="265">
          <cell r="C265" t="str">
            <v>D136</v>
          </cell>
          <cell r="D265" t="str">
            <v>MUHAMMED ASBAQUE</v>
          </cell>
          <cell r="E265" t="str">
            <v>D</v>
          </cell>
          <cell r="F265" t="str">
            <v>SUPER SENIOR</v>
          </cell>
          <cell r="G265">
            <v>6</v>
          </cell>
          <cell r="I265">
            <v>1</v>
          </cell>
          <cell r="J265">
            <v>1</v>
          </cell>
          <cell r="K265">
            <v>0</v>
          </cell>
          <cell r="L265">
            <v>1</v>
          </cell>
        </row>
        <row r="266">
          <cell r="C266" t="str">
            <v>D137</v>
          </cell>
          <cell r="D266" t="str">
            <v>AYYOOB V.N</v>
          </cell>
          <cell r="E266" t="str">
            <v>C</v>
          </cell>
          <cell r="F266" t="str">
            <v>SUPER SENIOR</v>
          </cell>
          <cell r="G266">
            <v>6</v>
          </cell>
          <cell r="I266">
            <v>1</v>
          </cell>
          <cell r="J266">
            <v>0</v>
          </cell>
          <cell r="K266">
            <v>1</v>
          </cell>
          <cell r="L266">
            <v>1</v>
          </cell>
        </row>
        <row r="267">
          <cell r="C267" t="str">
            <v>D138</v>
          </cell>
          <cell r="D267" t="str">
            <v>MOHAMMED JAWAD A</v>
          </cell>
          <cell r="E267" t="str">
            <v>A</v>
          </cell>
          <cell r="F267" t="str">
            <v>SUPER SENIOR</v>
          </cell>
          <cell r="G267">
            <v>6</v>
          </cell>
          <cell r="I267">
            <v>0</v>
          </cell>
          <cell r="J267">
            <v>1</v>
          </cell>
          <cell r="K267">
            <v>0</v>
          </cell>
          <cell r="L267">
            <v>1</v>
          </cell>
        </row>
        <row r="268">
          <cell r="C268" t="str">
            <v>D139</v>
          </cell>
          <cell r="D268" t="str">
            <v>AHAMMED MUBARAK KA</v>
          </cell>
          <cell r="E268" t="str">
            <v>D</v>
          </cell>
          <cell r="F268" t="str">
            <v>SUPER SENIOR</v>
          </cell>
          <cell r="G268">
            <v>6</v>
          </cell>
          <cell r="I268">
            <v>1</v>
          </cell>
          <cell r="J268">
            <v>1</v>
          </cell>
          <cell r="K268">
            <v>0</v>
          </cell>
          <cell r="L268">
            <v>2</v>
          </cell>
        </row>
        <row r="269">
          <cell r="C269" t="str">
            <v>D140</v>
          </cell>
          <cell r="D269" t="str">
            <v>MUHAMMED FAISAL A K</v>
          </cell>
          <cell r="E269" t="str">
            <v>B</v>
          </cell>
          <cell r="F269" t="str">
            <v>SUPER SENIOR</v>
          </cell>
          <cell r="G269">
            <v>6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C270" t="str">
            <v>D141</v>
          </cell>
          <cell r="D270" t="str">
            <v>MUHAMMAD MUSTHAFA P.K</v>
          </cell>
          <cell r="E270" t="str">
            <v>C</v>
          </cell>
          <cell r="F270" t="str">
            <v>SUPER SENIOR</v>
          </cell>
          <cell r="G270">
            <v>6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C271" t="str">
            <v>D142</v>
          </cell>
          <cell r="D271" t="str">
            <v>ISHAM V.K</v>
          </cell>
          <cell r="E271" t="str">
            <v>A</v>
          </cell>
          <cell r="F271" t="str">
            <v>SUPER SENIOR</v>
          </cell>
          <cell r="G271">
            <v>6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C272" t="str">
            <v>D143</v>
          </cell>
          <cell r="D272" t="str">
            <v>MUHAMMED MA</v>
          </cell>
          <cell r="E272" t="str">
            <v>C</v>
          </cell>
          <cell r="F272" t="str">
            <v>SUPER SENIOR</v>
          </cell>
          <cell r="G272">
            <v>6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C273" t="str">
            <v>D144</v>
          </cell>
          <cell r="D273" t="str">
            <v>MUHAMMED RASHAD KA</v>
          </cell>
          <cell r="E273" t="str">
            <v>D</v>
          </cell>
          <cell r="F273" t="str">
            <v>SUPER SENIOR</v>
          </cell>
          <cell r="G273">
            <v>6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C274" t="str">
            <v>D145</v>
          </cell>
          <cell r="D274" t="str">
            <v>ABBAS ARFAS O.R</v>
          </cell>
          <cell r="E274" t="str">
            <v>C</v>
          </cell>
          <cell r="F274" t="str">
            <v>SUPER SENIOR</v>
          </cell>
          <cell r="G274">
            <v>6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C275" t="str">
            <v>D146</v>
          </cell>
          <cell r="D275" t="str">
            <v>ABDUL YOUNUS</v>
          </cell>
          <cell r="E275" t="str">
            <v>B</v>
          </cell>
          <cell r="F275" t="str">
            <v>SUPER SENIOR</v>
          </cell>
          <cell r="G275">
            <v>6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C276" t="str">
            <v>D147</v>
          </cell>
          <cell r="D276" t="str">
            <v>MOHAMMED SHAHZAN T.K</v>
          </cell>
          <cell r="E276" t="str">
            <v>A</v>
          </cell>
          <cell r="F276" t="str">
            <v>SUPER SENIOR</v>
          </cell>
          <cell r="G276">
            <v>6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C277" t="str">
            <v>D148</v>
          </cell>
          <cell r="D277" t="str">
            <v>UMARUL FAROOK K .K</v>
          </cell>
          <cell r="E277" t="str">
            <v>B</v>
          </cell>
          <cell r="F277" t="str">
            <v>SUPER SENIOR</v>
          </cell>
          <cell r="G277">
            <v>6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C278" t="str">
            <v>D149</v>
          </cell>
          <cell r="D278" t="str">
            <v>MOHAMMED MARZOOK AM</v>
          </cell>
          <cell r="E278" t="str">
            <v>D</v>
          </cell>
          <cell r="F278" t="str">
            <v>SUPER SENIOR</v>
          </cell>
          <cell r="G278">
            <v>6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C279" t="str">
            <v>D150</v>
          </cell>
          <cell r="D279" t="str">
            <v>ABDUL KHADER</v>
          </cell>
          <cell r="E279" t="str">
            <v>B</v>
          </cell>
          <cell r="F279" t="str">
            <v>SUPER SENIOR</v>
          </cell>
          <cell r="G279">
            <v>6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C280" t="str">
            <v>D151</v>
          </cell>
          <cell r="D280" t="str">
            <v>MUHAMMED SHANAVAS M.A</v>
          </cell>
          <cell r="E280" t="str">
            <v>D</v>
          </cell>
          <cell r="F280" t="str">
            <v>SUPER SENIOR</v>
          </cell>
          <cell r="G280">
            <v>6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C281" t="str">
            <v>D152</v>
          </cell>
          <cell r="D281" t="str">
            <v>MOHAMMAD ISMAIL SINAN KM</v>
          </cell>
          <cell r="E281" t="str">
            <v>B</v>
          </cell>
          <cell r="F281" t="str">
            <v>SUPER SENIOR</v>
          </cell>
          <cell r="G281">
            <v>6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C282" t="str">
            <v>D153</v>
          </cell>
          <cell r="D282" t="str">
            <v>MUHAMMED UNAIS PT</v>
          </cell>
          <cell r="E282" t="str">
            <v>D</v>
          </cell>
          <cell r="F282" t="str">
            <v>SUPER SENIOR</v>
          </cell>
          <cell r="G282">
            <v>6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C283" t="str">
            <v>D154</v>
          </cell>
          <cell r="D283" t="str">
            <v>ASHIKK.I</v>
          </cell>
          <cell r="E283" t="str">
            <v>D</v>
          </cell>
          <cell r="F283" t="str">
            <v>SUPER SENIOR</v>
          </cell>
          <cell r="G283">
            <v>6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C284" t="str">
            <v>D155</v>
          </cell>
          <cell r="D284" t="str">
            <v>MUHAMMED YASIR K</v>
          </cell>
          <cell r="E284" t="str">
            <v>C</v>
          </cell>
          <cell r="F284" t="str">
            <v>SUPER SENIOR</v>
          </cell>
          <cell r="G284">
            <v>6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C285" t="str">
            <v>D156</v>
          </cell>
          <cell r="D285" t="str">
            <v>MUHAMMED BIN ABDUL KADHAR</v>
          </cell>
          <cell r="E285">
            <v>0</v>
          </cell>
          <cell r="F285" t="str">
            <v>SUPER SENIOR</v>
          </cell>
          <cell r="G285">
            <v>6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C286" t="str">
            <v>D157</v>
          </cell>
          <cell r="D286" t="str">
            <v>MUHAMMAD MUZAMMIL E.A</v>
          </cell>
          <cell r="E286" t="str">
            <v>C</v>
          </cell>
          <cell r="F286" t="str">
            <v>SUPER SENIOR</v>
          </cell>
          <cell r="G286">
            <v>6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C287" t="str">
            <v>D158</v>
          </cell>
          <cell r="D287" t="str">
            <v>MUHAMMED UNAIS</v>
          </cell>
          <cell r="E287">
            <v>0</v>
          </cell>
          <cell r="F287" t="str">
            <v>SUPER SENIOR</v>
          </cell>
          <cell r="G287">
            <v>6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C288" t="str">
            <v>D159</v>
          </cell>
          <cell r="D288" t="str">
            <v>MUHAMMED MUZAMMIL</v>
          </cell>
          <cell r="E288" t="str">
            <v>A</v>
          </cell>
          <cell r="F288" t="str">
            <v>SUPER SENIOR</v>
          </cell>
          <cell r="G288">
            <v>6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C289" t="str">
            <v>D160</v>
          </cell>
          <cell r="D289" t="str">
            <v>SALMAN FARIS</v>
          </cell>
          <cell r="E289" t="str">
            <v>D</v>
          </cell>
          <cell r="F289" t="str">
            <v>SUPER SENIOR</v>
          </cell>
          <cell r="G289">
            <v>6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C290" t="str">
            <v>D161</v>
          </cell>
          <cell r="D290" t="str">
            <v>MOHAMMED ATHHAR THAYYIB MS</v>
          </cell>
          <cell r="E290" t="str">
            <v>C</v>
          </cell>
          <cell r="F290" t="str">
            <v>SUPER SENIOR</v>
          </cell>
          <cell r="G290">
            <v>5</v>
          </cell>
          <cell r="I290">
            <v>6</v>
          </cell>
          <cell r="J290">
            <v>13</v>
          </cell>
          <cell r="K290">
            <v>0</v>
          </cell>
          <cell r="L290">
            <v>13</v>
          </cell>
        </row>
        <row r="291">
          <cell r="C291" t="str">
            <v>D162</v>
          </cell>
          <cell r="D291" t="str">
            <v>ABDURAHMAN P.H</v>
          </cell>
          <cell r="E291" t="str">
            <v>C</v>
          </cell>
          <cell r="F291" t="str">
            <v>SUPER SENIOR</v>
          </cell>
          <cell r="G291">
            <v>5</v>
          </cell>
          <cell r="I291">
            <v>2</v>
          </cell>
          <cell r="J291">
            <v>6</v>
          </cell>
          <cell r="K291">
            <v>0</v>
          </cell>
          <cell r="L291">
            <v>6</v>
          </cell>
        </row>
        <row r="292">
          <cell r="C292" t="str">
            <v>D163</v>
          </cell>
          <cell r="D292" t="str">
            <v>ABDUL JANIS</v>
          </cell>
          <cell r="E292" t="str">
            <v>A</v>
          </cell>
          <cell r="F292" t="str">
            <v>SUPER SENIOR</v>
          </cell>
          <cell r="G292">
            <v>5</v>
          </cell>
          <cell r="I292">
            <v>2</v>
          </cell>
          <cell r="J292">
            <v>2</v>
          </cell>
          <cell r="K292">
            <v>1</v>
          </cell>
          <cell r="L292">
            <v>4</v>
          </cell>
        </row>
        <row r="293">
          <cell r="C293" t="str">
            <v>D164</v>
          </cell>
          <cell r="D293" t="str">
            <v>AHMED SULTHAN</v>
          </cell>
          <cell r="E293" t="str">
            <v>D</v>
          </cell>
          <cell r="F293" t="str">
            <v>SUPER SENIOR</v>
          </cell>
          <cell r="G293">
            <v>6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C294" t="str">
            <v>D165</v>
          </cell>
          <cell r="D294" t="str">
            <v>AJMAL KI</v>
          </cell>
          <cell r="E294" t="str">
            <v>A</v>
          </cell>
          <cell r="F294" t="str">
            <v>SUPER SENIOR</v>
          </cell>
          <cell r="G294">
            <v>6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C295" t="str">
            <v>D166</v>
          </cell>
          <cell r="D295" t="str">
            <v>MOHAMMED IRFAN C</v>
          </cell>
          <cell r="E295" t="str">
            <v>B</v>
          </cell>
          <cell r="F295" t="str">
            <v>SUPER SENIOR</v>
          </cell>
          <cell r="G295">
            <v>6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C296" t="str">
            <v>D167</v>
          </cell>
          <cell r="D296" t="str">
            <v>AHMAD BINYAMUL ASHIQUE</v>
          </cell>
          <cell r="E296" t="str">
            <v>D</v>
          </cell>
          <cell r="F296" t="str">
            <v>SUPER SENIOR</v>
          </cell>
          <cell r="G296">
            <v>6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C297" t="str">
            <v>D168</v>
          </cell>
          <cell r="D297" t="str">
            <v>MOHAMMED NAFIH KA</v>
          </cell>
          <cell r="E297" t="str">
            <v>A</v>
          </cell>
          <cell r="F297" t="str">
            <v>SUPER SENIOR</v>
          </cell>
          <cell r="G297">
            <v>6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C298" t="str">
            <v>D169</v>
          </cell>
          <cell r="D298" t="str">
            <v>MUHAMMED AYIZ</v>
          </cell>
          <cell r="E298" t="str">
            <v>C</v>
          </cell>
          <cell r="F298" t="str">
            <v>SUPER SENIOR</v>
          </cell>
          <cell r="G298">
            <v>6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C299" t="str">
            <v>D170</v>
          </cell>
          <cell r="D299" t="str">
            <v>AHMED ADIL B.K</v>
          </cell>
          <cell r="E299" t="str">
            <v>D</v>
          </cell>
          <cell r="F299" t="str">
            <v>SUPER SENIOR</v>
          </cell>
          <cell r="G299">
            <v>6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C300" t="str">
            <v>D171</v>
          </cell>
          <cell r="D300" t="str">
            <v>MOHAMMED ANFAHUDEEN T.A</v>
          </cell>
          <cell r="E300" t="str">
            <v>A</v>
          </cell>
          <cell r="F300" t="str">
            <v>SUPER SENIOR</v>
          </cell>
          <cell r="G300">
            <v>6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C301" t="str">
            <v>D172</v>
          </cell>
          <cell r="D301" t="str">
            <v>MUHAMMED MUFEED</v>
          </cell>
          <cell r="E301" t="str">
            <v>B</v>
          </cell>
          <cell r="F301" t="str">
            <v>SUPER SENIOR</v>
          </cell>
          <cell r="G301">
            <v>6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C302" t="str">
            <v>D173</v>
          </cell>
          <cell r="D302" t="str">
            <v>ABOOBACKER SIDDIK</v>
          </cell>
          <cell r="E302" t="str">
            <v>C</v>
          </cell>
          <cell r="F302" t="str">
            <v>SUPER SENIOR</v>
          </cell>
          <cell r="G302">
            <v>6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C303" t="str">
            <v>D174</v>
          </cell>
          <cell r="D303" t="str">
            <v>BADRUDHIN A</v>
          </cell>
          <cell r="E303" t="str">
            <v>C</v>
          </cell>
          <cell r="F303" t="str">
            <v>SUPER SENIOR</v>
          </cell>
          <cell r="G303">
            <v>6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C304" t="str">
            <v>D175</v>
          </cell>
          <cell r="D304" t="str">
            <v>AKBAR P</v>
          </cell>
          <cell r="E304" t="str">
            <v>A</v>
          </cell>
          <cell r="F304" t="str">
            <v>SUPER SENIOR</v>
          </cell>
          <cell r="G304">
            <v>6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C305" t="str">
            <v>D176</v>
          </cell>
          <cell r="D305" t="str">
            <v>MOHAMMED NASFAR AFNAN H</v>
          </cell>
          <cell r="E305" t="str">
            <v>D</v>
          </cell>
          <cell r="F305" t="str">
            <v>SUPER SENIOR</v>
          </cell>
          <cell r="G305">
            <v>6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C306" t="str">
            <v>D177</v>
          </cell>
          <cell r="D306" t="str">
            <v>SHAMEEM ABDULLA P.S</v>
          </cell>
          <cell r="E306" t="str">
            <v>A</v>
          </cell>
          <cell r="F306" t="str">
            <v>SUPER SENIOR</v>
          </cell>
          <cell r="G306">
            <v>6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C307" t="str">
            <v>D178</v>
          </cell>
          <cell r="D307" t="str">
            <v>AHMED BK</v>
          </cell>
          <cell r="E307" t="str">
            <v>C</v>
          </cell>
          <cell r="F307" t="str">
            <v>SUPER SENIOR</v>
          </cell>
          <cell r="G307">
            <v>6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C308" t="str">
            <v>D179</v>
          </cell>
          <cell r="D308" t="str">
            <v>MUHAMMED AKBAR NP</v>
          </cell>
          <cell r="E308" t="str">
            <v>B</v>
          </cell>
          <cell r="F308" t="str">
            <v>SUPER SENIOR</v>
          </cell>
          <cell r="G308">
            <v>6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C309" t="str">
            <v>D180</v>
          </cell>
          <cell r="D309" t="str">
            <v>ATHIF ABDULKHADER</v>
          </cell>
          <cell r="E309" t="str">
            <v>A</v>
          </cell>
          <cell r="F309" t="str">
            <v>SUPER SENIOR</v>
          </cell>
          <cell r="G309">
            <v>6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C310" t="str">
            <v>D181</v>
          </cell>
          <cell r="D310" t="str">
            <v>MUHAMMED SAJJAD</v>
          </cell>
          <cell r="E310" t="str">
            <v>B</v>
          </cell>
          <cell r="F310" t="str">
            <v>SUPER SENIOR</v>
          </cell>
          <cell r="G310">
            <v>6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C311" t="str">
            <v>D182</v>
          </cell>
          <cell r="D311" t="str">
            <v>AHAMED ASIF M</v>
          </cell>
          <cell r="E311" t="str">
            <v>D</v>
          </cell>
          <cell r="F311" t="str">
            <v>SUPER SENIOR</v>
          </cell>
          <cell r="G311">
            <v>6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C312" t="str">
            <v>D183</v>
          </cell>
          <cell r="D312" t="str">
            <v>MOHAMMAD SWALIH K</v>
          </cell>
          <cell r="E312" t="str">
            <v>B</v>
          </cell>
          <cell r="F312" t="str">
            <v>SUPER SENIOR</v>
          </cell>
          <cell r="G312">
            <v>6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C313" t="str">
            <v>D184</v>
          </cell>
          <cell r="D313" t="str">
            <v>YASEEN</v>
          </cell>
          <cell r="E313" t="str">
            <v>A</v>
          </cell>
          <cell r="F313" t="str">
            <v>SUPER SENIOR</v>
          </cell>
          <cell r="G313">
            <v>6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C314" t="str">
            <v>D185</v>
          </cell>
          <cell r="D314" t="str">
            <v>MAHAMMED ASHIK</v>
          </cell>
          <cell r="E314">
            <v>0</v>
          </cell>
          <cell r="F314" t="str">
            <v>SUPER SENIOR</v>
          </cell>
          <cell r="G314">
            <v>6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C315" t="str">
            <v>D186</v>
          </cell>
          <cell r="D315" t="str">
            <v>SALAHUDDEEN AYYOOBI KM</v>
          </cell>
          <cell r="E315" t="str">
            <v>A</v>
          </cell>
          <cell r="F315" t="str">
            <v>SUPER SENIOR</v>
          </cell>
          <cell r="G315">
            <v>6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C316" t="str">
            <v>D187</v>
          </cell>
          <cell r="D316" t="str">
            <v>ABDUL RAHMAN</v>
          </cell>
          <cell r="E316" t="str">
            <v>B</v>
          </cell>
          <cell r="F316" t="str">
            <v>SUPER SENIOR</v>
          </cell>
          <cell r="G316">
            <v>6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C317" t="str">
            <v>D188</v>
          </cell>
          <cell r="D317" t="str">
            <v>AHMED MANHAL HUSSAIN</v>
          </cell>
          <cell r="E317" t="str">
            <v>A</v>
          </cell>
          <cell r="F317" t="str">
            <v>SUPER SENIOR</v>
          </cell>
          <cell r="G317">
            <v>6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C318" t="str">
            <v>D189</v>
          </cell>
          <cell r="D318" t="str">
            <v>ASGAR ALI</v>
          </cell>
          <cell r="E318" t="str">
            <v>C</v>
          </cell>
          <cell r="F318" t="str">
            <v>SUPER SENIOR</v>
          </cell>
          <cell r="G318">
            <v>6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C319" t="str">
            <v>D190</v>
          </cell>
          <cell r="D319" t="str">
            <v>MOHAMMED AMEEN B.A</v>
          </cell>
          <cell r="E319" t="str">
            <v>C</v>
          </cell>
          <cell r="F319" t="str">
            <v>SUPER SENIOR</v>
          </cell>
          <cell r="G319">
            <v>6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C320" t="str">
            <v>D191</v>
          </cell>
          <cell r="D320" t="str">
            <v>THAMJEED TM</v>
          </cell>
          <cell r="E320" t="str">
            <v>D</v>
          </cell>
          <cell r="F320" t="str">
            <v>SUPER SENIOR</v>
          </cell>
          <cell r="G320">
            <v>6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C321" t="str">
            <v>D192</v>
          </cell>
          <cell r="D321" t="str">
            <v>MUHAMMED SIFARATH T A</v>
          </cell>
          <cell r="E321" t="str">
            <v>B</v>
          </cell>
          <cell r="F321" t="str">
            <v>SUPER SENIOR</v>
          </cell>
          <cell r="G321">
            <v>6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C322" t="str">
            <v>D193</v>
          </cell>
          <cell r="D322" t="str">
            <v>MUHAMMED ABDUL GHANI M.A</v>
          </cell>
          <cell r="E322" t="str">
            <v>D</v>
          </cell>
          <cell r="F322" t="str">
            <v>SUPER SENIOR</v>
          </cell>
          <cell r="G322">
            <v>6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C323" t="str">
            <v>D194</v>
          </cell>
          <cell r="D323" t="str">
            <v>AYAZ RAHMAN T</v>
          </cell>
          <cell r="E323" t="str">
            <v>D</v>
          </cell>
          <cell r="F323" t="str">
            <v>SUPER SENIOR</v>
          </cell>
          <cell r="G323">
            <v>6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C324" t="str">
            <v>D195</v>
          </cell>
          <cell r="D324" t="str">
            <v>AHMED SWALAHUDHEEN PI</v>
          </cell>
          <cell r="E324" t="str">
            <v>C</v>
          </cell>
          <cell r="F324" t="str">
            <v>SUPER SENIOR</v>
          </cell>
          <cell r="G324">
            <v>6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C325" t="str">
            <v>D196</v>
          </cell>
          <cell r="D325" t="str">
            <v>ABDUL VAJID K</v>
          </cell>
          <cell r="E325" t="str">
            <v>B</v>
          </cell>
          <cell r="F325" t="str">
            <v>SUPER SENIOR</v>
          </cell>
          <cell r="G325">
            <v>6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C326" t="str">
            <v>D197</v>
          </cell>
          <cell r="D326" t="str">
            <v>MUHAMMED ASHFAK K</v>
          </cell>
          <cell r="E326" t="str">
            <v>B</v>
          </cell>
          <cell r="F326" t="str">
            <v>SUPER SENIOR</v>
          </cell>
          <cell r="G326">
            <v>6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C327" t="str">
            <v>D198</v>
          </cell>
          <cell r="D327" t="str">
            <v>MUHAMMED SAFWAN</v>
          </cell>
          <cell r="E327" t="str">
            <v>A</v>
          </cell>
          <cell r="F327" t="str">
            <v>SUPER SENIOR</v>
          </cell>
          <cell r="G327">
            <v>6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C328" t="str">
            <v>D199</v>
          </cell>
          <cell r="D328" t="str">
            <v>Simsarul Haq VPM</v>
          </cell>
          <cell r="E328" t="str">
            <v>C</v>
          </cell>
          <cell r="F328" t="str">
            <v>SUPER SENIOR</v>
          </cell>
          <cell r="G328">
            <v>6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6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6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6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6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6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C334">
            <v>0</v>
          </cell>
          <cell r="D334">
            <v>0</v>
          </cell>
          <cell r="E334">
            <v>0</v>
          </cell>
          <cell r="F334">
            <v>0</v>
          </cell>
        </row>
        <row r="335">
          <cell r="C335">
            <v>0</v>
          </cell>
          <cell r="D335">
            <v>0</v>
          </cell>
          <cell r="E335">
            <v>0</v>
          </cell>
          <cell r="F335">
            <v>0</v>
          </cell>
        </row>
        <row r="336">
          <cell r="C336">
            <v>0</v>
          </cell>
          <cell r="D336">
            <v>0</v>
          </cell>
          <cell r="E336">
            <v>0</v>
          </cell>
          <cell r="F336">
            <v>0</v>
          </cell>
        </row>
        <row r="337">
          <cell r="C337">
            <v>0</v>
          </cell>
          <cell r="D337">
            <v>0</v>
          </cell>
          <cell r="E337">
            <v>0</v>
          </cell>
          <cell r="F337">
            <v>0</v>
          </cell>
        </row>
        <row r="338">
          <cell r="C338">
            <v>0</v>
          </cell>
          <cell r="D338">
            <v>0</v>
          </cell>
          <cell r="E338">
            <v>0</v>
          </cell>
          <cell r="F338">
            <v>0</v>
          </cell>
        </row>
        <row r="339">
          <cell r="C339">
            <v>0</v>
          </cell>
          <cell r="D339">
            <v>0</v>
          </cell>
          <cell r="E339">
            <v>0</v>
          </cell>
          <cell r="F339">
            <v>0</v>
          </cell>
        </row>
        <row r="340">
          <cell r="C340">
            <v>0</v>
          </cell>
          <cell r="D340">
            <v>0</v>
          </cell>
          <cell r="E340">
            <v>0</v>
          </cell>
          <cell r="F340">
            <v>0</v>
          </cell>
        </row>
        <row r="341">
          <cell r="C341">
            <v>0</v>
          </cell>
          <cell r="D341">
            <v>0</v>
          </cell>
          <cell r="E341">
            <v>0</v>
          </cell>
          <cell r="F341">
            <v>0</v>
          </cell>
        </row>
        <row r="342">
          <cell r="C342">
            <v>0</v>
          </cell>
          <cell r="D342">
            <v>0</v>
          </cell>
          <cell r="E342">
            <v>0</v>
          </cell>
          <cell r="F342">
            <v>0</v>
          </cell>
        </row>
        <row r="343">
          <cell r="C343">
            <v>0</v>
          </cell>
          <cell r="D343">
            <v>0</v>
          </cell>
          <cell r="E343">
            <v>0</v>
          </cell>
          <cell r="F343">
            <v>0</v>
          </cell>
        </row>
        <row r="344">
          <cell r="C344">
            <v>0</v>
          </cell>
          <cell r="D344">
            <v>0</v>
          </cell>
          <cell r="E344">
            <v>0</v>
          </cell>
          <cell r="F344">
            <v>0</v>
          </cell>
        </row>
        <row r="345">
          <cell r="C345">
            <v>0</v>
          </cell>
          <cell r="D345">
            <v>0</v>
          </cell>
          <cell r="E345">
            <v>0</v>
          </cell>
          <cell r="F345">
            <v>0</v>
          </cell>
        </row>
        <row r="346">
          <cell r="C346">
            <v>0</v>
          </cell>
          <cell r="D346">
            <v>0</v>
          </cell>
          <cell r="E346">
            <v>0</v>
          </cell>
          <cell r="F346">
            <v>0</v>
          </cell>
        </row>
        <row r="347">
          <cell r="C347">
            <v>0</v>
          </cell>
          <cell r="D347">
            <v>0</v>
          </cell>
          <cell r="E347">
            <v>0</v>
          </cell>
          <cell r="F347">
            <v>0</v>
          </cell>
        </row>
        <row r="348">
          <cell r="C348">
            <v>0</v>
          </cell>
          <cell r="D348">
            <v>0</v>
          </cell>
          <cell r="E348">
            <v>0</v>
          </cell>
          <cell r="F348">
            <v>0</v>
          </cell>
        </row>
        <row r="349">
          <cell r="C349">
            <v>0</v>
          </cell>
          <cell r="D349">
            <v>0</v>
          </cell>
          <cell r="E349">
            <v>0</v>
          </cell>
          <cell r="F349">
            <v>0</v>
          </cell>
        </row>
        <row r="350">
          <cell r="C350">
            <v>0</v>
          </cell>
          <cell r="D350">
            <v>0</v>
          </cell>
          <cell r="E350">
            <v>0</v>
          </cell>
          <cell r="F350">
            <v>0</v>
          </cell>
        </row>
        <row r="351">
          <cell r="C351">
            <v>0</v>
          </cell>
          <cell r="D351">
            <v>0</v>
          </cell>
          <cell r="E351">
            <v>0</v>
          </cell>
          <cell r="F351">
            <v>0</v>
          </cell>
        </row>
        <row r="352">
          <cell r="C352">
            <v>0</v>
          </cell>
          <cell r="D352">
            <v>0</v>
          </cell>
          <cell r="E352">
            <v>0</v>
          </cell>
          <cell r="F352">
            <v>0</v>
          </cell>
        </row>
        <row r="353">
          <cell r="C353">
            <v>0</v>
          </cell>
          <cell r="D353">
            <v>0</v>
          </cell>
          <cell r="E353">
            <v>0</v>
          </cell>
          <cell r="F353">
            <v>0</v>
          </cell>
        </row>
        <row r="354">
          <cell r="C354">
            <v>0</v>
          </cell>
          <cell r="D354">
            <v>0</v>
          </cell>
          <cell r="E354">
            <v>0</v>
          </cell>
          <cell r="F354">
            <v>0</v>
          </cell>
        </row>
        <row r="355">
          <cell r="C355">
            <v>0</v>
          </cell>
          <cell r="D355">
            <v>0</v>
          </cell>
          <cell r="E355">
            <v>0</v>
          </cell>
          <cell r="F355">
            <v>0</v>
          </cell>
        </row>
        <row r="356">
          <cell r="C356">
            <v>0</v>
          </cell>
          <cell r="D356">
            <v>0</v>
          </cell>
          <cell r="E356">
            <v>0</v>
          </cell>
          <cell r="F356">
            <v>0</v>
          </cell>
        </row>
        <row r="357">
          <cell r="C357">
            <v>0</v>
          </cell>
          <cell r="D357">
            <v>0</v>
          </cell>
          <cell r="E357">
            <v>0</v>
          </cell>
          <cell r="F357">
            <v>0</v>
          </cell>
        </row>
        <row r="358">
          <cell r="C358">
            <v>0</v>
          </cell>
          <cell r="D358">
            <v>0</v>
          </cell>
          <cell r="E358">
            <v>0</v>
          </cell>
          <cell r="F358">
            <v>0</v>
          </cell>
        </row>
        <row r="359">
          <cell r="C359">
            <v>0</v>
          </cell>
          <cell r="D359">
            <v>0</v>
          </cell>
          <cell r="E359">
            <v>0</v>
          </cell>
          <cell r="F359">
            <v>0</v>
          </cell>
        </row>
        <row r="360">
          <cell r="C360">
            <v>0</v>
          </cell>
          <cell r="D360">
            <v>0</v>
          </cell>
          <cell r="E360">
            <v>0</v>
          </cell>
          <cell r="F360">
            <v>0</v>
          </cell>
        </row>
        <row r="361">
          <cell r="C361">
            <v>0</v>
          </cell>
          <cell r="D361">
            <v>0</v>
          </cell>
          <cell r="E361">
            <v>0</v>
          </cell>
          <cell r="F361">
            <v>0</v>
          </cell>
        </row>
        <row r="362">
          <cell r="C362">
            <v>0</v>
          </cell>
          <cell r="D362">
            <v>0</v>
          </cell>
          <cell r="E362">
            <v>0</v>
          </cell>
          <cell r="F362">
            <v>0</v>
          </cell>
        </row>
        <row r="363">
          <cell r="C363">
            <v>0</v>
          </cell>
          <cell r="D363">
            <v>0</v>
          </cell>
          <cell r="E363">
            <v>0</v>
          </cell>
          <cell r="F363">
            <v>0</v>
          </cell>
        </row>
        <row r="364">
          <cell r="C364">
            <v>0</v>
          </cell>
          <cell r="D364">
            <v>0</v>
          </cell>
          <cell r="E364">
            <v>0</v>
          </cell>
          <cell r="F364">
            <v>0</v>
          </cell>
        </row>
        <row r="365">
          <cell r="C365">
            <v>0</v>
          </cell>
          <cell r="D365">
            <v>0</v>
          </cell>
          <cell r="E365">
            <v>0</v>
          </cell>
          <cell r="F365">
            <v>0</v>
          </cell>
        </row>
        <row r="366">
          <cell r="C366">
            <v>0</v>
          </cell>
          <cell r="D366">
            <v>0</v>
          </cell>
          <cell r="E366">
            <v>0</v>
          </cell>
          <cell r="F366">
            <v>0</v>
          </cell>
        </row>
        <row r="367">
          <cell r="C367">
            <v>0</v>
          </cell>
          <cell r="D367">
            <v>0</v>
          </cell>
          <cell r="E367">
            <v>0</v>
          </cell>
          <cell r="F367">
            <v>0</v>
          </cell>
        </row>
        <row r="368">
          <cell r="C368">
            <v>0</v>
          </cell>
          <cell r="D368">
            <v>0</v>
          </cell>
          <cell r="E368">
            <v>0</v>
          </cell>
          <cell r="F368">
            <v>0</v>
          </cell>
        </row>
        <row r="369">
          <cell r="C369">
            <v>0</v>
          </cell>
          <cell r="D369">
            <v>0</v>
          </cell>
          <cell r="E369">
            <v>0</v>
          </cell>
          <cell r="F369">
            <v>0</v>
          </cell>
        </row>
        <row r="370">
          <cell r="C370">
            <v>0</v>
          </cell>
          <cell r="D370">
            <v>0</v>
          </cell>
          <cell r="E370">
            <v>0</v>
          </cell>
          <cell r="F370">
            <v>0</v>
          </cell>
        </row>
        <row r="371">
          <cell r="C371">
            <v>0</v>
          </cell>
          <cell r="D371">
            <v>0</v>
          </cell>
          <cell r="E371">
            <v>0</v>
          </cell>
          <cell r="F371">
            <v>0</v>
          </cell>
        </row>
        <row r="372">
          <cell r="C372">
            <v>0</v>
          </cell>
          <cell r="D372">
            <v>0</v>
          </cell>
          <cell r="E372">
            <v>0</v>
          </cell>
          <cell r="F372">
            <v>0</v>
          </cell>
        </row>
        <row r="373">
          <cell r="C373">
            <v>0</v>
          </cell>
          <cell r="D373">
            <v>0</v>
          </cell>
          <cell r="E373">
            <v>0</v>
          </cell>
          <cell r="F373">
            <v>0</v>
          </cell>
        </row>
        <row r="374">
          <cell r="C374">
            <v>0</v>
          </cell>
          <cell r="D374">
            <v>0</v>
          </cell>
          <cell r="E374">
            <v>0</v>
          </cell>
          <cell r="F374">
            <v>0</v>
          </cell>
        </row>
        <row r="375">
          <cell r="C375">
            <v>0</v>
          </cell>
          <cell r="D375">
            <v>0</v>
          </cell>
          <cell r="E375">
            <v>0</v>
          </cell>
          <cell r="F375">
            <v>0</v>
          </cell>
        </row>
        <row r="376">
          <cell r="C376">
            <v>0</v>
          </cell>
          <cell r="D376">
            <v>0</v>
          </cell>
          <cell r="E376">
            <v>0</v>
          </cell>
          <cell r="F376">
            <v>0</v>
          </cell>
        </row>
        <row r="377">
          <cell r="C377">
            <v>0</v>
          </cell>
          <cell r="D377">
            <v>0</v>
          </cell>
          <cell r="E377">
            <v>0</v>
          </cell>
          <cell r="F377">
            <v>0</v>
          </cell>
        </row>
        <row r="378">
          <cell r="C378">
            <v>0</v>
          </cell>
          <cell r="D378">
            <v>0</v>
          </cell>
          <cell r="E378">
            <v>0</v>
          </cell>
          <cell r="F378">
            <v>0</v>
          </cell>
        </row>
        <row r="379">
          <cell r="C379">
            <v>0</v>
          </cell>
          <cell r="D379">
            <v>0</v>
          </cell>
          <cell r="E379">
            <v>0</v>
          </cell>
          <cell r="F379">
            <v>0</v>
          </cell>
        </row>
        <row r="380">
          <cell r="C380">
            <v>0</v>
          </cell>
          <cell r="D380">
            <v>0</v>
          </cell>
          <cell r="E380">
            <v>0</v>
          </cell>
          <cell r="F380">
            <v>0</v>
          </cell>
        </row>
        <row r="381">
          <cell r="C381">
            <v>0</v>
          </cell>
          <cell r="D381">
            <v>0</v>
          </cell>
          <cell r="E381">
            <v>0</v>
          </cell>
          <cell r="F381">
            <v>0</v>
          </cell>
        </row>
        <row r="382">
          <cell r="C382">
            <v>0</v>
          </cell>
          <cell r="D382">
            <v>0</v>
          </cell>
          <cell r="E382">
            <v>0</v>
          </cell>
          <cell r="F382">
            <v>0</v>
          </cell>
        </row>
        <row r="383">
          <cell r="C383">
            <v>0</v>
          </cell>
          <cell r="D383">
            <v>0</v>
          </cell>
          <cell r="E383">
            <v>0</v>
          </cell>
          <cell r="F383">
            <v>0</v>
          </cell>
        </row>
        <row r="384">
          <cell r="C384">
            <v>0</v>
          </cell>
          <cell r="D384">
            <v>0</v>
          </cell>
          <cell r="E384">
            <v>0</v>
          </cell>
          <cell r="F384">
            <v>0</v>
          </cell>
        </row>
        <row r="385">
          <cell r="C385">
            <v>0</v>
          </cell>
          <cell r="D385">
            <v>0</v>
          </cell>
          <cell r="E385">
            <v>0</v>
          </cell>
          <cell r="F385">
            <v>0</v>
          </cell>
        </row>
        <row r="386">
          <cell r="C386">
            <v>0</v>
          </cell>
          <cell r="D386">
            <v>0</v>
          </cell>
          <cell r="E386">
            <v>0</v>
          </cell>
          <cell r="F386">
            <v>0</v>
          </cell>
        </row>
        <row r="387">
          <cell r="C387">
            <v>0</v>
          </cell>
          <cell r="D387">
            <v>0</v>
          </cell>
          <cell r="E387">
            <v>0</v>
          </cell>
          <cell r="F387">
            <v>0</v>
          </cell>
        </row>
        <row r="388">
          <cell r="C388">
            <v>0</v>
          </cell>
          <cell r="D388">
            <v>0</v>
          </cell>
          <cell r="E388">
            <v>0</v>
          </cell>
          <cell r="F388">
            <v>0</v>
          </cell>
        </row>
        <row r="389">
          <cell r="C389">
            <v>0</v>
          </cell>
          <cell r="D389">
            <v>0</v>
          </cell>
          <cell r="E389">
            <v>0</v>
          </cell>
          <cell r="F389">
            <v>0</v>
          </cell>
        </row>
        <row r="390">
          <cell r="C390">
            <v>0</v>
          </cell>
          <cell r="D390">
            <v>0</v>
          </cell>
          <cell r="E390">
            <v>0</v>
          </cell>
          <cell r="F390">
            <v>0</v>
          </cell>
        </row>
        <row r="391">
          <cell r="C391">
            <v>0</v>
          </cell>
          <cell r="D391">
            <v>0</v>
          </cell>
          <cell r="E391">
            <v>0</v>
          </cell>
          <cell r="F391">
            <v>0</v>
          </cell>
        </row>
        <row r="392">
          <cell r="C392">
            <v>0</v>
          </cell>
          <cell r="D392">
            <v>0</v>
          </cell>
          <cell r="E392">
            <v>0</v>
          </cell>
          <cell r="F392">
            <v>0</v>
          </cell>
        </row>
        <row r="393">
          <cell r="C393">
            <v>0</v>
          </cell>
          <cell r="D393">
            <v>0</v>
          </cell>
          <cell r="E393">
            <v>0</v>
          </cell>
          <cell r="F393">
            <v>0</v>
          </cell>
        </row>
        <row r="394">
          <cell r="C394">
            <v>0</v>
          </cell>
          <cell r="D394">
            <v>0</v>
          </cell>
          <cell r="E394">
            <v>0</v>
          </cell>
          <cell r="F394">
            <v>0</v>
          </cell>
        </row>
        <row r="395">
          <cell r="C395">
            <v>0</v>
          </cell>
          <cell r="D395">
            <v>0</v>
          </cell>
          <cell r="E395">
            <v>0</v>
          </cell>
          <cell r="F395">
            <v>0</v>
          </cell>
        </row>
        <row r="396">
          <cell r="C396">
            <v>0</v>
          </cell>
          <cell r="D396">
            <v>0</v>
          </cell>
          <cell r="E396">
            <v>0</v>
          </cell>
          <cell r="F396">
            <v>0</v>
          </cell>
        </row>
        <row r="397">
          <cell r="C397">
            <v>0</v>
          </cell>
          <cell r="D397">
            <v>0</v>
          </cell>
          <cell r="E397">
            <v>0</v>
          </cell>
          <cell r="F397">
            <v>0</v>
          </cell>
        </row>
        <row r="398">
          <cell r="C398">
            <v>0</v>
          </cell>
          <cell r="D398">
            <v>0</v>
          </cell>
          <cell r="E398">
            <v>0</v>
          </cell>
          <cell r="F398">
            <v>0</v>
          </cell>
        </row>
        <row r="399">
          <cell r="C399">
            <v>0</v>
          </cell>
          <cell r="D399">
            <v>0</v>
          </cell>
          <cell r="E399">
            <v>0</v>
          </cell>
          <cell r="F399">
            <v>0</v>
          </cell>
        </row>
        <row r="400">
          <cell r="C400">
            <v>0</v>
          </cell>
          <cell r="D400">
            <v>0</v>
          </cell>
          <cell r="E400">
            <v>0</v>
          </cell>
          <cell r="F400">
            <v>0</v>
          </cell>
        </row>
        <row r="401">
          <cell r="C401">
            <v>0</v>
          </cell>
          <cell r="D401">
            <v>0</v>
          </cell>
          <cell r="E401">
            <v>0</v>
          </cell>
          <cell r="F401">
            <v>0</v>
          </cell>
        </row>
        <row r="402">
          <cell r="C402">
            <v>0</v>
          </cell>
          <cell r="D402">
            <v>0</v>
          </cell>
          <cell r="E402">
            <v>0</v>
          </cell>
          <cell r="F402">
            <v>0</v>
          </cell>
        </row>
        <row r="403">
          <cell r="C403">
            <v>0</v>
          </cell>
          <cell r="D403">
            <v>0</v>
          </cell>
          <cell r="E403">
            <v>0</v>
          </cell>
          <cell r="F403">
            <v>0</v>
          </cell>
        </row>
        <row r="404">
          <cell r="C404">
            <v>0</v>
          </cell>
          <cell r="D404">
            <v>0</v>
          </cell>
          <cell r="E404">
            <v>0</v>
          </cell>
          <cell r="F404">
            <v>0</v>
          </cell>
        </row>
        <row r="405">
          <cell r="C405">
            <v>0</v>
          </cell>
          <cell r="D405">
            <v>0</v>
          </cell>
          <cell r="E405">
            <v>0</v>
          </cell>
          <cell r="F405">
            <v>0</v>
          </cell>
        </row>
        <row r="406">
          <cell r="C406">
            <v>0</v>
          </cell>
          <cell r="D406">
            <v>0</v>
          </cell>
          <cell r="E406">
            <v>0</v>
          </cell>
          <cell r="F406">
            <v>0</v>
          </cell>
        </row>
        <row r="407">
          <cell r="C407">
            <v>0</v>
          </cell>
          <cell r="D407">
            <v>0</v>
          </cell>
          <cell r="E407">
            <v>0</v>
          </cell>
          <cell r="F407">
            <v>0</v>
          </cell>
        </row>
        <row r="408">
          <cell r="C408">
            <v>0</v>
          </cell>
          <cell r="D408">
            <v>0</v>
          </cell>
          <cell r="E408">
            <v>0</v>
          </cell>
          <cell r="F408">
            <v>0</v>
          </cell>
        </row>
        <row r="409">
          <cell r="C409">
            <v>0</v>
          </cell>
          <cell r="D409">
            <v>0</v>
          </cell>
          <cell r="E409">
            <v>0</v>
          </cell>
          <cell r="F409">
            <v>0</v>
          </cell>
        </row>
        <row r="410">
          <cell r="C410">
            <v>0</v>
          </cell>
          <cell r="D410">
            <v>0</v>
          </cell>
          <cell r="E410">
            <v>0</v>
          </cell>
          <cell r="F410">
            <v>0</v>
          </cell>
        </row>
        <row r="411">
          <cell r="C411">
            <v>0</v>
          </cell>
          <cell r="D411">
            <v>0</v>
          </cell>
          <cell r="E411">
            <v>0</v>
          </cell>
          <cell r="F411">
            <v>0</v>
          </cell>
        </row>
        <row r="412">
          <cell r="C412">
            <v>0</v>
          </cell>
          <cell r="D412">
            <v>0</v>
          </cell>
          <cell r="E412">
            <v>0</v>
          </cell>
          <cell r="F412">
            <v>0</v>
          </cell>
        </row>
        <row r="413">
          <cell r="C413">
            <v>0</v>
          </cell>
          <cell r="D413">
            <v>0</v>
          </cell>
          <cell r="E413">
            <v>0</v>
          </cell>
          <cell r="F413">
            <v>0</v>
          </cell>
        </row>
        <row r="414">
          <cell r="C414">
            <v>0</v>
          </cell>
          <cell r="D414">
            <v>0</v>
          </cell>
          <cell r="E414">
            <v>0</v>
          </cell>
          <cell r="F414">
            <v>0</v>
          </cell>
        </row>
        <row r="415">
          <cell r="C415">
            <v>0</v>
          </cell>
          <cell r="D415">
            <v>0</v>
          </cell>
          <cell r="E415">
            <v>0</v>
          </cell>
          <cell r="F415">
            <v>0</v>
          </cell>
        </row>
        <row r="416">
          <cell r="C416">
            <v>0</v>
          </cell>
          <cell r="D416">
            <v>0</v>
          </cell>
          <cell r="E416">
            <v>0</v>
          </cell>
          <cell r="F416">
            <v>0</v>
          </cell>
        </row>
        <row r="417">
          <cell r="C417">
            <v>0</v>
          </cell>
          <cell r="D417">
            <v>0</v>
          </cell>
          <cell r="E417">
            <v>0</v>
          </cell>
          <cell r="F417">
            <v>0</v>
          </cell>
        </row>
        <row r="418">
          <cell r="C418">
            <v>0</v>
          </cell>
          <cell r="D418">
            <v>0</v>
          </cell>
          <cell r="E418">
            <v>0</v>
          </cell>
          <cell r="F418">
            <v>0</v>
          </cell>
        </row>
        <row r="419">
          <cell r="C419">
            <v>0</v>
          </cell>
          <cell r="D419">
            <v>0</v>
          </cell>
          <cell r="E419">
            <v>0</v>
          </cell>
          <cell r="F419">
            <v>0</v>
          </cell>
        </row>
        <row r="420">
          <cell r="C420">
            <v>0</v>
          </cell>
          <cell r="D420">
            <v>0</v>
          </cell>
          <cell r="E420">
            <v>0</v>
          </cell>
          <cell r="F420">
            <v>0</v>
          </cell>
        </row>
        <row r="421">
          <cell r="C421">
            <v>0</v>
          </cell>
          <cell r="D421">
            <v>0</v>
          </cell>
          <cell r="E421">
            <v>0</v>
          </cell>
          <cell r="F421">
            <v>0</v>
          </cell>
        </row>
        <row r="422">
          <cell r="C422">
            <v>0</v>
          </cell>
          <cell r="D422">
            <v>0</v>
          </cell>
          <cell r="E422">
            <v>0</v>
          </cell>
          <cell r="F422">
            <v>0</v>
          </cell>
        </row>
        <row r="423">
          <cell r="C423">
            <v>0</v>
          </cell>
          <cell r="D423">
            <v>0</v>
          </cell>
          <cell r="E423">
            <v>0</v>
          </cell>
          <cell r="F423">
            <v>0</v>
          </cell>
        </row>
        <row r="424">
          <cell r="C424">
            <v>0</v>
          </cell>
          <cell r="D424">
            <v>0</v>
          </cell>
          <cell r="E424">
            <v>0</v>
          </cell>
          <cell r="F424">
            <v>0</v>
          </cell>
        </row>
        <row r="425">
          <cell r="C425">
            <v>0</v>
          </cell>
          <cell r="D425">
            <v>0</v>
          </cell>
          <cell r="E425">
            <v>0</v>
          </cell>
          <cell r="F425">
            <v>0</v>
          </cell>
        </row>
        <row r="426">
          <cell r="C426">
            <v>0</v>
          </cell>
          <cell r="D426">
            <v>0</v>
          </cell>
          <cell r="E426">
            <v>0</v>
          </cell>
          <cell r="F426">
            <v>0</v>
          </cell>
        </row>
        <row r="427">
          <cell r="C427">
            <v>0</v>
          </cell>
          <cell r="D427">
            <v>0</v>
          </cell>
          <cell r="E427">
            <v>0</v>
          </cell>
          <cell r="F427">
            <v>0</v>
          </cell>
        </row>
        <row r="428">
          <cell r="C428">
            <v>0</v>
          </cell>
          <cell r="D428">
            <v>0</v>
          </cell>
          <cell r="E428">
            <v>0</v>
          </cell>
          <cell r="F428">
            <v>0</v>
          </cell>
        </row>
        <row r="429">
          <cell r="C429">
            <v>0</v>
          </cell>
          <cell r="D429">
            <v>0</v>
          </cell>
          <cell r="E429">
            <v>0</v>
          </cell>
          <cell r="F429">
            <v>0</v>
          </cell>
        </row>
        <row r="430">
          <cell r="C430">
            <v>0</v>
          </cell>
          <cell r="D430">
            <v>0</v>
          </cell>
          <cell r="E430">
            <v>0</v>
          </cell>
          <cell r="F430">
            <v>0</v>
          </cell>
        </row>
        <row r="431">
          <cell r="C431">
            <v>0</v>
          </cell>
          <cell r="D431">
            <v>0</v>
          </cell>
          <cell r="E431">
            <v>0</v>
          </cell>
          <cell r="F431">
            <v>0</v>
          </cell>
        </row>
        <row r="432">
          <cell r="C432">
            <v>0</v>
          </cell>
          <cell r="D432">
            <v>0</v>
          </cell>
          <cell r="E432">
            <v>0</v>
          </cell>
          <cell r="F432">
            <v>0</v>
          </cell>
        </row>
        <row r="433">
          <cell r="C433">
            <v>0</v>
          </cell>
          <cell r="D433">
            <v>0</v>
          </cell>
          <cell r="E433">
            <v>0</v>
          </cell>
          <cell r="F433">
            <v>0</v>
          </cell>
        </row>
        <row r="434">
          <cell r="C434">
            <v>0</v>
          </cell>
          <cell r="D434">
            <v>0</v>
          </cell>
          <cell r="E434">
            <v>0</v>
          </cell>
          <cell r="F434">
            <v>0</v>
          </cell>
        </row>
        <row r="435">
          <cell r="C435">
            <v>0</v>
          </cell>
          <cell r="D435">
            <v>0</v>
          </cell>
          <cell r="E435">
            <v>0</v>
          </cell>
          <cell r="F435">
            <v>0</v>
          </cell>
        </row>
        <row r="436">
          <cell r="C436">
            <v>0</v>
          </cell>
          <cell r="D436">
            <v>0</v>
          </cell>
          <cell r="E436">
            <v>0</v>
          </cell>
          <cell r="F436">
            <v>0</v>
          </cell>
        </row>
        <row r="437">
          <cell r="C437">
            <v>0</v>
          </cell>
          <cell r="D437">
            <v>0</v>
          </cell>
          <cell r="E437">
            <v>0</v>
          </cell>
          <cell r="F437">
            <v>0</v>
          </cell>
        </row>
        <row r="438">
          <cell r="C438">
            <v>0</v>
          </cell>
          <cell r="D438">
            <v>0</v>
          </cell>
          <cell r="E438">
            <v>0</v>
          </cell>
          <cell r="F438">
            <v>0</v>
          </cell>
        </row>
        <row r="439">
          <cell r="C439">
            <v>0</v>
          </cell>
          <cell r="D439">
            <v>0</v>
          </cell>
          <cell r="E439">
            <v>0</v>
          </cell>
          <cell r="F439">
            <v>0</v>
          </cell>
        </row>
        <row r="440">
          <cell r="C440">
            <v>0</v>
          </cell>
          <cell r="D440">
            <v>0</v>
          </cell>
          <cell r="E440">
            <v>0</v>
          </cell>
          <cell r="F440">
            <v>0</v>
          </cell>
        </row>
        <row r="441">
          <cell r="C441">
            <v>0</v>
          </cell>
          <cell r="D441">
            <v>0</v>
          </cell>
          <cell r="E441">
            <v>0</v>
          </cell>
          <cell r="F441">
            <v>0</v>
          </cell>
        </row>
        <row r="442">
          <cell r="C442">
            <v>0</v>
          </cell>
          <cell r="D442">
            <v>0</v>
          </cell>
          <cell r="E442">
            <v>0</v>
          </cell>
          <cell r="F442">
            <v>0</v>
          </cell>
        </row>
        <row r="443">
          <cell r="C443">
            <v>0</v>
          </cell>
          <cell r="D443">
            <v>0</v>
          </cell>
          <cell r="E443">
            <v>0</v>
          </cell>
          <cell r="F443">
            <v>0</v>
          </cell>
        </row>
        <row r="444">
          <cell r="C444">
            <v>0</v>
          </cell>
          <cell r="D444">
            <v>0</v>
          </cell>
          <cell r="E444">
            <v>0</v>
          </cell>
          <cell r="F444">
            <v>0</v>
          </cell>
        </row>
        <row r="445">
          <cell r="C445">
            <v>0</v>
          </cell>
          <cell r="D445">
            <v>0</v>
          </cell>
          <cell r="E445">
            <v>0</v>
          </cell>
          <cell r="F445">
            <v>0</v>
          </cell>
        </row>
        <row r="446">
          <cell r="C446">
            <v>0</v>
          </cell>
          <cell r="D446">
            <v>0</v>
          </cell>
          <cell r="E446">
            <v>0</v>
          </cell>
          <cell r="F446">
            <v>0</v>
          </cell>
        </row>
        <row r="447">
          <cell r="C447">
            <v>0</v>
          </cell>
          <cell r="D447">
            <v>0</v>
          </cell>
          <cell r="E447">
            <v>0</v>
          </cell>
          <cell r="F447">
            <v>0</v>
          </cell>
        </row>
        <row r="448">
          <cell r="C448">
            <v>0</v>
          </cell>
          <cell r="D448">
            <v>0</v>
          </cell>
          <cell r="E448">
            <v>0</v>
          </cell>
          <cell r="F448">
            <v>0</v>
          </cell>
        </row>
        <row r="449">
          <cell r="C449">
            <v>0</v>
          </cell>
          <cell r="D449">
            <v>0</v>
          </cell>
          <cell r="E449">
            <v>0</v>
          </cell>
          <cell r="F449">
            <v>0</v>
          </cell>
        </row>
        <row r="450">
          <cell r="C450">
            <v>0</v>
          </cell>
          <cell r="D450">
            <v>0</v>
          </cell>
          <cell r="E450">
            <v>0</v>
          </cell>
          <cell r="F450">
            <v>0</v>
          </cell>
        </row>
        <row r="451">
          <cell r="C451">
            <v>0</v>
          </cell>
          <cell r="D451">
            <v>0</v>
          </cell>
          <cell r="E451">
            <v>0</v>
          </cell>
          <cell r="F451">
            <v>0</v>
          </cell>
        </row>
        <row r="452">
          <cell r="C452">
            <v>0</v>
          </cell>
          <cell r="D452">
            <v>0</v>
          </cell>
          <cell r="E452">
            <v>0</v>
          </cell>
          <cell r="F452">
            <v>0</v>
          </cell>
        </row>
        <row r="453">
          <cell r="C453">
            <v>0</v>
          </cell>
          <cell r="D453">
            <v>0</v>
          </cell>
          <cell r="E453">
            <v>0</v>
          </cell>
          <cell r="F453">
            <v>0</v>
          </cell>
        </row>
        <row r="454">
          <cell r="C454">
            <v>0</v>
          </cell>
          <cell r="D454">
            <v>0</v>
          </cell>
          <cell r="E454">
            <v>0</v>
          </cell>
          <cell r="F454">
            <v>0</v>
          </cell>
        </row>
        <row r="455">
          <cell r="C455">
            <v>0</v>
          </cell>
          <cell r="D455">
            <v>0</v>
          </cell>
          <cell r="E455">
            <v>0</v>
          </cell>
          <cell r="F455">
            <v>0</v>
          </cell>
        </row>
        <row r="456">
          <cell r="C456">
            <v>0</v>
          </cell>
          <cell r="D456">
            <v>0</v>
          </cell>
          <cell r="E456">
            <v>0</v>
          </cell>
          <cell r="F456">
            <v>0</v>
          </cell>
        </row>
        <row r="457">
          <cell r="C457">
            <v>0</v>
          </cell>
          <cell r="D457">
            <v>0</v>
          </cell>
          <cell r="E457">
            <v>0</v>
          </cell>
          <cell r="F457">
            <v>0</v>
          </cell>
        </row>
        <row r="458">
          <cell r="C458">
            <v>0</v>
          </cell>
          <cell r="D458">
            <v>0</v>
          </cell>
          <cell r="E458">
            <v>0</v>
          </cell>
          <cell r="F458">
            <v>0</v>
          </cell>
        </row>
        <row r="459">
          <cell r="C459">
            <v>0</v>
          </cell>
          <cell r="D459">
            <v>0</v>
          </cell>
          <cell r="E459">
            <v>0</v>
          </cell>
          <cell r="F459">
            <v>0</v>
          </cell>
        </row>
        <row r="460">
          <cell r="C460">
            <v>0</v>
          </cell>
          <cell r="D460">
            <v>0</v>
          </cell>
          <cell r="E460">
            <v>0</v>
          </cell>
          <cell r="F460">
            <v>0</v>
          </cell>
        </row>
        <row r="461">
          <cell r="C461">
            <v>0</v>
          </cell>
          <cell r="D461">
            <v>0</v>
          </cell>
          <cell r="E461">
            <v>0</v>
          </cell>
          <cell r="F461">
            <v>0</v>
          </cell>
        </row>
        <row r="462">
          <cell r="C462">
            <v>0</v>
          </cell>
          <cell r="D462">
            <v>0</v>
          </cell>
          <cell r="E462">
            <v>0</v>
          </cell>
          <cell r="F462">
            <v>0</v>
          </cell>
        </row>
        <row r="463">
          <cell r="C463">
            <v>0</v>
          </cell>
          <cell r="D463">
            <v>0</v>
          </cell>
          <cell r="E463">
            <v>0</v>
          </cell>
          <cell r="F463">
            <v>0</v>
          </cell>
        </row>
        <row r="464">
          <cell r="C464">
            <v>0</v>
          </cell>
          <cell r="D464">
            <v>0</v>
          </cell>
          <cell r="E464">
            <v>0</v>
          </cell>
          <cell r="F464">
            <v>0</v>
          </cell>
        </row>
        <row r="465">
          <cell r="C465">
            <v>0</v>
          </cell>
          <cell r="D465">
            <v>0</v>
          </cell>
          <cell r="E465">
            <v>0</v>
          </cell>
          <cell r="F465">
            <v>0</v>
          </cell>
        </row>
        <row r="466">
          <cell r="C466">
            <v>0</v>
          </cell>
          <cell r="D466">
            <v>0</v>
          </cell>
          <cell r="E466">
            <v>0</v>
          </cell>
          <cell r="F466">
            <v>0</v>
          </cell>
        </row>
        <row r="467">
          <cell r="C467">
            <v>0</v>
          </cell>
          <cell r="D467">
            <v>0</v>
          </cell>
          <cell r="E467">
            <v>0</v>
          </cell>
          <cell r="F467">
            <v>0</v>
          </cell>
        </row>
        <row r="468">
          <cell r="C468">
            <v>0</v>
          </cell>
          <cell r="D468">
            <v>0</v>
          </cell>
          <cell r="E468">
            <v>0</v>
          </cell>
          <cell r="F468">
            <v>0</v>
          </cell>
        </row>
        <row r="469">
          <cell r="C469">
            <v>0</v>
          </cell>
          <cell r="D469">
            <v>0</v>
          </cell>
          <cell r="E469">
            <v>0</v>
          </cell>
          <cell r="F469">
            <v>0</v>
          </cell>
        </row>
        <row r="470">
          <cell r="C470">
            <v>0</v>
          </cell>
          <cell r="D470">
            <v>0</v>
          </cell>
          <cell r="E470">
            <v>0</v>
          </cell>
          <cell r="F470">
            <v>0</v>
          </cell>
        </row>
        <row r="471">
          <cell r="C471">
            <v>0</v>
          </cell>
          <cell r="D471">
            <v>0</v>
          </cell>
          <cell r="E471">
            <v>0</v>
          </cell>
          <cell r="F471">
            <v>0</v>
          </cell>
        </row>
        <row r="472">
          <cell r="C472">
            <v>0</v>
          </cell>
          <cell r="D472">
            <v>0</v>
          </cell>
          <cell r="E472">
            <v>0</v>
          </cell>
          <cell r="F472">
            <v>0</v>
          </cell>
        </row>
        <row r="473">
          <cell r="C473">
            <v>0</v>
          </cell>
          <cell r="D473">
            <v>0</v>
          </cell>
          <cell r="E473">
            <v>0</v>
          </cell>
          <cell r="F473">
            <v>0</v>
          </cell>
        </row>
        <row r="474">
          <cell r="C474">
            <v>0</v>
          </cell>
          <cell r="D474">
            <v>0</v>
          </cell>
          <cell r="E474">
            <v>0</v>
          </cell>
          <cell r="F474">
            <v>0</v>
          </cell>
        </row>
        <row r="475">
          <cell r="C475">
            <v>0</v>
          </cell>
          <cell r="D475">
            <v>0</v>
          </cell>
          <cell r="E475">
            <v>0</v>
          </cell>
          <cell r="F475">
            <v>0</v>
          </cell>
        </row>
        <row r="476">
          <cell r="C476">
            <v>0</v>
          </cell>
          <cell r="D476">
            <v>0</v>
          </cell>
          <cell r="E476">
            <v>0</v>
          </cell>
          <cell r="F476">
            <v>0</v>
          </cell>
        </row>
        <row r="477">
          <cell r="C477">
            <v>0</v>
          </cell>
          <cell r="D477">
            <v>0</v>
          </cell>
          <cell r="E477">
            <v>0</v>
          </cell>
          <cell r="F477">
            <v>0</v>
          </cell>
        </row>
        <row r="478">
          <cell r="C478">
            <v>0</v>
          </cell>
          <cell r="D478">
            <v>0</v>
          </cell>
          <cell r="E478">
            <v>0</v>
          </cell>
          <cell r="F478">
            <v>0</v>
          </cell>
        </row>
        <row r="479">
          <cell r="C479">
            <v>0</v>
          </cell>
          <cell r="D479">
            <v>0</v>
          </cell>
          <cell r="E479">
            <v>0</v>
          </cell>
          <cell r="F479">
            <v>0</v>
          </cell>
        </row>
        <row r="480">
          <cell r="C480">
            <v>0</v>
          </cell>
          <cell r="D480">
            <v>0</v>
          </cell>
          <cell r="E480">
            <v>0</v>
          </cell>
          <cell r="F480">
            <v>0</v>
          </cell>
        </row>
        <row r="481">
          <cell r="C481">
            <v>0</v>
          </cell>
          <cell r="D481">
            <v>0</v>
          </cell>
          <cell r="E481">
            <v>0</v>
          </cell>
          <cell r="F481">
            <v>0</v>
          </cell>
        </row>
        <row r="482">
          <cell r="C482">
            <v>0</v>
          </cell>
          <cell r="D482">
            <v>0</v>
          </cell>
          <cell r="E482">
            <v>0</v>
          </cell>
          <cell r="F482">
            <v>0</v>
          </cell>
        </row>
        <row r="483">
          <cell r="C483">
            <v>0</v>
          </cell>
          <cell r="D483">
            <v>0</v>
          </cell>
          <cell r="E483">
            <v>0</v>
          </cell>
          <cell r="F483">
            <v>0</v>
          </cell>
        </row>
        <row r="484">
          <cell r="C484">
            <v>0</v>
          </cell>
          <cell r="D484">
            <v>0</v>
          </cell>
          <cell r="E484">
            <v>0</v>
          </cell>
          <cell r="F484">
            <v>0</v>
          </cell>
        </row>
        <row r="485">
          <cell r="C485">
            <v>0</v>
          </cell>
          <cell r="D485">
            <v>0</v>
          </cell>
          <cell r="E485">
            <v>0</v>
          </cell>
          <cell r="F485">
            <v>0</v>
          </cell>
        </row>
        <row r="486">
          <cell r="C486">
            <v>0</v>
          </cell>
          <cell r="D486">
            <v>0</v>
          </cell>
          <cell r="E486">
            <v>0</v>
          </cell>
          <cell r="F486">
            <v>0</v>
          </cell>
        </row>
        <row r="487">
          <cell r="C487">
            <v>0</v>
          </cell>
          <cell r="D487">
            <v>0</v>
          </cell>
          <cell r="E487">
            <v>0</v>
          </cell>
          <cell r="F487">
            <v>0</v>
          </cell>
        </row>
        <row r="488">
          <cell r="C488">
            <v>0</v>
          </cell>
          <cell r="D488">
            <v>0</v>
          </cell>
          <cell r="E488">
            <v>0</v>
          </cell>
          <cell r="F488">
            <v>0</v>
          </cell>
        </row>
        <row r="489">
          <cell r="C489">
            <v>0</v>
          </cell>
          <cell r="D489">
            <v>0</v>
          </cell>
          <cell r="E489">
            <v>0</v>
          </cell>
          <cell r="F489">
            <v>0</v>
          </cell>
        </row>
        <row r="490">
          <cell r="C490">
            <v>0</v>
          </cell>
          <cell r="D490">
            <v>0</v>
          </cell>
          <cell r="E490">
            <v>0</v>
          </cell>
          <cell r="F490">
            <v>0</v>
          </cell>
        </row>
        <row r="491">
          <cell r="C491">
            <v>0</v>
          </cell>
          <cell r="D491">
            <v>0</v>
          </cell>
          <cell r="E491">
            <v>0</v>
          </cell>
          <cell r="F491">
            <v>0</v>
          </cell>
        </row>
        <row r="492">
          <cell r="C492">
            <v>0</v>
          </cell>
          <cell r="D492">
            <v>0</v>
          </cell>
          <cell r="E492">
            <v>0</v>
          </cell>
          <cell r="F492">
            <v>0</v>
          </cell>
        </row>
        <row r="493">
          <cell r="C493">
            <v>0</v>
          </cell>
          <cell r="D493">
            <v>0</v>
          </cell>
          <cell r="E493">
            <v>0</v>
          </cell>
          <cell r="F493">
            <v>0</v>
          </cell>
        </row>
        <row r="494">
          <cell r="C494">
            <v>0</v>
          </cell>
          <cell r="D494">
            <v>0</v>
          </cell>
          <cell r="E494">
            <v>0</v>
          </cell>
          <cell r="F494">
            <v>0</v>
          </cell>
        </row>
        <row r="495">
          <cell r="C495">
            <v>0</v>
          </cell>
          <cell r="D495">
            <v>0</v>
          </cell>
          <cell r="E495">
            <v>0</v>
          </cell>
          <cell r="F495">
            <v>0</v>
          </cell>
        </row>
        <row r="496">
          <cell r="C496">
            <v>0</v>
          </cell>
          <cell r="D496">
            <v>0</v>
          </cell>
          <cell r="E496">
            <v>0</v>
          </cell>
          <cell r="F496">
            <v>0</v>
          </cell>
        </row>
        <row r="497">
          <cell r="C497">
            <v>0</v>
          </cell>
          <cell r="D497">
            <v>0</v>
          </cell>
          <cell r="E497">
            <v>0</v>
          </cell>
          <cell r="F497">
            <v>0</v>
          </cell>
        </row>
        <row r="498">
          <cell r="C498">
            <v>0</v>
          </cell>
          <cell r="D498">
            <v>0</v>
          </cell>
          <cell r="E498">
            <v>0</v>
          </cell>
          <cell r="F498">
            <v>0</v>
          </cell>
        </row>
        <row r="499">
          <cell r="C499">
            <v>0</v>
          </cell>
          <cell r="D499">
            <v>0</v>
          </cell>
          <cell r="E499">
            <v>0</v>
          </cell>
          <cell r="F499">
            <v>0</v>
          </cell>
        </row>
        <row r="500">
          <cell r="C500">
            <v>0</v>
          </cell>
          <cell r="D500">
            <v>0</v>
          </cell>
          <cell r="E500">
            <v>0</v>
          </cell>
          <cell r="F500">
            <v>0</v>
          </cell>
        </row>
        <row r="501">
          <cell r="C501">
            <v>0</v>
          </cell>
          <cell r="D501">
            <v>0</v>
          </cell>
          <cell r="E501">
            <v>0</v>
          </cell>
          <cell r="F501">
            <v>0</v>
          </cell>
        </row>
        <row r="502">
          <cell r="C502">
            <v>0</v>
          </cell>
          <cell r="D502">
            <v>0</v>
          </cell>
          <cell r="E502">
            <v>0</v>
          </cell>
          <cell r="F502">
            <v>0</v>
          </cell>
        </row>
        <row r="503">
          <cell r="C503">
            <v>0</v>
          </cell>
          <cell r="D503">
            <v>0</v>
          </cell>
          <cell r="E503">
            <v>0</v>
          </cell>
          <cell r="F503">
            <v>0</v>
          </cell>
        </row>
        <row r="504">
          <cell r="C504">
            <v>0</v>
          </cell>
          <cell r="D504">
            <v>0</v>
          </cell>
          <cell r="E504">
            <v>0</v>
          </cell>
          <cell r="F504">
            <v>0</v>
          </cell>
        </row>
        <row r="505">
          <cell r="C505">
            <v>0</v>
          </cell>
          <cell r="D505">
            <v>0</v>
          </cell>
          <cell r="E505">
            <v>0</v>
          </cell>
          <cell r="F505">
            <v>0</v>
          </cell>
        </row>
        <row r="506">
          <cell r="C506">
            <v>0</v>
          </cell>
          <cell r="D506">
            <v>0</v>
          </cell>
          <cell r="E506">
            <v>0</v>
          </cell>
          <cell r="F506">
            <v>0</v>
          </cell>
        </row>
      </sheetData>
      <sheetData sheetId="9">
        <row r="7">
          <cell r="D7" t="str">
            <v>Name:</v>
          </cell>
          <cell r="G7" t="str">
            <v>ADINAN ABOOBACKER K</v>
          </cell>
          <cell r="N7" t="str">
            <v>Name:</v>
          </cell>
          <cell r="Q7" t="str">
            <v>MADHUNNABI MALAYALAM</v>
          </cell>
        </row>
        <row r="8">
          <cell r="D8" t="str">
            <v>Section:</v>
          </cell>
          <cell r="G8" t="str">
            <v>SUB JUNIOR</v>
          </cell>
          <cell r="N8" t="str">
            <v>Section:</v>
          </cell>
          <cell r="Q8" t="str">
            <v>SUB JUNIOR</v>
          </cell>
        </row>
        <row r="9">
          <cell r="D9" t="str">
            <v>Class:</v>
          </cell>
          <cell r="G9">
            <v>6</v>
          </cell>
          <cell r="N9" t="str">
            <v>Single/Group:</v>
          </cell>
          <cell r="Q9" t="str">
            <v>Single</v>
          </cell>
        </row>
        <row r="10">
          <cell r="D10" t="str">
            <v>Team:</v>
          </cell>
          <cell r="G10" t="str">
            <v>A</v>
          </cell>
          <cell r="N10" t="str">
            <v>Stage/Non-Stg:</v>
          </cell>
          <cell r="Q10" t="str">
            <v>Stage</v>
          </cell>
        </row>
        <row r="11">
          <cell r="D11" t="str">
            <v>P Score:</v>
          </cell>
          <cell r="G11">
            <v>0</v>
          </cell>
          <cell r="N11" t="str">
            <v>Candi. Count:</v>
          </cell>
          <cell r="Q11">
            <v>6</v>
          </cell>
        </row>
        <row r="12">
          <cell r="D12" t="str">
            <v>TP Score:</v>
          </cell>
          <cell r="G12">
            <v>0</v>
          </cell>
          <cell r="N12" t="str">
            <v>Position Scale:</v>
          </cell>
          <cell r="Q12" t="str">
            <v>Individual</v>
          </cell>
        </row>
        <row r="13">
          <cell r="D13" t="str">
            <v>Total Score:</v>
          </cell>
          <cell r="G13">
            <v>0</v>
          </cell>
          <cell r="N13" t="str">
            <v>Grade Scale:</v>
          </cell>
          <cell r="Q13" t="str">
            <v>Individual</v>
          </cell>
        </row>
        <row r="14">
          <cell r="D14" t="str">
            <v>Total Rank:</v>
          </cell>
          <cell r="G14">
            <v>1</v>
          </cell>
        </row>
        <row r="15">
          <cell r="D15" t="str">
            <v>Rank in Section:</v>
          </cell>
          <cell r="G15">
            <v>0</v>
          </cell>
          <cell r="N15" t="str">
            <v>Status:</v>
          </cell>
          <cell r="Q15" t="str">
            <v>ENTERED</v>
          </cell>
        </row>
        <row r="17">
          <cell r="D17" t="str">
            <v>Programs</v>
          </cell>
          <cell r="N17" t="str">
            <v>Candidates</v>
          </cell>
        </row>
        <row r="18">
          <cell r="D18" t="str">
            <v>Sl.</v>
          </cell>
          <cell r="E18" t="str">
            <v>Code</v>
          </cell>
          <cell r="F18" t="str">
            <v>Program name</v>
          </cell>
          <cell r="J18" t="str">
            <v>Position</v>
          </cell>
          <cell r="K18" t="str">
            <v>Grade</v>
          </cell>
          <cell r="L18" t="str">
            <v>Score</v>
          </cell>
          <cell r="N18" t="str">
            <v>Sl.</v>
          </cell>
          <cell r="O18" t="str">
            <v>Chest No.</v>
          </cell>
          <cell r="Q18" t="str">
            <v>Candidate name</v>
          </cell>
          <cell r="S18" t="str">
            <v>Team</v>
          </cell>
          <cell r="T18" t="str">
            <v>Position</v>
          </cell>
          <cell r="U18" t="str">
            <v>Grade</v>
          </cell>
          <cell r="V18" t="str">
            <v>Score</v>
          </cell>
        </row>
        <row r="19">
          <cell r="D19">
            <v>1</v>
          </cell>
          <cell r="E19" t="e">
            <v>#VALUE!</v>
          </cell>
          <cell r="F19" t="e">
            <v>#VALUE!</v>
          </cell>
          <cell r="I19" t="e">
            <v>#VALUE!</v>
          </cell>
          <cell r="N19">
            <v>1</v>
          </cell>
          <cell r="O19" t="e">
            <v>#VALUE!</v>
          </cell>
          <cell r="Q19" t="e">
            <v>#VALUE!</v>
          </cell>
          <cell r="R19" t="e">
            <v>#VALUE!</v>
          </cell>
          <cell r="S19" t="e">
            <v>#VALUE!</v>
          </cell>
        </row>
        <row r="20">
          <cell r="D20">
            <v>2</v>
          </cell>
          <cell r="F20" t="str">
            <v/>
          </cell>
          <cell r="I20" t="str">
            <v/>
          </cell>
          <cell r="N20">
            <v>2</v>
          </cell>
          <cell r="Q20" t="str">
            <v/>
          </cell>
          <cell r="R20" t="str">
            <v/>
          </cell>
          <cell r="S20" t="str">
            <v/>
          </cell>
        </row>
        <row r="21">
          <cell r="D21">
            <v>3</v>
          </cell>
          <cell r="F21" t="str">
            <v/>
          </cell>
          <cell r="I21" t="str">
            <v/>
          </cell>
          <cell r="N21">
            <v>3</v>
          </cell>
          <cell r="Q21" t="str">
            <v/>
          </cell>
          <cell r="R21" t="str">
            <v/>
          </cell>
          <cell r="S21" t="str">
            <v/>
          </cell>
        </row>
        <row r="22">
          <cell r="D22">
            <v>4</v>
          </cell>
          <cell r="F22" t="str">
            <v/>
          </cell>
          <cell r="I22" t="str">
            <v/>
          </cell>
          <cell r="N22">
            <v>4</v>
          </cell>
          <cell r="Q22" t="str">
            <v/>
          </cell>
          <cell r="R22" t="str">
            <v/>
          </cell>
          <cell r="S22" t="str">
            <v/>
          </cell>
        </row>
        <row r="23">
          <cell r="D23">
            <v>5</v>
          </cell>
          <cell r="F23" t="str">
            <v/>
          </cell>
          <cell r="I23" t="str">
            <v/>
          </cell>
          <cell r="N23">
            <v>5</v>
          </cell>
          <cell r="Q23" t="str">
            <v/>
          </cell>
          <cell r="R23" t="str">
            <v/>
          </cell>
          <cell r="S23" t="str">
            <v/>
          </cell>
        </row>
        <row r="24">
          <cell r="D24">
            <v>6</v>
          </cell>
          <cell r="F24" t="str">
            <v/>
          </cell>
          <cell r="I24" t="str">
            <v/>
          </cell>
          <cell r="N24">
            <v>6</v>
          </cell>
          <cell r="Q24" t="str">
            <v/>
          </cell>
          <cell r="R24" t="str">
            <v/>
          </cell>
          <cell r="S24" t="str">
            <v/>
          </cell>
        </row>
        <row r="25">
          <cell r="D25">
            <v>7</v>
          </cell>
          <cell r="F25" t="str">
            <v/>
          </cell>
          <cell r="I25" t="str">
            <v/>
          </cell>
          <cell r="N25">
            <v>7</v>
          </cell>
          <cell r="Q25" t="str">
            <v/>
          </cell>
          <cell r="R25" t="str">
            <v/>
          </cell>
          <cell r="S25" t="str">
            <v/>
          </cell>
        </row>
        <row r="26">
          <cell r="D26">
            <v>8</v>
          </cell>
          <cell r="F26" t="str">
            <v/>
          </cell>
          <cell r="I26" t="str">
            <v/>
          </cell>
          <cell r="N26">
            <v>8</v>
          </cell>
          <cell r="Q26" t="str">
            <v/>
          </cell>
          <cell r="R26" t="str">
            <v/>
          </cell>
          <cell r="S26" t="str">
            <v/>
          </cell>
        </row>
        <row r="27">
          <cell r="D27">
            <v>9</v>
          </cell>
          <cell r="F27" t="str">
            <v/>
          </cell>
          <cell r="I27" t="str">
            <v/>
          </cell>
          <cell r="N27">
            <v>9</v>
          </cell>
          <cell r="Q27" t="str">
            <v/>
          </cell>
          <cell r="R27" t="str">
            <v/>
          </cell>
          <cell r="S27" t="str">
            <v/>
          </cell>
        </row>
        <row r="28">
          <cell r="D28">
            <v>10</v>
          </cell>
          <cell r="F28" t="str">
            <v/>
          </cell>
          <cell r="I28" t="str">
            <v/>
          </cell>
          <cell r="N28">
            <v>10</v>
          </cell>
          <cell r="Q28" t="str">
            <v/>
          </cell>
          <cell r="R28" t="str">
            <v/>
          </cell>
          <cell r="S28" t="str">
            <v/>
          </cell>
        </row>
        <row r="29">
          <cell r="D29">
            <v>11</v>
          </cell>
          <cell r="F29" t="str">
            <v/>
          </cell>
          <cell r="I29" t="str">
            <v/>
          </cell>
          <cell r="N29">
            <v>11</v>
          </cell>
          <cell r="Q29" t="str">
            <v/>
          </cell>
          <cell r="R29" t="str">
            <v/>
          </cell>
          <cell r="S29" t="str">
            <v/>
          </cell>
        </row>
        <row r="30">
          <cell r="D30">
            <v>12</v>
          </cell>
          <cell r="F30" t="str">
            <v/>
          </cell>
          <cell r="I30" t="str">
            <v/>
          </cell>
          <cell r="N30">
            <v>12</v>
          </cell>
          <cell r="Q30" t="str">
            <v/>
          </cell>
          <cell r="R30" t="str">
            <v/>
          </cell>
          <cell r="S30" t="str">
            <v/>
          </cell>
        </row>
        <row r="31">
          <cell r="D31">
            <v>13</v>
          </cell>
          <cell r="F31" t="str">
            <v/>
          </cell>
          <cell r="I31" t="str">
            <v/>
          </cell>
          <cell r="N31">
            <v>13</v>
          </cell>
          <cell r="Q31" t="str">
            <v/>
          </cell>
          <cell r="R31" t="str">
            <v/>
          </cell>
          <cell r="S31" t="str">
            <v/>
          </cell>
        </row>
        <row r="32">
          <cell r="D32">
            <v>14</v>
          </cell>
          <cell r="F32" t="str">
            <v/>
          </cell>
          <cell r="I32" t="str">
            <v/>
          </cell>
          <cell r="N32">
            <v>14</v>
          </cell>
          <cell r="Q32" t="str">
            <v/>
          </cell>
          <cell r="R32" t="str">
            <v/>
          </cell>
          <cell r="S32" t="str">
            <v/>
          </cell>
        </row>
        <row r="33">
          <cell r="D33">
            <v>15</v>
          </cell>
          <cell r="F33" t="str">
            <v/>
          </cell>
          <cell r="I33" t="str">
            <v/>
          </cell>
          <cell r="N33">
            <v>15</v>
          </cell>
          <cell r="Q33" t="str">
            <v/>
          </cell>
          <cell r="R33" t="str">
            <v/>
          </cell>
          <cell r="S33" t="str">
            <v/>
          </cell>
        </row>
        <row r="34">
          <cell r="D34">
            <v>16</v>
          </cell>
          <cell r="F34" t="str">
            <v/>
          </cell>
          <cell r="I34" t="str">
            <v/>
          </cell>
          <cell r="N34">
            <v>16</v>
          </cell>
          <cell r="Q34" t="str">
            <v/>
          </cell>
          <cell r="R34" t="str">
            <v/>
          </cell>
          <cell r="S34" t="str">
            <v/>
          </cell>
        </row>
        <row r="35">
          <cell r="D35">
            <v>17</v>
          </cell>
          <cell r="F35" t="str">
            <v/>
          </cell>
          <cell r="I35" t="str">
            <v/>
          </cell>
          <cell r="N35">
            <v>17</v>
          </cell>
          <cell r="Q35" t="str">
            <v/>
          </cell>
          <cell r="R35" t="str">
            <v/>
          </cell>
          <cell r="S35" t="str">
            <v/>
          </cell>
        </row>
        <row r="36">
          <cell r="D36">
            <v>18</v>
          </cell>
          <cell r="F36" t="str">
            <v/>
          </cell>
          <cell r="I36" t="str">
            <v/>
          </cell>
          <cell r="N36">
            <v>18</v>
          </cell>
          <cell r="Q36" t="str">
            <v/>
          </cell>
          <cell r="R36" t="str">
            <v/>
          </cell>
          <cell r="S36" t="str">
            <v/>
          </cell>
        </row>
        <row r="37">
          <cell r="D37">
            <v>19</v>
          </cell>
          <cell r="F37" t="str">
            <v/>
          </cell>
          <cell r="I37" t="str">
            <v/>
          </cell>
          <cell r="N37">
            <v>19</v>
          </cell>
          <cell r="Q37" t="str">
            <v/>
          </cell>
          <cell r="R37" t="str">
            <v/>
          </cell>
          <cell r="S37" t="str">
            <v/>
          </cell>
        </row>
        <row r="38">
          <cell r="D38">
            <v>20</v>
          </cell>
          <cell r="F38" t="str">
            <v/>
          </cell>
          <cell r="I38" t="str">
            <v/>
          </cell>
          <cell r="N38">
            <v>20</v>
          </cell>
          <cell r="Q38" t="str">
            <v/>
          </cell>
          <cell r="R38" t="str">
            <v/>
          </cell>
          <cell r="S38" t="str">
            <v/>
          </cell>
        </row>
        <row r="39">
          <cell r="D39">
            <v>21</v>
          </cell>
          <cell r="F39" t="str">
            <v/>
          </cell>
          <cell r="I39" t="str">
            <v/>
          </cell>
          <cell r="N39">
            <v>21</v>
          </cell>
          <cell r="Q39" t="str">
            <v/>
          </cell>
          <cell r="R39" t="str">
            <v/>
          </cell>
          <cell r="S39" t="str">
            <v/>
          </cell>
        </row>
        <row r="40">
          <cell r="D40">
            <v>22</v>
          </cell>
          <cell r="F40" t="str">
            <v/>
          </cell>
          <cell r="I40" t="str">
            <v/>
          </cell>
          <cell r="N40">
            <v>22</v>
          </cell>
          <cell r="Q40" t="str">
            <v/>
          </cell>
          <cell r="R40" t="str">
            <v/>
          </cell>
          <cell r="S40" t="str">
            <v/>
          </cell>
        </row>
        <row r="41">
          <cell r="D41">
            <v>23</v>
          </cell>
          <cell r="F41" t="str">
            <v/>
          </cell>
          <cell r="I41" t="str">
            <v/>
          </cell>
          <cell r="N41">
            <v>23</v>
          </cell>
          <cell r="Q41" t="str">
            <v/>
          </cell>
          <cell r="R41" t="str">
            <v/>
          </cell>
          <cell r="S41" t="str">
            <v/>
          </cell>
        </row>
        <row r="42">
          <cell r="D42">
            <v>24</v>
          </cell>
          <cell r="F42" t="str">
            <v/>
          </cell>
          <cell r="I42" t="str">
            <v/>
          </cell>
          <cell r="N42">
            <v>24</v>
          </cell>
          <cell r="Q42" t="str">
            <v/>
          </cell>
          <cell r="R42" t="str">
            <v/>
          </cell>
          <cell r="S42" t="str">
            <v/>
          </cell>
        </row>
        <row r="43">
          <cell r="D43">
            <v>25</v>
          </cell>
          <cell r="F43" t="str">
            <v/>
          </cell>
          <cell r="I43" t="str">
            <v/>
          </cell>
          <cell r="N43">
            <v>25</v>
          </cell>
          <cell r="Q43" t="str">
            <v/>
          </cell>
          <cell r="R43" t="str">
            <v/>
          </cell>
          <cell r="S43" t="str">
            <v/>
          </cell>
        </row>
        <row r="44">
          <cell r="D44">
            <v>26</v>
          </cell>
          <cell r="F44" t="str">
            <v/>
          </cell>
          <cell r="I44" t="str">
            <v/>
          </cell>
          <cell r="N44">
            <v>26</v>
          </cell>
          <cell r="Q44" t="str">
            <v/>
          </cell>
          <cell r="R44" t="str">
            <v/>
          </cell>
          <cell r="S44" t="str">
            <v/>
          </cell>
        </row>
        <row r="45">
          <cell r="D45">
            <v>27</v>
          </cell>
          <cell r="F45" t="str">
            <v/>
          </cell>
          <cell r="I45" t="str">
            <v/>
          </cell>
          <cell r="N45">
            <v>27</v>
          </cell>
          <cell r="Q45" t="str">
            <v/>
          </cell>
          <cell r="R45" t="str">
            <v/>
          </cell>
          <cell r="S45" t="str">
            <v/>
          </cell>
        </row>
        <row r="46">
          <cell r="D46">
            <v>28</v>
          </cell>
          <cell r="F46" t="str">
            <v/>
          </cell>
          <cell r="I46" t="str">
            <v/>
          </cell>
          <cell r="N46">
            <v>28</v>
          </cell>
          <cell r="Q46" t="str">
            <v/>
          </cell>
          <cell r="R46" t="str">
            <v/>
          </cell>
          <cell r="S46" t="str">
            <v/>
          </cell>
        </row>
        <row r="47">
          <cell r="D47">
            <v>29</v>
          </cell>
          <cell r="F47" t="str">
            <v/>
          </cell>
          <cell r="I47" t="str">
            <v/>
          </cell>
          <cell r="N47">
            <v>29</v>
          </cell>
          <cell r="Q47" t="str">
            <v/>
          </cell>
          <cell r="R47" t="str">
            <v/>
          </cell>
          <cell r="S47" t="str">
            <v/>
          </cell>
        </row>
        <row r="48">
          <cell r="D48">
            <v>30</v>
          </cell>
          <cell r="F48" t="str">
            <v/>
          </cell>
          <cell r="I48" t="str">
            <v/>
          </cell>
          <cell r="N48">
            <v>30</v>
          </cell>
          <cell r="Q48" t="str">
            <v/>
          </cell>
          <cell r="R48" t="str">
            <v/>
          </cell>
          <cell r="S48" t="str">
            <v/>
          </cell>
        </row>
        <row r="49">
          <cell r="D49">
            <v>31</v>
          </cell>
          <cell r="F49" t="str">
            <v/>
          </cell>
          <cell r="I49" t="str">
            <v/>
          </cell>
          <cell r="N49">
            <v>31</v>
          </cell>
          <cell r="Q49" t="str">
            <v/>
          </cell>
          <cell r="R49" t="str">
            <v/>
          </cell>
          <cell r="S49" t="str">
            <v/>
          </cell>
        </row>
        <row r="50">
          <cell r="D50">
            <v>32</v>
          </cell>
          <cell r="F50" t="str">
            <v/>
          </cell>
          <cell r="I50" t="str">
            <v/>
          </cell>
          <cell r="N50">
            <v>32</v>
          </cell>
          <cell r="Q50" t="str">
            <v/>
          </cell>
          <cell r="R50" t="str">
            <v/>
          </cell>
          <cell r="S50" t="str">
            <v/>
          </cell>
        </row>
        <row r="51">
          <cell r="D51">
            <v>33</v>
          </cell>
          <cell r="F51" t="str">
            <v/>
          </cell>
          <cell r="I51" t="str">
            <v/>
          </cell>
          <cell r="N51">
            <v>33</v>
          </cell>
          <cell r="Q51" t="str">
            <v/>
          </cell>
          <cell r="R51" t="str">
            <v/>
          </cell>
          <cell r="S51" t="str">
            <v/>
          </cell>
        </row>
        <row r="52">
          <cell r="D52">
            <v>34</v>
          </cell>
          <cell r="F52" t="str">
            <v/>
          </cell>
          <cell r="I52" t="str">
            <v/>
          </cell>
          <cell r="N52">
            <v>34</v>
          </cell>
          <cell r="Q52" t="str">
            <v/>
          </cell>
          <cell r="R52" t="str">
            <v/>
          </cell>
          <cell r="S52" t="str">
            <v/>
          </cell>
        </row>
        <row r="53">
          <cell r="D53">
            <v>35</v>
          </cell>
          <cell r="F53" t="str">
            <v/>
          </cell>
          <cell r="I53" t="str">
            <v/>
          </cell>
          <cell r="N53">
            <v>35</v>
          </cell>
          <cell r="Q53" t="str">
            <v/>
          </cell>
          <cell r="R53" t="str">
            <v/>
          </cell>
          <cell r="S53" t="str">
            <v/>
          </cell>
        </row>
        <row r="54">
          <cell r="D54">
            <v>36</v>
          </cell>
          <cell r="F54" t="str">
            <v/>
          </cell>
          <cell r="I54" t="str">
            <v/>
          </cell>
          <cell r="N54">
            <v>36</v>
          </cell>
          <cell r="Q54" t="str">
            <v/>
          </cell>
          <cell r="R54" t="str">
            <v/>
          </cell>
          <cell r="S54" t="str">
            <v/>
          </cell>
        </row>
        <row r="55">
          <cell r="D55">
            <v>37</v>
          </cell>
          <cell r="F55" t="str">
            <v/>
          </cell>
          <cell r="I55" t="str">
            <v/>
          </cell>
          <cell r="N55">
            <v>37</v>
          </cell>
          <cell r="Q55" t="str">
            <v/>
          </cell>
          <cell r="R55" t="str">
            <v/>
          </cell>
          <cell r="S55" t="str">
            <v/>
          </cell>
        </row>
        <row r="56">
          <cell r="D56">
            <v>38</v>
          </cell>
          <cell r="F56" t="str">
            <v/>
          </cell>
          <cell r="I56" t="str">
            <v/>
          </cell>
          <cell r="N56">
            <v>38</v>
          </cell>
          <cell r="Q56" t="str">
            <v/>
          </cell>
          <cell r="R56" t="str">
            <v/>
          </cell>
          <cell r="S56" t="str">
            <v/>
          </cell>
        </row>
        <row r="57">
          <cell r="D57">
            <v>39</v>
          </cell>
          <cell r="F57" t="str">
            <v/>
          </cell>
          <cell r="I57" t="str">
            <v/>
          </cell>
          <cell r="N57">
            <v>39</v>
          </cell>
          <cell r="Q57" t="str">
            <v/>
          </cell>
          <cell r="R57" t="str">
            <v/>
          </cell>
          <cell r="S57" t="str">
            <v/>
          </cell>
        </row>
        <row r="58">
          <cell r="D58">
            <v>40</v>
          </cell>
          <cell r="F58" t="str">
            <v/>
          </cell>
          <cell r="I58" t="str">
            <v/>
          </cell>
          <cell r="N58">
            <v>40</v>
          </cell>
          <cell r="Q58" t="str">
            <v/>
          </cell>
          <cell r="R58" t="str">
            <v/>
          </cell>
          <cell r="S58" t="str">
            <v/>
          </cell>
        </row>
        <row r="59">
          <cell r="D59">
            <v>41</v>
          </cell>
          <cell r="F59" t="str">
            <v/>
          </cell>
          <cell r="I59" t="str">
            <v/>
          </cell>
          <cell r="N59">
            <v>41</v>
          </cell>
          <cell r="Q59" t="str">
            <v/>
          </cell>
          <cell r="R59" t="str">
            <v/>
          </cell>
          <cell r="S59" t="str">
            <v/>
          </cell>
        </row>
        <row r="60">
          <cell r="D60">
            <v>42</v>
          </cell>
          <cell r="F60" t="str">
            <v/>
          </cell>
          <cell r="I60" t="str">
            <v/>
          </cell>
          <cell r="N60">
            <v>42</v>
          </cell>
          <cell r="Q60" t="str">
            <v/>
          </cell>
          <cell r="R60" t="str">
            <v/>
          </cell>
          <cell r="S60" t="str">
            <v/>
          </cell>
        </row>
        <row r="61">
          <cell r="D61">
            <v>43</v>
          </cell>
          <cell r="F61" t="str">
            <v/>
          </cell>
          <cell r="I61" t="str">
            <v/>
          </cell>
          <cell r="N61">
            <v>43</v>
          </cell>
          <cell r="Q61" t="str">
            <v/>
          </cell>
          <cell r="R61" t="str">
            <v/>
          </cell>
          <cell r="S61" t="str">
            <v/>
          </cell>
        </row>
        <row r="62">
          <cell r="D62">
            <v>44</v>
          </cell>
          <cell r="F62" t="str">
            <v/>
          </cell>
          <cell r="I62" t="str">
            <v/>
          </cell>
          <cell r="N62">
            <v>44</v>
          </cell>
          <cell r="Q62" t="str">
            <v/>
          </cell>
          <cell r="R62" t="str">
            <v/>
          </cell>
          <cell r="S62" t="str">
            <v/>
          </cell>
        </row>
        <row r="63">
          <cell r="D63">
            <v>45</v>
          </cell>
          <cell r="F63" t="str">
            <v/>
          </cell>
          <cell r="I63" t="str">
            <v/>
          </cell>
          <cell r="N63">
            <v>45</v>
          </cell>
          <cell r="Q63" t="str">
            <v/>
          </cell>
          <cell r="R63" t="str">
            <v/>
          </cell>
          <cell r="S63" t="str">
            <v/>
          </cell>
        </row>
        <row r="64">
          <cell r="D64">
            <v>46</v>
          </cell>
          <cell r="F64" t="str">
            <v/>
          </cell>
          <cell r="I64" t="str">
            <v/>
          </cell>
          <cell r="N64">
            <v>46</v>
          </cell>
          <cell r="Q64" t="str">
            <v/>
          </cell>
          <cell r="R64" t="str">
            <v/>
          </cell>
          <cell r="S64" t="str">
            <v/>
          </cell>
        </row>
        <row r="65">
          <cell r="D65">
            <v>47</v>
          </cell>
          <cell r="F65" t="str">
            <v/>
          </cell>
          <cell r="I65" t="str">
            <v/>
          </cell>
          <cell r="N65">
            <v>47</v>
          </cell>
          <cell r="Q65" t="str">
            <v/>
          </cell>
          <cell r="R65" t="str">
            <v/>
          </cell>
          <cell r="S65" t="str">
            <v/>
          </cell>
        </row>
        <row r="66">
          <cell r="D66">
            <v>48</v>
          </cell>
          <cell r="F66" t="str">
            <v/>
          </cell>
          <cell r="I66" t="str">
            <v/>
          </cell>
          <cell r="N66">
            <v>48</v>
          </cell>
          <cell r="Q66" t="str">
            <v/>
          </cell>
          <cell r="R66" t="str">
            <v/>
          </cell>
          <cell r="S66" t="str">
            <v/>
          </cell>
        </row>
        <row r="67">
          <cell r="D67">
            <v>49</v>
          </cell>
          <cell r="F67" t="str">
            <v/>
          </cell>
          <cell r="I67" t="str">
            <v/>
          </cell>
        </row>
        <row r="68">
          <cell r="D68">
            <v>50</v>
          </cell>
          <cell r="F68" t="str">
            <v/>
          </cell>
          <cell r="I68" t="str">
            <v/>
          </cell>
        </row>
        <row r="69">
          <cell r="D69">
            <v>51</v>
          </cell>
          <cell r="F69" t="str">
            <v/>
          </cell>
          <cell r="I69" t="str">
            <v/>
          </cell>
        </row>
        <row r="70">
          <cell r="D70">
            <v>52</v>
          </cell>
          <cell r="F70" t="str">
            <v/>
          </cell>
          <cell r="I70" t="str">
            <v/>
          </cell>
        </row>
        <row r="71">
          <cell r="D71">
            <v>53</v>
          </cell>
          <cell r="F71" t="str">
            <v/>
          </cell>
          <cell r="I71" t="str">
            <v/>
          </cell>
        </row>
        <row r="72">
          <cell r="D72">
            <v>54</v>
          </cell>
          <cell r="F72" t="str">
            <v/>
          </cell>
          <cell r="I72" t="str">
            <v/>
          </cell>
        </row>
        <row r="73">
          <cell r="D73">
            <v>55</v>
          </cell>
          <cell r="F73" t="str">
            <v/>
          </cell>
          <cell r="I73" t="str">
            <v/>
          </cell>
        </row>
        <row r="74">
          <cell r="D74">
            <v>56</v>
          </cell>
          <cell r="F74" t="str">
            <v/>
          </cell>
          <cell r="I74" t="str">
            <v/>
          </cell>
        </row>
        <row r="75">
          <cell r="D75">
            <v>57</v>
          </cell>
          <cell r="F75" t="str">
            <v/>
          </cell>
          <cell r="I75" t="str">
            <v/>
          </cell>
        </row>
        <row r="76">
          <cell r="D76">
            <v>58</v>
          </cell>
          <cell r="F76" t="str">
            <v/>
          </cell>
          <cell r="I76" t="str">
            <v/>
          </cell>
        </row>
        <row r="77">
          <cell r="D77">
            <v>59</v>
          </cell>
          <cell r="F77" t="str">
            <v/>
          </cell>
          <cell r="I77" t="str">
            <v/>
          </cell>
        </row>
        <row r="78">
          <cell r="D78">
            <v>60</v>
          </cell>
          <cell r="F78" t="str">
            <v/>
          </cell>
          <cell r="I78" t="str">
            <v/>
          </cell>
        </row>
      </sheetData>
      <sheetData sheetId="10">
        <row r="7">
          <cell r="C7">
            <v>0</v>
          </cell>
          <cell r="D7" t="str">
            <v>PROGRAM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 t="str">
            <v xml:space="preserve">             RESULT &amp; CANDIDATE</v>
          </cell>
          <cell r="J7">
            <v>0</v>
          </cell>
          <cell r="K7">
            <v>0</v>
          </cell>
          <cell r="L7">
            <v>0</v>
          </cell>
          <cell r="M7" t="str">
            <v>SCORE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C8" t="str">
            <v>Code</v>
          </cell>
          <cell r="D8" t="str">
            <v>Name</v>
          </cell>
          <cell r="E8" t="str">
            <v>Section</v>
          </cell>
          <cell r="F8" t="str">
            <v>Position</v>
          </cell>
          <cell r="G8" t="str">
            <v>Grade</v>
          </cell>
          <cell r="H8" t="str">
            <v>Chest No.</v>
          </cell>
          <cell r="I8" t="str">
            <v>Name</v>
          </cell>
          <cell r="J8" t="str">
            <v>Team</v>
          </cell>
          <cell r="K8" t="str">
            <v>Class</v>
          </cell>
          <cell r="L8" t="str">
            <v>Position</v>
          </cell>
          <cell r="M8" t="str">
            <v>Grade</v>
          </cell>
          <cell r="N8" t="str">
            <v>Total</v>
          </cell>
          <cell r="O8" t="str">
            <v>Score 
Owner</v>
          </cell>
          <cell r="P8">
            <v>0</v>
          </cell>
          <cell r="Q8" t="str">
            <v>Status</v>
          </cell>
        </row>
        <row r="9">
          <cell r="B9">
            <v>1</v>
          </cell>
          <cell r="C9" t="str">
            <v>SJ07</v>
          </cell>
          <cell r="D9" t="str">
            <v>Song Urdu</v>
          </cell>
          <cell r="E9" t="str">
            <v>SUB JUNIOR</v>
          </cell>
          <cell r="F9">
            <v>1</v>
          </cell>
          <cell r="G9" t="str">
            <v>A</v>
          </cell>
          <cell r="H9" t="str">
            <v>B114</v>
          </cell>
          <cell r="I9" t="str">
            <v xml:space="preserve">MOHAMMAD IJAN </v>
          </cell>
          <cell r="J9" t="str">
            <v>BLU</v>
          </cell>
          <cell r="K9">
            <v>3</v>
          </cell>
          <cell r="L9">
            <v>5</v>
          </cell>
          <cell r="M9">
            <v>5</v>
          </cell>
          <cell r="N9">
            <v>10</v>
          </cell>
          <cell r="O9" t="str">
            <v>Personal</v>
          </cell>
          <cell r="Q9" t="str">
            <v>ENTERED</v>
          </cell>
        </row>
        <row r="10">
          <cell r="B10">
            <v>1</v>
          </cell>
          <cell r="C10" t="str">
            <v>SJ07</v>
          </cell>
          <cell r="D10" t="str">
            <v>Song Urdu</v>
          </cell>
          <cell r="E10" t="str">
            <v>SUB JUNIOR</v>
          </cell>
          <cell r="F10">
            <v>1</v>
          </cell>
          <cell r="G10" t="str">
            <v>D</v>
          </cell>
          <cell r="H10" t="str">
            <v>D195</v>
          </cell>
          <cell r="I10" t="str">
            <v>AYAZ RAHMAN T</v>
          </cell>
          <cell r="J10" t="str">
            <v>GRN</v>
          </cell>
          <cell r="K10">
            <v>10</v>
          </cell>
          <cell r="L10">
            <v>5</v>
          </cell>
          <cell r="M10">
            <v>-10</v>
          </cell>
          <cell r="N10">
            <v>-5</v>
          </cell>
          <cell r="O10" t="str">
            <v>Personal</v>
          </cell>
          <cell r="Q10" t="str">
            <v>ENTERED</v>
          </cell>
        </row>
        <row r="11">
          <cell r="B11">
            <v>2</v>
          </cell>
          <cell r="C11" t="str">
            <v>SJ05</v>
          </cell>
          <cell r="D11" t="str">
            <v>Madhunnabi Malayalam</v>
          </cell>
          <cell r="E11" t="str">
            <v>SUB JUNIOR</v>
          </cell>
          <cell r="F11">
            <v>1</v>
          </cell>
          <cell r="G11" t="str">
            <v>A</v>
          </cell>
          <cell r="H11" t="str">
            <v>D114</v>
          </cell>
          <cell r="I11" t="str">
            <v xml:space="preserve">MOHAMMED AFSAL </v>
          </cell>
          <cell r="J11" t="str">
            <v>BLU</v>
          </cell>
          <cell r="K11">
            <v>8</v>
          </cell>
          <cell r="L11">
            <v>5</v>
          </cell>
          <cell r="M11">
            <v>5</v>
          </cell>
          <cell r="N11">
            <v>10</v>
          </cell>
          <cell r="O11" t="str">
            <v>Personal</v>
          </cell>
          <cell r="Q11" t="str">
            <v>ENTERED</v>
          </cell>
        </row>
        <row r="12">
          <cell r="B12">
            <v>2</v>
          </cell>
          <cell r="C12" t="str">
            <v>SJ05</v>
          </cell>
          <cell r="D12" t="str">
            <v>Madhunnabi Malayalam</v>
          </cell>
          <cell r="E12" t="str">
            <v>SUB JUNIOR</v>
          </cell>
          <cell r="F12">
            <v>1</v>
          </cell>
          <cell r="G12" t="str">
            <v>A</v>
          </cell>
          <cell r="H12" t="str">
            <v>A103</v>
          </cell>
          <cell r="I12" t="str">
            <v xml:space="preserve">ADINAN ABOOBACKER K </v>
          </cell>
          <cell r="J12" t="str">
            <v>BLU</v>
          </cell>
          <cell r="K12">
            <v>1</v>
          </cell>
          <cell r="L12">
            <v>5</v>
          </cell>
          <cell r="M12">
            <v>5</v>
          </cell>
          <cell r="N12">
            <v>10</v>
          </cell>
          <cell r="O12" t="str">
            <v>Personal</v>
          </cell>
          <cell r="Q12" t="str">
            <v>ENTERED</v>
          </cell>
        </row>
        <row r="13">
          <cell r="B13">
            <v>2</v>
          </cell>
          <cell r="C13" t="str">
            <v>SJ05</v>
          </cell>
          <cell r="D13" t="str">
            <v>Madhunnabi Malayalam</v>
          </cell>
          <cell r="E13" t="str">
            <v>SUB JUNIOR</v>
          </cell>
          <cell r="F13">
            <v>1</v>
          </cell>
          <cell r="G13" t="str">
            <v>A</v>
          </cell>
          <cell r="H13" t="str">
            <v>A103</v>
          </cell>
          <cell r="I13" t="str">
            <v xml:space="preserve">ADINAN ABOOBACKER K </v>
          </cell>
          <cell r="J13" t="str">
            <v>BLU</v>
          </cell>
          <cell r="K13">
            <v>1</v>
          </cell>
          <cell r="L13">
            <v>5</v>
          </cell>
          <cell r="M13">
            <v>5</v>
          </cell>
          <cell r="N13">
            <v>10</v>
          </cell>
          <cell r="O13" t="str">
            <v>Personal</v>
          </cell>
          <cell r="Q13" t="str">
            <v>ENTERED</v>
          </cell>
        </row>
        <row r="14">
          <cell r="B14">
            <v>2</v>
          </cell>
          <cell r="C14" t="str">
            <v>SJ05</v>
          </cell>
          <cell r="D14" t="str">
            <v>Madhunnabi Malayalam</v>
          </cell>
          <cell r="E14" t="str">
            <v>SUB JUNIOR</v>
          </cell>
          <cell r="F14">
            <v>2</v>
          </cell>
          <cell r="G14" t="str">
            <v>A</v>
          </cell>
          <cell r="H14" t="str">
            <v>b107</v>
          </cell>
          <cell r="I14" t="str">
            <v xml:space="preserve">AMEEN RAHMAN MTP </v>
          </cell>
          <cell r="J14" t="str">
            <v>GRN</v>
          </cell>
          <cell r="K14">
            <v>3</v>
          </cell>
          <cell r="L14">
            <v>3</v>
          </cell>
          <cell r="M14">
            <v>5</v>
          </cell>
          <cell r="N14">
            <v>8</v>
          </cell>
          <cell r="O14" t="str">
            <v>Personal</v>
          </cell>
          <cell r="Q14" t="str">
            <v>ENTERED</v>
          </cell>
        </row>
        <row r="15">
          <cell r="B15">
            <v>2</v>
          </cell>
          <cell r="C15" t="str">
            <v>SJ05</v>
          </cell>
          <cell r="D15" t="str">
            <v>Madhunnabi Malayalam</v>
          </cell>
          <cell r="E15" t="str">
            <v>SUB JUNIOR</v>
          </cell>
          <cell r="F15">
            <v>2</v>
          </cell>
          <cell r="G15" t="str">
            <v>A</v>
          </cell>
          <cell r="H15" t="str">
            <v>A101</v>
          </cell>
          <cell r="I15" t="str">
            <v xml:space="preserve">Abdul Khader Uvais K A </v>
          </cell>
          <cell r="J15" t="str">
            <v>RED</v>
          </cell>
          <cell r="K15">
            <v>1</v>
          </cell>
          <cell r="L15">
            <v>3</v>
          </cell>
          <cell r="M15">
            <v>5</v>
          </cell>
          <cell r="N15">
            <v>8</v>
          </cell>
          <cell r="O15" t="str">
            <v>Personal</v>
          </cell>
          <cell r="Q15" t="str">
            <v>ENTERED</v>
          </cell>
        </row>
        <row r="16">
          <cell r="B16">
            <v>2</v>
          </cell>
          <cell r="C16" t="str">
            <v>SJ05</v>
          </cell>
          <cell r="D16" t="str">
            <v>Madhunnabi Malayalam</v>
          </cell>
          <cell r="E16" t="str">
            <v>SUB JUNIOR</v>
          </cell>
          <cell r="G16" t="str">
            <v>A</v>
          </cell>
          <cell r="H16" t="str">
            <v>A101</v>
          </cell>
          <cell r="I16" t="str">
            <v xml:space="preserve">Abdul Khader Uvais K A </v>
          </cell>
          <cell r="J16" t="str">
            <v>RED</v>
          </cell>
          <cell r="K16">
            <v>1</v>
          </cell>
          <cell r="M16">
            <v>5</v>
          </cell>
          <cell r="N16">
            <v>5</v>
          </cell>
          <cell r="O16" t="str">
            <v>Personal</v>
          </cell>
          <cell r="Q16" t="str">
            <v>ENTERED</v>
          </cell>
        </row>
        <row r="17">
          <cell r="B17">
            <v>2</v>
          </cell>
          <cell r="C17" t="str">
            <v>SJ05</v>
          </cell>
          <cell r="D17" t="str">
            <v>Madhunnabi Malayalam</v>
          </cell>
          <cell r="E17" t="str">
            <v>SUB JUNIOR</v>
          </cell>
          <cell r="G17" t="str">
            <v>B</v>
          </cell>
          <cell r="H17" t="str">
            <v>A102</v>
          </cell>
          <cell r="I17" t="str">
            <v xml:space="preserve">ABOOBACKER SAFWAN C B </v>
          </cell>
          <cell r="J17" t="str">
            <v>YLW</v>
          </cell>
          <cell r="K17">
            <v>1</v>
          </cell>
          <cell r="M17">
            <v>3</v>
          </cell>
          <cell r="N17">
            <v>3</v>
          </cell>
          <cell r="O17" t="str">
            <v>Personal</v>
          </cell>
          <cell r="Q17" t="str">
            <v>ENTERED</v>
          </cell>
        </row>
        <row r="18">
          <cell r="B18">
            <v>2</v>
          </cell>
          <cell r="C18" t="str">
            <v>SJ05</v>
          </cell>
          <cell r="D18" t="str">
            <v>Madhunnabi Malayalam</v>
          </cell>
          <cell r="E18" t="str">
            <v>SUB JUNIOR</v>
          </cell>
          <cell r="G18" t="str">
            <v>B</v>
          </cell>
          <cell r="H18" t="str">
            <v>b107</v>
          </cell>
          <cell r="I18" t="str">
            <v xml:space="preserve">AMEEN RAHMAN MTP </v>
          </cell>
          <cell r="J18" t="str">
            <v>GRN</v>
          </cell>
          <cell r="K18">
            <v>3</v>
          </cell>
          <cell r="M18">
            <v>3</v>
          </cell>
          <cell r="N18">
            <v>3</v>
          </cell>
          <cell r="O18" t="str">
            <v>Personal</v>
          </cell>
          <cell r="Q18" t="str">
            <v>ENTERED</v>
          </cell>
        </row>
        <row r="19">
          <cell r="B19">
            <v>2</v>
          </cell>
          <cell r="C19" t="str">
            <v>SJ05</v>
          </cell>
          <cell r="D19" t="str">
            <v>Madhunnabi Malayalam</v>
          </cell>
          <cell r="E19" t="str">
            <v>SUB JUNIOR</v>
          </cell>
          <cell r="G19" t="str">
            <v>C</v>
          </cell>
          <cell r="H19" t="str">
            <v>D194</v>
          </cell>
          <cell r="I19" t="str">
            <v>MUHAMMED ABDUL GHANI M.A</v>
          </cell>
          <cell r="J19" t="str">
            <v>BLU</v>
          </cell>
          <cell r="K19">
            <v>10</v>
          </cell>
          <cell r="M19">
            <v>1</v>
          </cell>
          <cell r="N19">
            <v>1</v>
          </cell>
          <cell r="O19" t="str">
            <v>Personal</v>
          </cell>
          <cell r="Q19" t="str">
            <v>ENTERED</v>
          </cell>
        </row>
        <row r="20">
          <cell r="B20">
            <v>3</v>
          </cell>
          <cell r="C20" t="str">
            <v>SJ09</v>
          </cell>
          <cell r="D20" t="str">
            <v>Padhyaparayanam</v>
          </cell>
          <cell r="E20" t="str">
            <v>SUB JUNIOR</v>
          </cell>
          <cell r="F20">
            <v>1</v>
          </cell>
          <cell r="G20" t="str">
            <v>C</v>
          </cell>
          <cell r="H20" t="str">
            <v>B114</v>
          </cell>
          <cell r="I20" t="str">
            <v xml:space="preserve">MOHAMMAD IJAN </v>
          </cell>
          <cell r="J20" t="str">
            <v>BLU</v>
          </cell>
          <cell r="K20">
            <v>3</v>
          </cell>
          <cell r="L20">
            <v>5</v>
          </cell>
          <cell r="M20">
            <v>1</v>
          </cell>
          <cell r="N20">
            <v>6</v>
          </cell>
          <cell r="O20" t="str">
            <v>Personal</v>
          </cell>
          <cell r="Q20" t="str">
            <v>ENTERED</v>
          </cell>
        </row>
        <row r="21">
          <cell r="B21">
            <v>4</v>
          </cell>
          <cell r="C21" t="str">
            <v>SJ02</v>
          </cell>
          <cell r="D21" t="str">
            <v>Hifz</v>
          </cell>
          <cell r="E21" t="str">
            <v>SUB JUNIOR</v>
          </cell>
          <cell r="F21">
            <v>1</v>
          </cell>
          <cell r="G21" t="str">
            <v>B</v>
          </cell>
          <cell r="H21" t="str">
            <v>b102</v>
          </cell>
          <cell r="I21" t="str">
            <v xml:space="preserve">ABDUL SA-AD </v>
          </cell>
          <cell r="J21" t="str">
            <v>BLU</v>
          </cell>
          <cell r="K21">
            <v>3</v>
          </cell>
          <cell r="L21">
            <v>5</v>
          </cell>
          <cell r="M21">
            <v>3</v>
          </cell>
          <cell r="N21">
            <v>8</v>
          </cell>
          <cell r="O21" t="str">
            <v>Personal</v>
          </cell>
          <cell r="Q21" t="str">
            <v>ENTERED</v>
          </cell>
        </row>
        <row r="22">
          <cell r="B22">
            <v>4</v>
          </cell>
          <cell r="C22" t="str">
            <v>SJ02</v>
          </cell>
          <cell r="D22" t="str">
            <v>Hifz</v>
          </cell>
          <cell r="E22" t="str">
            <v>SUB JUNIOR</v>
          </cell>
          <cell r="F22">
            <v>2</v>
          </cell>
          <cell r="G22" t="str">
            <v>B</v>
          </cell>
          <cell r="H22" t="str">
            <v>A105</v>
          </cell>
          <cell r="I22" t="str">
            <v xml:space="preserve">AJZAL ASHRAF OV </v>
          </cell>
          <cell r="J22" t="str">
            <v>RED</v>
          </cell>
          <cell r="K22">
            <v>1</v>
          </cell>
          <cell r="L22">
            <v>3</v>
          </cell>
          <cell r="M22">
            <v>3</v>
          </cell>
          <cell r="N22">
            <v>6</v>
          </cell>
          <cell r="O22" t="str">
            <v>Personal</v>
          </cell>
          <cell r="Q22" t="str">
            <v>ENTERED</v>
          </cell>
        </row>
        <row r="23">
          <cell r="B23">
            <v>4</v>
          </cell>
          <cell r="C23" t="str">
            <v>SJ02</v>
          </cell>
          <cell r="D23" t="str">
            <v>Hifz</v>
          </cell>
          <cell r="E23" t="str">
            <v>SUB JUNIOR</v>
          </cell>
          <cell r="F23">
            <v>3</v>
          </cell>
          <cell r="G23" t="str">
            <v>C</v>
          </cell>
          <cell r="H23" t="str">
            <v>A101</v>
          </cell>
          <cell r="I23" t="str">
            <v>sga</v>
          </cell>
          <cell r="J23" t="str">
            <v>RED</v>
          </cell>
          <cell r="K23">
            <v>1</v>
          </cell>
          <cell r="L23">
            <v>1</v>
          </cell>
          <cell r="M23">
            <v>1</v>
          </cell>
          <cell r="N23">
            <v>2</v>
          </cell>
          <cell r="O23" t="str">
            <v>Personal</v>
          </cell>
          <cell r="Q23" t="str">
            <v>ENTERED</v>
          </cell>
        </row>
        <row r="24">
          <cell r="B24">
            <v>5</v>
          </cell>
          <cell r="C24" t="str">
            <v>SJ25</v>
          </cell>
          <cell r="D24" t="str">
            <v>Speech &amp; Song Malayalam</v>
          </cell>
          <cell r="E24" t="str">
            <v>SUB JUNIOR</v>
          </cell>
          <cell r="F24">
            <v>1</v>
          </cell>
          <cell r="G24" t="str">
            <v>C</v>
          </cell>
          <cell r="H24" t="str">
            <v>GRN</v>
          </cell>
          <cell r="I24" t="str">
            <v>GREEN</v>
          </cell>
          <cell r="J24" t="str">
            <v>GRN</v>
          </cell>
          <cell r="L24">
            <v>7</v>
          </cell>
          <cell r="M24">
            <v>1</v>
          </cell>
          <cell r="N24">
            <v>8</v>
          </cell>
          <cell r="O24" t="str">
            <v>Team only</v>
          </cell>
          <cell r="Q24" t="str">
            <v>ENTERED</v>
          </cell>
        </row>
        <row r="25">
          <cell r="B25">
            <v>5</v>
          </cell>
          <cell r="C25" t="str">
            <v>SJ25</v>
          </cell>
          <cell r="D25" t="str">
            <v>Speech &amp; Song Malayalam</v>
          </cell>
          <cell r="E25" t="str">
            <v>SUB JUNIOR</v>
          </cell>
          <cell r="F25">
            <v>1</v>
          </cell>
          <cell r="G25" t="str">
            <v>D</v>
          </cell>
          <cell r="H25" t="str">
            <v>YLW</v>
          </cell>
          <cell r="I25" t="str">
            <v>YELLOW</v>
          </cell>
          <cell r="J25" t="str">
            <v>YLW</v>
          </cell>
          <cell r="L25">
            <v>7</v>
          </cell>
          <cell r="N25">
            <v>7</v>
          </cell>
          <cell r="O25" t="str">
            <v>Team only</v>
          </cell>
          <cell r="Q25" t="str">
            <v>ENTERED</v>
          </cell>
        </row>
        <row r="26">
          <cell r="B26">
            <v>5</v>
          </cell>
          <cell r="C26" t="str">
            <v>SJ25</v>
          </cell>
          <cell r="D26" t="str">
            <v>Speech &amp; Song Malayalam</v>
          </cell>
          <cell r="E26" t="str">
            <v>SUB JUNIOR</v>
          </cell>
          <cell r="G26" t="str">
            <v>D</v>
          </cell>
          <cell r="H26" t="str">
            <v>YLW</v>
          </cell>
          <cell r="I26" t="str">
            <v>YELLOW</v>
          </cell>
          <cell r="J26" t="str">
            <v>YLW</v>
          </cell>
          <cell r="N26">
            <v>0</v>
          </cell>
          <cell r="O26" t="str">
            <v>Team only</v>
          </cell>
          <cell r="Q26" t="str">
            <v>ENTERED</v>
          </cell>
        </row>
        <row r="27">
          <cell r="B27">
            <v>6</v>
          </cell>
          <cell r="C27" t="str">
            <v>JN25</v>
          </cell>
          <cell r="D27" t="str">
            <v>Conversation Arabic</v>
          </cell>
          <cell r="E27" t="str">
            <v>JUNIOR</v>
          </cell>
          <cell r="F27">
            <v>1</v>
          </cell>
          <cell r="G27" t="str">
            <v>A</v>
          </cell>
          <cell r="H27" t="str">
            <v>BLU</v>
          </cell>
          <cell r="I27" t="str">
            <v>BLUE</v>
          </cell>
          <cell r="J27" t="str">
            <v>BLU</v>
          </cell>
          <cell r="L27">
            <v>7</v>
          </cell>
          <cell r="M27">
            <v>5</v>
          </cell>
          <cell r="N27">
            <v>12</v>
          </cell>
          <cell r="O27" t="str">
            <v>Team only</v>
          </cell>
          <cell r="Q27" t="str">
            <v>PUBLISHED</v>
          </cell>
        </row>
        <row r="28">
          <cell r="B28">
            <v>7</v>
          </cell>
          <cell r="C28" t="str">
            <v>GN07</v>
          </cell>
          <cell r="D28" t="str">
            <v>Solo Concert</v>
          </cell>
          <cell r="E28" t="str">
            <v>GENERAL</v>
          </cell>
          <cell r="F28">
            <v>1</v>
          </cell>
          <cell r="G28" t="str">
            <v>C</v>
          </cell>
          <cell r="H28" t="str">
            <v>BLU</v>
          </cell>
          <cell r="I28" t="str">
            <v>BLUE</v>
          </cell>
          <cell r="J28" t="str">
            <v>BLU</v>
          </cell>
          <cell r="L28">
            <v>10</v>
          </cell>
          <cell r="M28">
            <v>1</v>
          </cell>
          <cell r="N28">
            <v>11</v>
          </cell>
          <cell r="O28" t="str">
            <v>Team only</v>
          </cell>
          <cell r="Q28" t="str">
            <v>ENTERED</v>
          </cell>
        </row>
        <row r="29">
          <cell r="B29">
            <v>7</v>
          </cell>
          <cell r="C29" t="str">
            <v>GN07</v>
          </cell>
          <cell r="D29" t="str">
            <v>Solo Concert</v>
          </cell>
          <cell r="E29" t="str">
            <v>GENERAL</v>
          </cell>
          <cell r="F29">
            <v>1</v>
          </cell>
          <cell r="G29" t="str">
            <v>C</v>
          </cell>
          <cell r="H29" t="str">
            <v>GRN</v>
          </cell>
          <cell r="I29" t="str">
            <v>GREEN</v>
          </cell>
          <cell r="J29" t="str">
            <v>GRN</v>
          </cell>
          <cell r="L29">
            <v>10</v>
          </cell>
          <cell r="M29">
            <v>1</v>
          </cell>
          <cell r="N29">
            <v>11</v>
          </cell>
          <cell r="O29" t="str">
            <v>Team only</v>
          </cell>
          <cell r="Q29" t="str">
            <v>ENTERED</v>
          </cell>
        </row>
        <row r="10001">
          <cell r="B10001" t="str">
            <v>_</v>
          </cell>
        </row>
      </sheetData>
      <sheetData sheetId="11">
        <row r="7">
          <cell r="C7" t="str">
            <v>SJ07</v>
          </cell>
          <cell r="D7" t="str">
            <v>Song Urdu</v>
          </cell>
          <cell r="E7" t="str">
            <v>SUB JUNIOR</v>
          </cell>
          <cell r="F7">
            <v>1</v>
          </cell>
          <cell r="G7" t="str">
            <v>A</v>
          </cell>
          <cell r="H7" t="str">
            <v>B114</v>
          </cell>
          <cell r="I7" t="str">
            <v xml:space="preserve">MOHAMMAD IJAN </v>
          </cell>
          <cell r="J7" t="str">
            <v>BLU</v>
          </cell>
          <cell r="K7">
            <v>3</v>
          </cell>
          <cell r="L7">
            <v>5</v>
          </cell>
          <cell r="M7">
            <v>5</v>
          </cell>
          <cell r="N7">
            <v>10</v>
          </cell>
          <cell r="O7" t="str">
            <v>Personal</v>
          </cell>
          <cell r="P7">
            <v>0</v>
          </cell>
          <cell r="Q7" t="str">
            <v>ENTERED</v>
          </cell>
        </row>
        <row r="8">
          <cell r="C8" t="str">
            <v>SJ07</v>
          </cell>
          <cell r="D8" t="str">
            <v>Song Urdu</v>
          </cell>
          <cell r="E8" t="str">
            <v>SUB JUNIOR</v>
          </cell>
          <cell r="F8">
            <v>1</v>
          </cell>
          <cell r="G8" t="str">
            <v>D</v>
          </cell>
          <cell r="H8" t="str">
            <v>D195</v>
          </cell>
          <cell r="I8" t="str">
            <v>AYAZ RAHMAN T</v>
          </cell>
          <cell r="J8" t="str">
            <v>GRN</v>
          </cell>
          <cell r="K8">
            <v>10</v>
          </cell>
          <cell r="L8">
            <v>5</v>
          </cell>
          <cell r="M8">
            <v>-10</v>
          </cell>
          <cell r="N8">
            <v>-5</v>
          </cell>
          <cell r="O8" t="str">
            <v>Personal</v>
          </cell>
          <cell r="P8">
            <v>0</v>
          </cell>
          <cell r="Q8" t="str">
            <v>ENTERED</v>
          </cell>
        </row>
        <row r="9">
          <cell r="C9" t="str">
            <v>SJ05</v>
          </cell>
          <cell r="D9" t="str">
            <v>Madhunnabi Malayalam</v>
          </cell>
          <cell r="E9" t="str">
            <v>SUB JUNIOR</v>
          </cell>
          <cell r="F9">
            <v>1</v>
          </cell>
          <cell r="G9" t="str">
            <v>A</v>
          </cell>
          <cell r="H9" t="str">
            <v>D114</v>
          </cell>
          <cell r="I9" t="str">
            <v xml:space="preserve">MOHAMMED AFSAL </v>
          </cell>
          <cell r="J9" t="str">
            <v>BLU</v>
          </cell>
          <cell r="K9">
            <v>8</v>
          </cell>
          <cell r="L9">
            <v>5</v>
          </cell>
          <cell r="M9">
            <v>5</v>
          </cell>
          <cell r="N9">
            <v>10</v>
          </cell>
          <cell r="O9" t="str">
            <v>Personal</v>
          </cell>
          <cell r="P9">
            <v>0</v>
          </cell>
          <cell r="Q9" t="str">
            <v>ENTERED</v>
          </cell>
        </row>
        <row r="10">
          <cell r="C10" t="str">
            <v>SJ05</v>
          </cell>
          <cell r="D10" t="str">
            <v>Madhunnabi Malayalam</v>
          </cell>
          <cell r="E10" t="str">
            <v>SUB JUNIOR</v>
          </cell>
          <cell r="F10">
            <v>1</v>
          </cell>
          <cell r="G10" t="str">
            <v>A</v>
          </cell>
          <cell r="H10" t="str">
            <v>A103</v>
          </cell>
          <cell r="I10" t="str">
            <v xml:space="preserve">ADINAN ABOOBACKER K </v>
          </cell>
          <cell r="J10" t="str">
            <v>BLU</v>
          </cell>
          <cell r="K10">
            <v>1</v>
          </cell>
          <cell r="L10">
            <v>5</v>
          </cell>
          <cell r="M10">
            <v>5</v>
          </cell>
          <cell r="N10">
            <v>10</v>
          </cell>
          <cell r="O10" t="str">
            <v>Personal</v>
          </cell>
          <cell r="P10">
            <v>0</v>
          </cell>
          <cell r="Q10" t="str">
            <v>ENTERED</v>
          </cell>
        </row>
        <row r="11">
          <cell r="C11" t="str">
            <v>SJ05</v>
          </cell>
          <cell r="D11" t="str">
            <v>Madhunnabi Malayalam</v>
          </cell>
          <cell r="E11" t="str">
            <v>SUB JUNIOR</v>
          </cell>
          <cell r="F11">
            <v>1</v>
          </cell>
          <cell r="G11" t="str">
            <v>A</v>
          </cell>
          <cell r="H11" t="str">
            <v>A103</v>
          </cell>
          <cell r="I11" t="str">
            <v xml:space="preserve">ADINAN ABOOBACKER K </v>
          </cell>
          <cell r="J11" t="str">
            <v>BLU</v>
          </cell>
          <cell r="K11">
            <v>1</v>
          </cell>
          <cell r="L11">
            <v>5</v>
          </cell>
          <cell r="M11">
            <v>5</v>
          </cell>
          <cell r="N11">
            <v>10</v>
          </cell>
          <cell r="O11" t="str">
            <v>Personal</v>
          </cell>
          <cell r="P11">
            <v>0</v>
          </cell>
          <cell r="Q11" t="str">
            <v>ENTERED</v>
          </cell>
        </row>
        <row r="12">
          <cell r="C12" t="str">
            <v>SJ05</v>
          </cell>
          <cell r="D12" t="str">
            <v>Madhunnabi Malayalam</v>
          </cell>
          <cell r="E12" t="str">
            <v>SUB JUNIOR</v>
          </cell>
          <cell r="F12">
            <v>2</v>
          </cell>
          <cell r="G12" t="str">
            <v>A</v>
          </cell>
          <cell r="H12" t="str">
            <v>b107</v>
          </cell>
          <cell r="I12" t="str">
            <v xml:space="preserve">AMEEN RAHMAN MTP </v>
          </cell>
          <cell r="J12" t="str">
            <v>GRN</v>
          </cell>
          <cell r="K12">
            <v>3</v>
          </cell>
          <cell r="L12">
            <v>3</v>
          </cell>
          <cell r="M12">
            <v>5</v>
          </cell>
          <cell r="N12">
            <v>8</v>
          </cell>
          <cell r="O12" t="str">
            <v>Personal</v>
          </cell>
          <cell r="P12">
            <v>0</v>
          </cell>
          <cell r="Q12" t="str">
            <v>ENTERED</v>
          </cell>
        </row>
        <row r="13">
          <cell r="C13" t="str">
            <v>SJ05</v>
          </cell>
          <cell r="D13" t="str">
            <v>Madhunnabi Malayalam</v>
          </cell>
          <cell r="E13" t="str">
            <v>SUB JUNIOR</v>
          </cell>
          <cell r="F13">
            <v>2</v>
          </cell>
          <cell r="G13" t="str">
            <v>A</v>
          </cell>
          <cell r="H13" t="str">
            <v>A101</v>
          </cell>
          <cell r="I13" t="str">
            <v xml:space="preserve">Abdul Khader Uvais K A </v>
          </cell>
          <cell r="J13" t="str">
            <v>RED</v>
          </cell>
          <cell r="K13">
            <v>1</v>
          </cell>
          <cell r="L13">
            <v>3</v>
          </cell>
          <cell r="M13">
            <v>5</v>
          </cell>
          <cell r="N13">
            <v>8</v>
          </cell>
          <cell r="O13" t="str">
            <v>Personal</v>
          </cell>
          <cell r="P13">
            <v>0</v>
          </cell>
          <cell r="Q13" t="str">
            <v>ENTERED</v>
          </cell>
        </row>
        <row r="14">
          <cell r="C14" t="str">
            <v>SJ05</v>
          </cell>
          <cell r="D14" t="str">
            <v>Madhunnabi Malayalam</v>
          </cell>
          <cell r="E14" t="str">
            <v>SUB JUNIOR</v>
          </cell>
          <cell r="F14">
            <v>0</v>
          </cell>
          <cell r="G14" t="str">
            <v>A</v>
          </cell>
          <cell r="H14" t="str">
            <v>A101</v>
          </cell>
          <cell r="I14" t="str">
            <v xml:space="preserve">Abdul Khader Uvais K A </v>
          </cell>
          <cell r="J14" t="str">
            <v>RED</v>
          </cell>
          <cell r="K14">
            <v>1</v>
          </cell>
          <cell r="L14">
            <v>0</v>
          </cell>
          <cell r="M14">
            <v>5</v>
          </cell>
          <cell r="N14">
            <v>5</v>
          </cell>
          <cell r="O14" t="str">
            <v>Personal</v>
          </cell>
          <cell r="P14">
            <v>0</v>
          </cell>
          <cell r="Q14" t="str">
            <v>ENTERED</v>
          </cell>
        </row>
        <row r="15">
          <cell r="C15" t="str">
            <v>SJ05</v>
          </cell>
          <cell r="D15" t="str">
            <v>Madhunnabi Malayalam</v>
          </cell>
          <cell r="E15" t="str">
            <v>SUB JUNIOR</v>
          </cell>
          <cell r="F15">
            <v>0</v>
          </cell>
          <cell r="G15" t="str">
            <v>B</v>
          </cell>
          <cell r="H15" t="str">
            <v>A102</v>
          </cell>
          <cell r="I15" t="str">
            <v xml:space="preserve">ABOOBACKER SAFWAN C B </v>
          </cell>
          <cell r="J15" t="str">
            <v>YLW</v>
          </cell>
          <cell r="K15">
            <v>1</v>
          </cell>
          <cell r="L15">
            <v>0</v>
          </cell>
          <cell r="M15">
            <v>3</v>
          </cell>
          <cell r="N15">
            <v>3</v>
          </cell>
          <cell r="O15" t="str">
            <v>Personal</v>
          </cell>
          <cell r="P15">
            <v>0</v>
          </cell>
          <cell r="Q15" t="str">
            <v>ENTERED</v>
          </cell>
        </row>
        <row r="16">
          <cell r="C16" t="str">
            <v>SJ05</v>
          </cell>
          <cell r="D16" t="str">
            <v>Madhunnabi Malayalam</v>
          </cell>
          <cell r="E16" t="str">
            <v>SUB JUNIOR</v>
          </cell>
          <cell r="F16">
            <v>0</v>
          </cell>
          <cell r="G16" t="str">
            <v>B</v>
          </cell>
          <cell r="H16" t="str">
            <v>b107</v>
          </cell>
          <cell r="I16" t="str">
            <v xml:space="preserve">AMEEN RAHMAN MTP </v>
          </cell>
          <cell r="J16" t="str">
            <v>GRN</v>
          </cell>
          <cell r="K16">
            <v>3</v>
          </cell>
          <cell r="L16">
            <v>0</v>
          </cell>
          <cell r="M16">
            <v>3</v>
          </cell>
          <cell r="N16">
            <v>3</v>
          </cell>
          <cell r="O16" t="str">
            <v>Personal</v>
          </cell>
          <cell r="P16">
            <v>0</v>
          </cell>
          <cell r="Q16" t="str">
            <v>ENTERED</v>
          </cell>
        </row>
        <row r="17">
          <cell r="C17" t="str">
            <v>SJ05</v>
          </cell>
          <cell r="D17" t="str">
            <v>Madhunnabi Malayalam</v>
          </cell>
          <cell r="E17" t="str">
            <v>SUB JUNIOR</v>
          </cell>
          <cell r="F17">
            <v>0</v>
          </cell>
          <cell r="G17" t="str">
            <v>C</v>
          </cell>
          <cell r="H17" t="str">
            <v>D194</v>
          </cell>
          <cell r="I17" t="str">
            <v>MUHAMMED ABDUL GHANI M.A</v>
          </cell>
          <cell r="J17" t="str">
            <v>BLU</v>
          </cell>
          <cell r="K17">
            <v>10</v>
          </cell>
          <cell r="L17">
            <v>0</v>
          </cell>
          <cell r="M17">
            <v>1</v>
          </cell>
          <cell r="N17">
            <v>1</v>
          </cell>
          <cell r="O17" t="str">
            <v>Personal</v>
          </cell>
          <cell r="P17">
            <v>0</v>
          </cell>
          <cell r="Q17" t="str">
            <v>ENTERED</v>
          </cell>
        </row>
        <row r="18">
          <cell r="C18" t="str">
            <v>SJ09</v>
          </cell>
          <cell r="D18" t="str">
            <v>Padhyaparayanam</v>
          </cell>
          <cell r="E18" t="str">
            <v>SUB JUNIOR</v>
          </cell>
          <cell r="F18">
            <v>1</v>
          </cell>
          <cell r="G18" t="str">
            <v>C</v>
          </cell>
          <cell r="H18" t="str">
            <v>B114</v>
          </cell>
          <cell r="I18" t="str">
            <v xml:space="preserve">MOHAMMAD IJAN </v>
          </cell>
          <cell r="J18" t="str">
            <v>BLU</v>
          </cell>
          <cell r="K18">
            <v>3</v>
          </cell>
          <cell r="L18">
            <v>5</v>
          </cell>
          <cell r="M18">
            <v>1</v>
          </cell>
          <cell r="N18">
            <v>6</v>
          </cell>
          <cell r="O18" t="str">
            <v>Personal</v>
          </cell>
          <cell r="P18">
            <v>0</v>
          </cell>
          <cell r="Q18" t="str">
            <v>ENTERED</v>
          </cell>
        </row>
        <row r="19">
          <cell r="C19" t="str">
            <v>SJ02</v>
          </cell>
          <cell r="D19" t="str">
            <v>Hifz</v>
          </cell>
          <cell r="E19" t="str">
            <v>SUB JUNIOR</v>
          </cell>
          <cell r="F19">
            <v>1</v>
          </cell>
          <cell r="G19" t="str">
            <v>B</v>
          </cell>
          <cell r="H19" t="str">
            <v>b102</v>
          </cell>
          <cell r="I19" t="str">
            <v xml:space="preserve">ABDUL SA-AD </v>
          </cell>
          <cell r="J19" t="str">
            <v>BLU</v>
          </cell>
          <cell r="K19">
            <v>3</v>
          </cell>
          <cell r="L19">
            <v>5</v>
          </cell>
          <cell r="M19">
            <v>3</v>
          </cell>
          <cell r="N19">
            <v>8</v>
          </cell>
          <cell r="O19" t="str">
            <v>Personal</v>
          </cell>
          <cell r="P19">
            <v>0</v>
          </cell>
          <cell r="Q19" t="str">
            <v>ENTERED</v>
          </cell>
        </row>
        <row r="20">
          <cell r="C20" t="str">
            <v>SJ02</v>
          </cell>
          <cell r="D20" t="str">
            <v>Hifz</v>
          </cell>
          <cell r="E20" t="str">
            <v>SUB JUNIOR</v>
          </cell>
          <cell r="F20">
            <v>2</v>
          </cell>
          <cell r="G20" t="str">
            <v>B</v>
          </cell>
          <cell r="H20" t="str">
            <v>A105</v>
          </cell>
          <cell r="I20" t="str">
            <v xml:space="preserve">AJZAL ASHRAF OV </v>
          </cell>
          <cell r="J20" t="str">
            <v>RED</v>
          </cell>
          <cell r="K20">
            <v>1</v>
          </cell>
          <cell r="L20">
            <v>3</v>
          </cell>
          <cell r="M20">
            <v>3</v>
          </cell>
          <cell r="N20">
            <v>6</v>
          </cell>
          <cell r="O20" t="str">
            <v>Personal</v>
          </cell>
          <cell r="P20">
            <v>0</v>
          </cell>
          <cell r="Q20" t="str">
            <v>ENTERED</v>
          </cell>
        </row>
        <row r="21">
          <cell r="C21" t="str">
            <v>SJ02</v>
          </cell>
          <cell r="D21" t="str">
            <v>Hifz</v>
          </cell>
          <cell r="E21" t="str">
            <v>SUB JUNIOR</v>
          </cell>
          <cell r="F21">
            <v>3</v>
          </cell>
          <cell r="G21" t="str">
            <v>C</v>
          </cell>
          <cell r="H21" t="str">
            <v>A101</v>
          </cell>
          <cell r="I21" t="str">
            <v>sga</v>
          </cell>
          <cell r="J21" t="str">
            <v>RED</v>
          </cell>
          <cell r="K21">
            <v>1</v>
          </cell>
          <cell r="L21">
            <v>1</v>
          </cell>
          <cell r="M21">
            <v>1</v>
          </cell>
          <cell r="N21">
            <v>2</v>
          </cell>
          <cell r="O21" t="str">
            <v>Personal</v>
          </cell>
          <cell r="P21">
            <v>0</v>
          </cell>
          <cell r="Q21" t="str">
            <v>ENTERED</v>
          </cell>
        </row>
        <row r="22">
          <cell r="C22" t="str">
            <v>SJ25</v>
          </cell>
          <cell r="D22" t="str">
            <v>Speech &amp; Song Malayalam</v>
          </cell>
          <cell r="E22" t="str">
            <v>SUB JUNIOR</v>
          </cell>
          <cell r="F22">
            <v>1</v>
          </cell>
          <cell r="G22" t="str">
            <v>C</v>
          </cell>
          <cell r="H22" t="str">
            <v>GRN</v>
          </cell>
          <cell r="I22" t="str">
            <v>GREEN</v>
          </cell>
          <cell r="J22" t="str">
            <v>GRN</v>
          </cell>
          <cell r="K22">
            <v>0</v>
          </cell>
          <cell r="L22">
            <v>7</v>
          </cell>
          <cell r="M22">
            <v>1</v>
          </cell>
          <cell r="N22">
            <v>8</v>
          </cell>
          <cell r="O22" t="str">
            <v>Team only</v>
          </cell>
          <cell r="P22">
            <v>0</v>
          </cell>
          <cell r="Q22" t="str">
            <v>ENTERED</v>
          </cell>
        </row>
        <row r="23">
          <cell r="C23" t="str">
            <v>SJ25</v>
          </cell>
          <cell r="D23" t="str">
            <v>Speech &amp; Song Malayalam</v>
          </cell>
          <cell r="E23" t="str">
            <v>SUB JUNIOR</v>
          </cell>
          <cell r="F23">
            <v>1</v>
          </cell>
          <cell r="G23" t="str">
            <v>D</v>
          </cell>
          <cell r="H23" t="str">
            <v>YLW</v>
          </cell>
          <cell r="I23" t="str">
            <v>YELLOW</v>
          </cell>
          <cell r="J23" t="str">
            <v>YLW</v>
          </cell>
          <cell r="K23">
            <v>0</v>
          </cell>
          <cell r="L23">
            <v>7</v>
          </cell>
          <cell r="M23">
            <v>0</v>
          </cell>
          <cell r="N23">
            <v>7</v>
          </cell>
          <cell r="O23" t="str">
            <v>Team only</v>
          </cell>
          <cell r="P23">
            <v>0</v>
          </cell>
          <cell r="Q23" t="str">
            <v>ENTERED</v>
          </cell>
        </row>
        <row r="24">
          <cell r="C24" t="str">
            <v>JN25</v>
          </cell>
          <cell r="D24" t="str">
            <v>Conversation Arabic</v>
          </cell>
          <cell r="E24" t="str">
            <v>JUNIOR</v>
          </cell>
          <cell r="F24">
            <v>1</v>
          </cell>
          <cell r="G24" t="str">
            <v>A</v>
          </cell>
          <cell r="H24" t="str">
            <v>BLU</v>
          </cell>
          <cell r="I24" t="str">
            <v>BLUE</v>
          </cell>
          <cell r="J24" t="str">
            <v>BLU</v>
          </cell>
          <cell r="K24">
            <v>0</v>
          </cell>
          <cell r="L24">
            <v>7</v>
          </cell>
          <cell r="M24">
            <v>5</v>
          </cell>
          <cell r="N24">
            <v>12</v>
          </cell>
          <cell r="O24" t="str">
            <v>Team only</v>
          </cell>
          <cell r="P24">
            <v>0</v>
          </cell>
          <cell r="Q24" t="str">
            <v>PUBLISHED</v>
          </cell>
        </row>
        <row r="25">
          <cell r="C25" t="str">
            <v>GN07</v>
          </cell>
          <cell r="D25" t="str">
            <v>Solo Concert</v>
          </cell>
          <cell r="E25" t="str">
            <v>GENERAL</v>
          </cell>
          <cell r="F25">
            <v>1</v>
          </cell>
          <cell r="G25" t="str">
            <v>C</v>
          </cell>
          <cell r="H25" t="str">
            <v>BLU</v>
          </cell>
          <cell r="I25" t="str">
            <v>BLUE</v>
          </cell>
          <cell r="J25" t="str">
            <v>BLU</v>
          </cell>
          <cell r="K25">
            <v>0</v>
          </cell>
          <cell r="L25">
            <v>10</v>
          </cell>
          <cell r="M25">
            <v>1</v>
          </cell>
          <cell r="N25">
            <v>11</v>
          </cell>
          <cell r="O25" t="str">
            <v>Team only</v>
          </cell>
          <cell r="P25">
            <v>0</v>
          </cell>
          <cell r="Q25" t="str">
            <v>ENTERED</v>
          </cell>
        </row>
        <row r="26">
          <cell r="C26" t="str">
            <v>GN07</v>
          </cell>
          <cell r="D26" t="str">
            <v>Solo Concert</v>
          </cell>
          <cell r="E26" t="str">
            <v>GENERAL</v>
          </cell>
          <cell r="F26">
            <v>1</v>
          </cell>
          <cell r="G26" t="str">
            <v>C</v>
          </cell>
          <cell r="H26" t="str">
            <v>GRN</v>
          </cell>
          <cell r="I26" t="str">
            <v>GREEN</v>
          </cell>
          <cell r="J26" t="str">
            <v>GRN</v>
          </cell>
          <cell r="K26">
            <v>0</v>
          </cell>
          <cell r="L26">
            <v>10</v>
          </cell>
          <cell r="M26">
            <v>1</v>
          </cell>
          <cell r="N26">
            <v>11</v>
          </cell>
          <cell r="O26" t="str">
            <v>Team only</v>
          </cell>
          <cell r="P26">
            <v>0</v>
          </cell>
          <cell r="Q26" t="str">
            <v>ENTERED</v>
          </cell>
        </row>
      </sheetData>
      <sheetData sheetId="12">
        <row r="7">
          <cell r="E7" t="str">
            <v>A104</v>
          </cell>
          <cell r="G7">
            <v>5</v>
          </cell>
        </row>
        <row r="8">
          <cell r="E8" t="str">
            <v>A105</v>
          </cell>
          <cell r="G8">
            <v>6</v>
          </cell>
        </row>
        <row r="9">
          <cell r="E9" t="str">
            <v>A106</v>
          </cell>
          <cell r="G9">
            <v>7</v>
          </cell>
        </row>
        <row r="10">
          <cell r="E10" t="str">
            <v>A107</v>
          </cell>
          <cell r="G10">
            <v>8</v>
          </cell>
        </row>
        <row r="11">
          <cell r="E11" t="str">
            <v>A108</v>
          </cell>
          <cell r="G11">
            <v>9</v>
          </cell>
        </row>
        <row r="12">
          <cell r="E12" t="str">
            <v>A109</v>
          </cell>
          <cell r="G12">
            <v>10</v>
          </cell>
        </row>
        <row r="13">
          <cell r="E13" t="str">
            <v>A110</v>
          </cell>
        </row>
        <row r="14">
          <cell r="E14" t="str">
            <v>A111</v>
          </cell>
        </row>
        <row r="15">
          <cell r="E15" t="str">
            <v>A112</v>
          </cell>
        </row>
        <row r="16">
          <cell r="E16" t="str">
            <v>A113</v>
          </cell>
        </row>
        <row r="17">
          <cell r="E17" t="str">
            <v>A114</v>
          </cell>
        </row>
        <row r="18">
          <cell r="E18" t="str">
            <v>A115</v>
          </cell>
        </row>
        <row r="19">
          <cell r="E19" t="str">
            <v>A116</v>
          </cell>
        </row>
        <row r="20">
          <cell r="E20" t="str">
            <v>A117</v>
          </cell>
        </row>
        <row r="21">
          <cell r="E21" t="str">
            <v>A118</v>
          </cell>
        </row>
        <row r="22">
          <cell r="E22" t="str">
            <v>A119</v>
          </cell>
        </row>
        <row r="23">
          <cell r="E23" t="str">
            <v>A120</v>
          </cell>
        </row>
        <row r="24">
          <cell r="E24" t="str">
            <v>A121</v>
          </cell>
        </row>
        <row r="25">
          <cell r="E25" t="str">
            <v>A122</v>
          </cell>
        </row>
        <row r="26">
          <cell r="E26" t="str">
            <v>A123</v>
          </cell>
        </row>
        <row r="27">
          <cell r="E27" t="str">
            <v>A124</v>
          </cell>
        </row>
        <row r="28">
          <cell r="E28" t="str">
            <v>A125</v>
          </cell>
        </row>
        <row r="29">
          <cell r="E29" t="str">
            <v>A126</v>
          </cell>
        </row>
        <row r="30">
          <cell r="E30" t="str">
            <v>A127</v>
          </cell>
        </row>
        <row r="31">
          <cell r="E31" t="str">
            <v>A128</v>
          </cell>
        </row>
        <row r="32">
          <cell r="E32" t="str">
            <v>A129</v>
          </cell>
        </row>
        <row r="33">
          <cell r="E33" t="str">
            <v>A130</v>
          </cell>
        </row>
        <row r="34">
          <cell r="E34" t="str">
            <v>A131</v>
          </cell>
        </row>
        <row r="35">
          <cell r="E35" t="str">
            <v>A132</v>
          </cell>
        </row>
        <row r="36">
          <cell r="E36" t="str">
            <v>A133</v>
          </cell>
        </row>
        <row r="37">
          <cell r="E37" t="str">
            <v>A134</v>
          </cell>
        </row>
        <row r="38">
          <cell r="E38" t="str">
            <v>A135</v>
          </cell>
        </row>
        <row r="39">
          <cell r="E39" t="str">
            <v>A136</v>
          </cell>
        </row>
        <row r="40">
          <cell r="E40" t="str">
            <v>A137</v>
          </cell>
        </row>
        <row r="41">
          <cell r="E41" t="str">
            <v>A138</v>
          </cell>
        </row>
        <row r="42">
          <cell r="E42" t="str">
            <v>A139</v>
          </cell>
        </row>
        <row r="43">
          <cell r="E43" t="str">
            <v>A140</v>
          </cell>
        </row>
        <row r="44">
          <cell r="E44" t="str">
            <v>A141</v>
          </cell>
        </row>
        <row r="45">
          <cell r="E45" t="str">
            <v>A142</v>
          </cell>
        </row>
        <row r="46">
          <cell r="E46" t="str">
            <v>A143</v>
          </cell>
        </row>
        <row r="47">
          <cell r="E47" t="str">
            <v>A144</v>
          </cell>
        </row>
        <row r="48">
          <cell r="E48" t="str">
            <v>A145</v>
          </cell>
        </row>
        <row r="49">
          <cell r="E49" t="str">
            <v>A146</v>
          </cell>
        </row>
        <row r="50">
          <cell r="E50" t="str">
            <v>A147</v>
          </cell>
        </row>
        <row r="51">
          <cell r="E51" t="str">
            <v>A148</v>
          </cell>
        </row>
        <row r="52">
          <cell r="E52" t="str">
            <v>A149</v>
          </cell>
        </row>
        <row r="53">
          <cell r="E53" t="str">
            <v>A150</v>
          </cell>
        </row>
        <row r="54">
          <cell r="E54" t="str">
            <v>A151</v>
          </cell>
        </row>
        <row r="55">
          <cell r="E55" t="str">
            <v>A152</v>
          </cell>
        </row>
        <row r="56">
          <cell r="E56" t="str">
            <v>A153</v>
          </cell>
        </row>
        <row r="57">
          <cell r="E57" t="str">
            <v>A154</v>
          </cell>
        </row>
        <row r="58">
          <cell r="E58" t="str">
            <v>A155</v>
          </cell>
        </row>
        <row r="59">
          <cell r="E59" t="str">
            <v>A156</v>
          </cell>
        </row>
        <row r="60">
          <cell r="E60" t="str">
            <v>A157</v>
          </cell>
        </row>
        <row r="61">
          <cell r="E61" t="str">
            <v>A158</v>
          </cell>
        </row>
        <row r="62">
          <cell r="E62" t="str">
            <v>A159</v>
          </cell>
        </row>
        <row r="63">
          <cell r="E63" t="str">
            <v>A160</v>
          </cell>
        </row>
        <row r="64">
          <cell r="E64" t="str">
            <v>A161</v>
          </cell>
        </row>
        <row r="65">
          <cell r="E65" t="str">
            <v>A162</v>
          </cell>
        </row>
        <row r="66">
          <cell r="E66" t="str">
            <v>A163</v>
          </cell>
        </row>
        <row r="67">
          <cell r="E67" t="str">
            <v>A164</v>
          </cell>
        </row>
        <row r="68">
          <cell r="E68" t="str">
            <v>A165</v>
          </cell>
        </row>
        <row r="69">
          <cell r="E69" t="str">
            <v>A166</v>
          </cell>
        </row>
        <row r="70">
          <cell r="E70" t="str">
            <v>A167</v>
          </cell>
        </row>
        <row r="71">
          <cell r="E71" t="str">
            <v>A168</v>
          </cell>
        </row>
        <row r="72">
          <cell r="E72" t="str">
            <v>A169</v>
          </cell>
        </row>
        <row r="73">
          <cell r="E73" t="str">
            <v>A170</v>
          </cell>
        </row>
        <row r="74">
          <cell r="E74" t="str">
            <v>A171</v>
          </cell>
        </row>
        <row r="75">
          <cell r="E75" t="str">
            <v>A172</v>
          </cell>
        </row>
        <row r="76">
          <cell r="E76" t="str">
            <v>A173</v>
          </cell>
        </row>
        <row r="77">
          <cell r="E77" t="str">
            <v>A174</v>
          </cell>
        </row>
        <row r="78">
          <cell r="E78" t="str">
            <v>A175</v>
          </cell>
        </row>
        <row r="79">
          <cell r="E79" t="str">
            <v>B100</v>
          </cell>
        </row>
        <row r="80">
          <cell r="E80" t="str">
            <v>B101</v>
          </cell>
        </row>
        <row r="81">
          <cell r="E81" t="str">
            <v>B102</v>
          </cell>
        </row>
        <row r="82">
          <cell r="E82" t="str">
            <v>B103</v>
          </cell>
        </row>
        <row r="83">
          <cell r="E83" t="str">
            <v>B104</v>
          </cell>
        </row>
        <row r="84">
          <cell r="E84" t="str">
            <v>B105</v>
          </cell>
        </row>
        <row r="85">
          <cell r="E85" t="str">
            <v>B106</v>
          </cell>
        </row>
        <row r="86">
          <cell r="E86" t="str">
            <v>B107</v>
          </cell>
        </row>
        <row r="87">
          <cell r="E87" t="str">
            <v>B108</v>
          </cell>
        </row>
        <row r="88">
          <cell r="E88" t="str">
            <v>B109</v>
          </cell>
        </row>
        <row r="89">
          <cell r="E89" t="str">
            <v>B110</v>
          </cell>
        </row>
        <row r="90">
          <cell r="E90" t="str">
            <v>B111</v>
          </cell>
        </row>
        <row r="91">
          <cell r="E91" t="str">
            <v>B112</v>
          </cell>
        </row>
        <row r="92">
          <cell r="E92" t="str">
            <v>B113</v>
          </cell>
        </row>
        <row r="93">
          <cell r="E93" t="str">
            <v>B114</v>
          </cell>
        </row>
        <row r="94">
          <cell r="E94" t="str">
            <v>B115</v>
          </cell>
        </row>
        <row r="95">
          <cell r="E95" t="str">
            <v>B116</v>
          </cell>
        </row>
        <row r="96">
          <cell r="E96" t="str">
            <v>B117</v>
          </cell>
        </row>
        <row r="97">
          <cell r="E97" t="str">
            <v>B118</v>
          </cell>
        </row>
        <row r="98">
          <cell r="E98" t="str">
            <v>B119</v>
          </cell>
        </row>
        <row r="99">
          <cell r="E99" t="str">
            <v>B120</v>
          </cell>
        </row>
        <row r="100">
          <cell r="E100" t="str">
            <v>B121</v>
          </cell>
        </row>
        <row r="101">
          <cell r="E101" t="str">
            <v>B122</v>
          </cell>
        </row>
        <row r="102">
          <cell r="E102" t="str">
            <v>B123</v>
          </cell>
        </row>
        <row r="103">
          <cell r="E103" t="str">
            <v>B124</v>
          </cell>
        </row>
        <row r="104">
          <cell r="E104" t="str">
            <v>B125</v>
          </cell>
        </row>
        <row r="105">
          <cell r="E105" t="str">
            <v>B126</v>
          </cell>
        </row>
        <row r="106">
          <cell r="E106" t="str">
            <v>B127</v>
          </cell>
        </row>
        <row r="107">
          <cell r="E107" t="str">
            <v>B128</v>
          </cell>
        </row>
        <row r="108">
          <cell r="E108" t="str">
            <v>B129</v>
          </cell>
        </row>
        <row r="109">
          <cell r="E109" t="str">
            <v>B130</v>
          </cell>
        </row>
        <row r="110">
          <cell r="E110" t="str">
            <v>B131</v>
          </cell>
        </row>
        <row r="111">
          <cell r="E111" t="str">
            <v>B132</v>
          </cell>
        </row>
        <row r="112">
          <cell r="E112" t="str">
            <v>B133</v>
          </cell>
        </row>
        <row r="113">
          <cell r="E113" t="str">
            <v>B134</v>
          </cell>
        </row>
        <row r="114">
          <cell r="E114" t="str">
            <v>B135</v>
          </cell>
        </row>
        <row r="115">
          <cell r="E115" t="str">
            <v>B136</v>
          </cell>
        </row>
        <row r="116">
          <cell r="E116" t="str">
            <v>B137</v>
          </cell>
        </row>
        <row r="117">
          <cell r="E117" t="str">
            <v>B138</v>
          </cell>
        </row>
        <row r="118">
          <cell r="E118" t="str">
            <v>B139</v>
          </cell>
        </row>
        <row r="119">
          <cell r="E119" t="str">
            <v>B140</v>
          </cell>
        </row>
        <row r="120">
          <cell r="E120" t="str">
            <v>B141</v>
          </cell>
        </row>
        <row r="121">
          <cell r="E121" t="str">
            <v>B142</v>
          </cell>
        </row>
        <row r="122">
          <cell r="E122" t="str">
            <v>B143</v>
          </cell>
        </row>
        <row r="123">
          <cell r="E123" t="str">
            <v>B144</v>
          </cell>
        </row>
        <row r="124">
          <cell r="E124" t="str">
            <v>B145</v>
          </cell>
        </row>
        <row r="125">
          <cell r="E125" t="str">
            <v>B146</v>
          </cell>
        </row>
        <row r="126">
          <cell r="E126" t="str">
            <v>B147</v>
          </cell>
        </row>
        <row r="127">
          <cell r="E127" t="str">
            <v>B148</v>
          </cell>
        </row>
        <row r="128">
          <cell r="E128" t="str">
            <v>B149</v>
          </cell>
        </row>
        <row r="129">
          <cell r="E129" t="str">
            <v>B150</v>
          </cell>
        </row>
        <row r="130">
          <cell r="E130" t="str">
            <v>B151</v>
          </cell>
        </row>
        <row r="131">
          <cell r="E131" t="str">
            <v>B152</v>
          </cell>
        </row>
        <row r="132">
          <cell r="E132" t="str">
            <v>B153</v>
          </cell>
        </row>
        <row r="133">
          <cell r="E133" t="str">
            <v>B154</v>
          </cell>
        </row>
        <row r="134">
          <cell r="E134" t="str">
            <v>B155</v>
          </cell>
        </row>
        <row r="135">
          <cell r="E135" t="str">
            <v>B156</v>
          </cell>
        </row>
        <row r="136">
          <cell r="E136" t="str">
            <v>B157</v>
          </cell>
        </row>
        <row r="137">
          <cell r="E137" t="str">
            <v>B158</v>
          </cell>
        </row>
        <row r="138">
          <cell r="E138" t="str">
            <v>B159</v>
          </cell>
        </row>
        <row r="139">
          <cell r="E139" t="str">
            <v>B160</v>
          </cell>
        </row>
        <row r="140">
          <cell r="E140" t="str">
            <v>B161</v>
          </cell>
        </row>
        <row r="141">
          <cell r="E141" t="str">
            <v>B162</v>
          </cell>
        </row>
        <row r="142">
          <cell r="E142" t="str">
            <v>B163</v>
          </cell>
        </row>
        <row r="143">
          <cell r="E143" t="str">
            <v>B164</v>
          </cell>
        </row>
        <row r="144">
          <cell r="E144" t="str">
            <v>C100</v>
          </cell>
        </row>
        <row r="145">
          <cell r="E145" t="str">
            <v>C101</v>
          </cell>
        </row>
        <row r="146">
          <cell r="E146" t="str">
            <v>C102</v>
          </cell>
        </row>
        <row r="147">
          <cell r="E147" t="str">
            <v>C103</v>
          </cell>
        </row>
        <row r="148">
          <cell r="E148" t="str">
            <v>C104</v>
          </cell>
        </row>
        <row r="149">
          <cell r="E149" t="str">
            <v>C105</v>
          </cell>
        </row>
        <row r="150">
          <cell r="E150" t="str">
            <v>C106</v>
          </cell>
        </row>
        <row r="151">
          <cell r="E151" t="str">
            <v>C107</v>
          </cell>
        </row>
        <row r="152">
          <cell r="E152" t="str">
            <v>C108</v>
          </cell>
        </row>
        <row r="153">
          <cell r="E153" t="str">
            <v>C109</v>
          </cell>
        </row>
        <row r="154">
          <cell r="E154" t="str">
            <v>C110</v>
          </cell>
        </row>
        <row r="155">
          <cell r="E155" t="str">
            <v>C111</v>
          </cell>
        </row>
        <row r="156">
          <cell r="E156" t="str">
            <v>C112</v>
          </cell>
        </row>
        <row r="157">
          <cell r="E157" t="str">
            <v>C113</v>
          </cell>
        </row>
        <row r="158">
          <cell r="E158" t="str">
            <v>C114</v>
          </cell>
        </row>
        <row r="159">
          <cell r="E159" t="str">
            <v>C115</v>
          </cell>
        </row>
        <row r="160">
          <cell r="E160" t="str">
            <v>C116</v>
          </cell>
        </row>
        <row r="161">
          <cell r="E161" t="str">
            <v>C117</v>
          </cell>
        </row>
        <row r="162">
          <cell r="E162" t="str">
            <v>C118</v>
          </cell>
        </row>
        <row r="163">
          <cell r="E163" t="str">
            <v>C119</v>
          </cell>
        </row>
        <row r="164">
          <cell r="E164" t="str">
            <v>C120</v>
          </cell>
        </row>
        <row r="165">
          <cell r="E165" t="str">
            <v>C121</v>
          </cell>
        </row>
        <row r="166">
          <cell r="E166" t="str">
            <v>C122</v>
          </cell>
        </row>
        <row r="167">
          <cell r="E167" t="str">
            <v>C123</v>
          </cell>
        </row>
        <row r="168">
          <cell r="E168" t="str">
            <v>C124</v>
          </cell>
        </row>
        <row r="169">
          <cell r="E169" t="str">
            <v>C125</v>
          </cell>
        </row>
        <row r="170">
          <cell r="E170" t="str">
            <v>C126</v>
          </cell>
        </row>
        <row r="171">
          <cell r="E171" t="str">
            <v>C127</v>
          </cell>
        </row>
        <row r="172">
          <cell r="E172" t="str">
            <v>C128</v>
          </cell>
        </row>
        <row r="173">
          <cell r="E173" t="str">
            <v>C129</v>
          </cell>
        </row>
        <row r="174">
          <cell r="E174" t="str">
            <v>C130</v>
          </cell>
        </row>
        <row r="175">
          <cell r="E175" t="str">
            <v>C131</v>
          </cell>
        </row>
        <row r="176">
          <cell r="E176" t="str">
            <v>C132</v>
          </cell>
        </row>
        <row r="177">
          <cell r="E177" t="str">
            <v>C133</v>
          </cell>
        </row>
        <row r="178">
          <cell r="E178" t="str">
            <v>C134</v>
          </cell>
        </row>
        <row r="179">
          <cell r="E179" t="str">
            <v>C135</v>
          </cell>
        </row>
        <row r="180">
          <cell r="E180" t="str">
            <v>C136</v>
          </cell>
        </row>
        <row r="181">
          <cell r="E181" t="str">
            <v>C137</v>
          </cell>
        </row>
        <row r="182">
          <cell r="E182" t="str">
            <v>C138</v>
          </cell>
        </row>
        <row r="183">
          <cell r="E183" t="str">
            <v>C139</v>
          </cell>
        </row>
        <row r="184">
          <cell r="E184" t="str">
            <v>C140</v>
          </cell>
        </row>
        <row r="185">
          <cell r="E185" t="str">
            <v>C141</v>
          </cell>
        </row>
        <row r="186">
          <cell r="E186" t="str">
            <v>C142</v>
          </cell>
        </row>
        <row r="187">
          <cell r="E187" t="str">
            <v>C143</v>
          </cell>
        </row>
        <row r="188">
          <cell r="E188" t="str">
            <v>C144</v>
          </cell>
        </row>
        <row r="189">
          <cell r="E189" t="str">
            <v>C145</v>
          </cell>
        </row>
        <row r="190">
          <cell r="E190" t="str">
            <v>C146</v>
          </cell>
        </row>
        <row r="191">
          <cell r="E191" t="str">
            <v>C147</v>
          </cell>
        </row>
        <row r="192">
          <cell r="E192" t="str">
            <v>C148</v>
          </cell>
        </row>
        <row r="193">
          <cell r="E193" t="str">
            <v>C149</v>
          </cell>
        </row>
        <row r="194">
          <cell r="E194" t="str">
            <v>C150</v>
          </cell>
        </row>
        <row r="195">
          <cell r="E195" t="str">
            <v>C151</v>
          </cell>
        </row>
        <row r="196">
          <cell r="E196" t="str">
            <v>C152</v>
          </cell>
        </row>
        <row r="197">
          <cell r="E197" t="str">
            <v>C153</v>
          </cell>
        </row>
        <row r="198">
          <cell r="E198" t="str">
            <v>C154</v>
          </cell>
        </row>
        <row r="199">
          <cell r="E199" t="str">
            <v>C155</v>
          </cell>
        </row>
        <row r="200">
          <cell r="E200" t="str">
            <v>C156</v>
          </cell>
        </row>
        <row r="201">
          <cell r="E201" t="str">
            <v>C157</v>
          </cell>
        </row>
        <row r="202">
          <cell r="E202" t="str">
            <v>C158</v>
          </cell>
        </row>
        <row r="203">
          <cell r="E203" t="str">
            <v>C159</v>
          </cell>
        </row>
        <row r="204">
          <cell r="E204" t="str">
            <v>C160</v>
          </cell>
        </row>
        <row r="205">
          <cell r="E205" t="str">
            <v>C161</v>
          </cell>
        </row>
        <row r="206">
          <cell r="E206" t="str">
            <v>C162</v>
          </cell>
        </row>
        <row r="207">
          <cell r="E207" t="str">
            <v>C163</v>
          </cell>
        </row>
        <row r="208">
          <cell r="E208" t="str">
            <v>C164</v>
          </cell>
        </row>
        <row r="209">
          <cell r="E209" t="str">
            <v>C165</v>
          </cell>
        </row>
        <row r="210">
          <cell r="E210" t="str">
            <v>C166</v>
          </cell>
        </row>
        <row r="211">
          <cell r="E211" t="str">
            <v>C167</v>
          </cell>
        </row>
        <row r="212">
          <cell r="E212" t="str">
            <v>C168</v>
          </cell>
        </row>
        <row r="213">
          <cell r="E213" t="str">
            <v>C169</v>
          </cell>
        </row>
        <row r="214">
          <cell r="E214" t="str">
            <v>C170</v>
          </cell>
        </row>
        <row r="215">
          <cell r="E215" t="str">
            <v>C171</v>
          </cell>
        </row>
        <row r="216">
          <cell r="E216" t="str">
            <v>C172</v>
          </cell>
        </row>
        <row r="217">
          <cell r="E217" t="str">
            <v>C173</v>
          </cell>
        </row>
        <row r="218">
          <cell r="E218" t="str">
            <v>C174</v>
          </cell>
        </row>
        <row r="219">
          <cell r="E219" t="str">
            <v>C175</v>
          </cell>
        </row>
        <row r="220">
          <cell r="E220" t="str">
            <v>C176</v>
          </cell>
        </row>
        <row r="221">
          <cell r="E221" t="str">
            <v>C177</v>
          </cell>
        </row>
        <row r="222">
          <cell r="E222" t="str">
            <v>C178</v>
          </cell>
        </row>
        <row r="223">
          <cell r="E223" t="str">
            <v>C179</v>
          </cell>
        </row>
        <row r="224">
          <cell r="E224" t="str">
            <v>D100</v>
          </cell>
        </row>
        <row r="225">
          <cell r="E225" t="str">
            <v>D101</v>
          </cell>
        </row>
        <row r="226">
          <cell r="E226" t="str">
            <v>D102</v>
          </cell>
        </row>
        <row r="227">
          <cell r="E227" t="str">
            <v>D103</v>
          </cell>
        </row>
        <row r="228">
          <cell r="E228" t="str">
            <v>D104</v>
          </cell>
        </row>
        <row r="229">
          <cell r="E229" t="str">
            <v>D105</v>
          </cell>
        </row>
        <row r="230">
          <cell r="E230" t="str">
            <v>D106</v>
          </cell>
        </row>
        <row r="231">
          <cell r="E231" t="str">
            <v>D107</v>
          </cell>
        </row>
        <row r="232">
          <cell r="E232" t="str">
            <v>D108</v>
          </cell>
        </row>
        <row r="233">
          <cell r="E233" t="str">
            <v>D109</v>
          </cell>
        </row>
        <row r="234">
          <cell r="E234" t="str">
            <v>D110</v>
          </cell>
        </row>
        <row r="235">
          <cell r="E235" t="str">
            <v>D111</v>
          </cell>
        </row>
        <row r="236">
          <cell r="E236" t="str">
            <v>D112</v>
          </cell>
        </row>
        <row r="237">
          <cell r="E237" t="str">
            <v>D113</v>
          </cell>
        </row>
        <row r="238">
          <cell r="E238" t="str">
            <v>D114</v>
          </cell>
        </row>
        <row r="239">
          <cell r="E239" t="str">
            <v>D115</v>
          </cell>
        </row>
        <row r="240">
          <cell r="E240" t="str">
            <v>D116</v>
          </cell>
        </row>
        <row r="241">
          <cell r="E241" t="str">
            <v>D117</v>
          </cell>
        </row>
        <row r="242">
          <cell r="E242" t="str">
            <v>D118</v>
          </cell>
        </row>
        <row r="243">
          <cell r="E243" t="str">
            <v>D119</v>
          </cell>
        </row>
        <row r="244">
          <cell r="E244" t="str">
            <v>D120</v>
          </cell>
        </row>
        <row r="245">
          <cell r="E245" t="str">
            <v>D121</v>
          </cell>
        </row>
        <row r="246">
          <cell r="E246" t="str">
            <v>D122</v>
          </cell>
        </row>
        <row r="247">
          <cell r="E247" t="str">
            <v>D123</v>
          </cell>
        </row>
        <row r="248">
          <cell r="E248" t="str">
            <v>D124</v>
          </cell>
        </row>
        <row r="249">
          <cell r="E249" t="str">
            <v>D125</v>
          </cell>
        </row>
        <row r="250">
          <cell r="E250" t="str">
            <v>D126</v>
          </cell>
        </row>
        <row r="251">
          <cell r="E251" t="str">
            <v>D127</v>
          </cell>
        </row>
        <row r="252">
          <cell r="E252" t="str">
            <v>D128</v>
          </cell>
        </row>
        <row r="253">
          <cell r="E253" t="str">
            <v>D129</v>
          </cell>
        </row>
        <row r="254">
          <cell r="E254" t="str">
            <v>D130</v>
          </cell>
        </row>
        <row r="255">
          <cell r="E255" t="str">
            <v>D131</v>
          </cell>
        </row>
        <row r="256">
          <cell r="E256" t="str">
            <v>D132</v>
          </cell>
        </row>
        <row r="257">
          <cell r="E257" t="str">
            <v>D133</v>
          </cell>
        </row>
        <row r="258">
          <cell r="E258" t="str">
            <v>D134</v>
          </cell>
        </row>
        <row r="259">
          <cell r="E259" t="str">
            <v>D135</v>
          </cell>
        </row>
        <row r="260">
          <cell r="E260" t="str">
            <v>D136</v>
          </cell>
        </row>
        <row r="261">
          <cell r="E261" t="str">
            <v>D137</v>
          </cell>
        </row>
        <row r="262">
          <cell r="E262" t="str">
            <v>D138</v>
          </cell>
        </row>
        <row r="263">
          <cell r="E263" t="str">
            <v>D139</v>
          </cell>
        </row>
        <row r="264">
          <cell r="E264" t="str">
            <v>D140</v>
          </cell>
        </row>
        <row r="265">
          <cell r="E265" t="str">
            <v>D141</v>
          </cell>
        </row>
        <row r="266">
          <cell r="E266" t="str">
            <v>D142</v>
          </cell>
        </row>
        <row r="267">
          <cell r="E267" t="str">
            <v>D143</v>
          </cell>
        </row>
        <row r="268">
          <cell r="E268" t="str">
            <v>D144</v>
          </cell>
        </row>
        <row r="269">
          <cell r="E269" t="str">
            <v>D145</v>
          </cell>
        </row>
        <row r="270">
          <cell r="E270" t="str">
            <v>D146</v>
          </cell>
        </row>
        <row r="271">
          <cell r="E271" t="str">
            <v>D147</v>
          </cell>
        </row>
        <row r="272">
          <cell r="E272" t="str">
            <v>D148</v>
          </cell>
        </row>
        <row r="273">
          <cell r="E273" t="str">
            <v>D149</v>
          </cell>
        </row>
        <row r="274">
          <cell r="E274" t="str">
            <v>D150</v>
          </cell>
        </row>
        <row r="275">
          <cell r="E275" t="str">
            <v>D151</v>
          </cell>
        </row>
        <row r="276">
          <cell r="E276" t="str">
            <v>D152</v>
          </cell>
        </row>
        <row r="277">
          <cell r="E277" t="str">
            <v>D153</v>
          </cell>
        </row>
        <row r="278">
          <cell r="E278" t="str">
            <v>D154</v>
          </cell>
        </row>
        <row r="279">
          <cell r="E279" t="str">
            <v>D155</v>
          </cell>
        </row>
        <row r="280">
          <cell r="E280" t="str">
            <v>D156</v>
          </cell>
        </row>
        <row r="281">
          <cell r="E281" t="str">
            <v>D157</v>
          </cell>
        </row>
        <row r="282">
          <cell r="E282" t="str">
            <v>D158</v>
          </cell>
        </row>
        <row r="283">
          <cell r="E283" t="str">
            <v>D159</v>
          </cell>
        </row>
        <row r="284">
          <cell r="E284" t="str">
            <v>D160</v>
          </cell>
        </row>
        <row r="285">
          <cell r="E285" t="str">
            <v>D161</v>
          </cell>
        </row>
        <row r="286">
          <cell r="E286" t="str">
            <v>D162</v>
          </cell>
        </row>
        <row r="287">
          <cell r="E287" t="str">
            <v>D163</v>
          </cell>
        </row>
        <row r="288">
          <cell r="E288" t="str">
            <v>D164</v>
          </cell>
        </row>
        <row r="289">
          <cell r="E289" t="str">
            <v>D165</v>
          </cell>
        </row>
        <row r="290">
          <cell r="E290" t="str">
            <v>D166</v>
          </cell>
        </row>
        <row r="291">
          <cell r="E291" t="str">
            <v>D167</v>
          </cell>
        </row>
        <row r="292">
          <cell r="E292" t="str">
            <v>D168</v>
          </cell>
        </row>
        <row r="293">
          <cell r="E293" t="str">
            <v>D169</v>
          </cell>
        </row>
        <row r="294">
          <cell r="E294" t="str">
            <v>D170</v>
          </cell>
        </row>
        <row r="295">
          <cell r="E295" t="str">
            <v>D171</v>
          </cell>
        </row>
        <row r="296">
          <cell r="E296" t="str">
            <v>D172</v>
          </cell>
        </row>
        <row r="297">
          <cell r="E297" t="str">
            <v>D173</v>
          </cell>
        </row>
        <row r="298">
          <cell r="E298" t="str">
            <v>D174</v>
          </cell>
        </row>
        <row r="299">
          <cell r="E299" t="str">
            <v>D175</v>
          </cell>
        </row>
        <row r="300">
          <cell r="E300" t="str">
            <v>D176</v>
          </cell>
        </row>
        <row r="301">
          <cell r="E301" t="str">
            <v>D177</v>
          </cell>
        </row>
        <row r="302">
          <cell r="E302" t="str">
            <v>D178</v>
          </cell>
        </row>
        <row r="303">
          <cell r="E303" t="str">
            <v>D179</v>
          </cell>
        </row>
        <row r="304">
          <cell r="E304" t="str">
            <v>D180</v>
          </cell>
        </row>
        <row r="305">
          <cell r="E305" t="str">
            <v>D181</v>
          </cell>
        </row>
        <row r="306">
          <cell r="E306" t="str">
            <v>D182</v>
          </cell>
        </row>
        <row r="307">
          <cell r="E307" t="str">
            <v>D183</v>
          </cell>
        </row>
        <row r="308">
          <cell r="E308" t="str">
            <v>D184</v>
          </cell>
        </row>
        <row r="309">
          <cell r="E309" t="str">
            <v>D185</v>
          </cell>
        </row>
        <row r="310">
          <cell r="E310" t="str">
            <v>D186</v>
          </cell>
        </row>
        <row r="311">
          <cell r="E311" t="str">
            <v>D187</v>
          </cell>
        </row>
        <row r="312">
          <cell r="E312" t="str">
            <v>D188</v>
          </cell>
        </row>
        <row r="313">
          <cell r="E313" t="str">
            <v>D189</v>
          </cell>
        </row>
        <row r="314">
          <cell r="E314" t="str">
            <v>D190</v>
          </cell>
        </row>
        <row r="315">
          <cell r="E315" t="str">
            <v>D191</v>
          </cell>
        </row>
        <row r="316">
          <cell r="E316" t="str">
            <v>D192</v>
          </cell>
        </row>
        <row r="317">
          <cell r="E317" t="str">
            <v>D193</v>
          </cell>
        </row>
        <row r="318">
          <cell r="E318" t="str">
            <v>D194</v>
          </cell>
        </row>
        <row r="319">
          <cell r="E319" t="str">
            <v>D195</v>
          </cell>
        </row>
        <row r="320">
          <cell r="E320" t="str">
            <v>D196</v>
          </cell>
        </row>
        <row r="321">
          <cell r="E321" t="str">
            <v>D197</v>
          </cell>
        </row>
        <row r="322">
          <cell r="E322" t="str">
            <v>D198</v>
          </cell>
        </row>
        <row r="323">
          <cell r="E323" t="str">
            <v>D199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3EE74E1-DFB8-4F8D-914B-E5BC4DAF9592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B535-DB4C-4218-90AF-124F9B1F62B5}">
  <sheetPr codeName="Sheet1"/>
  <dimension ref="A1:BX502"/>
  <sheetViews>
    <sheetView topLeftCell="BD1" zoomScale="90" zoomScaleNormal="90" workbookViewId="0">
      <selection activeCell="BM16" sqref="BM16"/>
    </sheetView>
  </sheetViews>
  <sheetFormatPr defaultRowHeight="25.5" x14ac:dyDescent="0.45"/>
  <cols>
    <col min="1" max="1" width="39.59765625" customWidth="1"/>
    <col min="2" max="2" width="3.59765625" style="3" customWidth="1"/>
    <col min="3" max="3" width="20" customWidth="1"/>
    <col min="4" max="4" width="3.59765625" style="4" customWidth="1"/>
    <col min="5" max="6" width="12" customWidth="1"/>
    <col min="7" max="16" width="12" hidden="1" customWidth="1"/>
    <col min="17" max="17" width="14.9296875" hidden="1" customWidth="1"/>
    <col min="18" max="18" width="11.73046875" hidden="1" customWidth="1"/>
    <col min="19" max="19" width="7.9296875" hidden="1" customWidth="1"/>
    <col min="20" max="20" width="9.19921875" hidden="1" customWidth="1"/>
    <col min="21" max="21" width="10.86328125" hidden="1" customWidth="1"/>
    <col min="22" max="22" width="18.59765625" hidden="1" customWidth="1"/>
    <col min="23" max="23" width="14.46484375" hidden="1" customWidth="1"/>
    <col min="24" max="24" width="12.3984375" hidden="1" customWidth="1"/>
    <col min="25" max="25" width="12" hidden="1" customWidth="1"/>
    <col min="26" max="26" width="9.73046875" hidden="1" customWidth="1"/>
    <col min="27" max="27" width="12.73046875" hidden="1" customWidth="1"/>
    <col min="28" max="28" width="12.53125" hidden="1" customWidth="1"/>
    <col min="29" max="29" width="6.6640625" hidden="1" customWidth="1"/>
    <col min="30" max="30" width="9.06640625" hidden="1" customWidth="1"/>
    <col min="31" max="31" width="9.59765625" hidden="1" customWidth="1"/>
    <col min="32" max="32" width="9.06640625" hidden="1" customWidth="1"/>
    <col min="33" max="33" width="10.59765625" hidden="1" customWidth="1"/>
    <col min="34" max="34" width="8.3984375" hidden="1" customWidth="1"/>
    <col min="35" max="36" width="10.19921875" hidden="1" customWidth="1"/>
    <col min="37" max="37" width="4.265625" style="4" customWidth="1"/>
    <col min="39" max="39" width="34.3984375" bestFit="1" customWidth="1"/>
    <col min="41" max="41" width="12.1328125" bestFit="1" customWidth="1"/>
    <col min="48" max="48" width="4" style="4" customWidth="1"/>
    <col min="50" max="50" width="26" bestFit="1" customWidth="1"/>
    <col min="51" max="51" width="12.1328125" bestFit="1" customWidth="1"/>
    <col min="55" max="55" width="10.86328125" customWidth="1"/>
    <col min="56" max="56" width="10" customWidth="1"/>
    <col min="58" max="58" width="15.265625" customWidth="1"/>
    <col min="59" max="59" width="4" style="4" customWidth="1"/>
    <col min="61" max="61" width="27" bestFit="1" customWidth="1"/>
    <col min="62" max="62" width="22.73046875" bestFit="1" customWidth="1"/>
    <col min="63" max="63" width="10.6640625" bestFit="1" customWidth="1"/>
    <col min="64" max="64" width="4.1328125" customWidth="1"/>
    <col min="75" max="75" width="17" customWidth="1"/>
    <col min="76" max="76" width="9.06640625" customWidth="1"/>
    <col min="367" max="367" width="9.06640625" customWidth="1"/>
  </cols>
  <sheetData>
    <row r="1" spans="1:76" s="2" customFormat="1" ht="69.400000000000006" customHeight="1" x14ac:dyDescent="0.45">
      <c r="A1" s="2" t="s">
        <v>0</v>
      </c>
      <c r="B1" s="3"/>
      <c r="C1" s="1" t="s">
        <v>1</v>
      </c>
      <c r="D1" s="3"/>
      <c r="E1" s="16" t="s">
        <v>2</v>
      </c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K1" s="3"/>
      <c r="AL1" s="15" t="s">
        <v>3</v>
      </c>
      <c r="AM1" s="15"/>
      <c r="AN1" s="15"/>
      <c r="AO1" s="15"/>
      <c r="AP1" s="15"/>
      <c r="AQ1" s="15"/>
      <c r="AR1" s="15"/>
      <c r="AS1" s="15"/>
      <c r="AT1" s="15"/>
      <c r="AU1" s="15"/>
      <c r="AV1" s="3"/>
      <c r="AW1" s="15" t="s">
        <v>4</v>
      </c>
      <c r="AX1" s="15"/>
      <c r="AY1" s="15"/>
      <c r="AZ1" s="15"/>
      <c r="BA1" s="15"/>
      <c r="BB1" s="15"/>
      <c r="BC1" s="15"/>
      <c r="BD1" s="15"/>
      <c r="BE1" s="15"/>
      <c r="BF1" s="15"/>
      <c r="BG1" s="3"/>
      <c r="BH1" s="16" t="s">
        <v>13</v>
      </c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</row>
    <row r="2" spans="1:76" s="2" customFormat="1" ht="39.75" customHeight="1" x14ac:dyDescent="0.45">
      <c r="A2" s="2" t="s">
        <v>5</v>
      </c>
      <c r="B2" s="3"/>
      <c r="C2" s="1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K2" s="3"/>
      <c r="AL2" s="1"/>
      <c r="AM2" s="1"/>
      <c r="AN2" s="1"/>
      <c r="AO2" s="1"/>
      <c r="AP2" s="1"/>
      <c r="AQ2" s="1"/>
      <c r="AR2" s="1"/>
      <c r="AS2" s="1"/>
      <c r="AT2" s="1"/>
      <c r="AU2" s="1"/>
      <c r="AV2" s="3"/>
      <c r="AW2" s="1"/>
      <c r="AX2" s="1"/>
      <c r="AY2" s="1"/>
      <c r="AZ2" s="1"/>
      <c r="BA2" s="1"/>
      <c r="BB2" s="1"/>
      <c r="BC2" s="1"/>
      <c r="BD2" s="1"/>
      <c r="BE2" s="1"/>
      <c r="BF2" s="1"/>
      <c r="BG2" s="3"/>
      <c r="BH2"/>
    </row>
    <row r="3" spans="1:76" x14ac:dyDescent="0.45">
      <c r="A3" t="e">
        <f>#REF!</f>
        <v>#REF!</v>
      </c>
      <c r="C3" t="str" cm="1">
        <f t="array" ref="C3:C12">[1]!listof_sections</f>
        <v>SUB JUNIOR</v>
      </c>
      <c r="E3" t="str" cm="1">
        <f t="array" ref="E3:AJ62">[1]!detailsof_teams</f>
        <v>A</v>
      </c>
      <c r="F3" t="str">
        <v>TEAM A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L3" t="str" cm="1">
        <f t="array" ref="AL3:AU502">[1]!detailsof_candidates</f>
        <v>A100</v>
      </c>
      <c r="AM3" t="str">
        <v>ADINAN ABOOBACKER K</v>
      </c>
      <c r="AN3" t="str">
        <v>A</v>
      </c>
      <c r="AO3" t="str">
        <v>SUB JUNIOR</v>
      </c>
      <c r="AP3">
        <v>1</v>
      </c>
      <c r="AQ3">
        <v>0</v>
      </c>
      <c r="AR3">
        <v>0</v>
      </c>
      <c r="AS3">
        <v>0</v>
      </c>
      <c r="AT3">
        <v>1</v>
      </c>
      <c r="AU3">
        <v>0</v>
      </c>
      <c r="AW3" t="str" cm="1">
        <f t="array" ref="AW3:BF502">[1]!detailsof_programs</f>
        <v>SJ01</v>
      </c>
      <c r="AX3" t="str">
        <v>Quira'ath</v>
      </c>
      <c r="AY3" t="str">
        <v>SUB JUNIOR</v>
      </c>
      <c r="AZ3" t="str">
        <v>Single</v>
      </c>
      <c r="BA3" t="str">
        <v>Stage</v>
      </c>
      <c r="BB3">
        <v>8</v>
      </c>
      <c r="BC3" t="str">
        <v>Individual</v>
      </c>
      <c r="BD3" t="str">
        <v>Individual</v>
      </c>
      <c r="BE3">
        <v>0</v>
      </c>
      <c r="BF3" t="str">
        <v>NOT ENTERED</v>
      </c>
      <c r="BH3" cm="1">
        <f t="array" ref="BH3:BX3">_xlfn._xlws.FILTER('[1]ADD RESULT'!$B$9:$R$10012,('[1]ADD RESULT'!$Q$9:$Q$10012="PUBLISHED"),"THERE IS NO ANY PUBLISHED PROGRAMS")</f>
        <v>6</v>
      </c>
      <c r="BI3" t="str">
        <v>JN25</v>
      </c>
      <c r="BJ3" t="str">
        <v>Conversation Arabic</v>
      </c>
      <c r="BK3" t="str">
        <v>JUNIOR</v>
      </c>
      <c r="BL3">
        <v>1</v>
      </c>
      <c r="BM3" t="str">
        <v>A</v>
      </c>
      <c r="BN3" t="str">
        <v>BLU</v>
      </c>
      <c r="BO3" t="str">
        <v>BLUE</v>
      </c>
      <c r="BP3" t="str">
        <v>BLU</v>
      </c>
      <c r="BQ3">
        <v>0</v>
      </c>
      <c r="BR3">
        <v>7</v>
      </c>
      <c r="BS3">
        <v>5</v>
      </c>
      <c r="BT3">
        <v>12</v>
      </c>
      <c r="BU3" t="str">
        <v>Team only</v>
      </c>
      <c r="BV3">
        <v>0</v>
      </c>
      <c r="BW3" t="str">
        <v>PUBLISHED</v>
      </c>
      <c r="BX3">
        <v>0</v>
      </c>
    </row>
    <row r="4" spans="1:76" x14ac:dyDescent="0.45">
      <c r="C4" t="str">
        <v>JUNIOR</v>
      </c>
      <c r="E4" t="str">
        <v>B</v>
      </c>
      <c r="F4" t="str">
        <v>TEAM B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L4" t="str">
        <v>A101</v>
      </c>
      <c r="AM4" t="str">
        <v>MUHAMMED TAMEEM</v>
      </c>
      <c r="AN4" t="str">
        <v>D</v>
      </c>
      <c r="AO4" t="str">
        <v>SUB JUNIOR</v>
      </c>
      <c r="AP4">
        <v>1</v>
      </c>
      <c r="AQ4">
        <v>0</v>
      </c>
      <c r="AR4">
        <v>0</v>
      </c>
      <c r="AS4">
        <v>0</v>
      </c>
      <c r="AT4">
        <v>1</v>
      </c>
      <c r="AU4">
        <v>0</v>
      </c>
      <c r="AW4" t="str">
        <v>SJ02</v>
      </c>
      <c r="AX4" t="str">
        <v>Hifz</v>
      </c>
      <c r="AY4" t="str">
        <v>SUB JUNIOR</v>
      </c>
      <c r="AZ4" t="str">
        <v>Single</v>
      </c>
      <c r="BA4" t="str">
        <v>Stage</v>
      </c>
      <c r="BB4">
        <v>4</v>
      </c>
      <c r="BC4" t="str">
        <v>Individual</v>
      </c>
      <c r="BD4" t="str">
        <v>Individual</v>
      </c>
      <c r="BE4">
        <v>0</v>
      </c>
      <c r="BF4" t="str">
        <v>ENTERED</v>
      </c>
    </row>
    <row r="5" spans="1:76" x14ac:dyDescent="0.45">
      <c r="C5" t="str">
        <v>SENIOR</v>
      </c>
      <c r="E5" t="str">
        <v>C</v>
      </c>
      <c r="F5" t="str">
        <v>TEAM C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L5" t="str">
        <v>A102</v>
      </c>
      <c r="AM5" t="str">
        <v>AJZAL ASHRAF OV</v>
      </c>
      <c r="AN5" t="str">
        <v>D</v>
      </c>
      <c r="AO5" t="str">
        <v>SUB JUNIOR</v>
      </c>
      <c r="AP5">
        <v>1</v>
      </c>
      <c r="AQ5">
        <v>0</v>
      </c>
      <c r="AR5">
        <v>0</v>
      </c>
      <c r="AS5">
        <v>0</v>
      </c>
      <c r="AT5">
        <v>1</v>
      </c>
      <c r="AU5">
        <v>0</v>
      </c>
      <c r="AW5" t="str">
        <v>SJ03</v>
      </c>
      <c r="AX5" t="str">
        <v>Vank</v>
      </c>
      <c r="AY5" t="str">
        <v>SUB JUNIOR</v>
      </c>
      <c r="AZ5" t="str">
        <v>Single</v>
      </c>
      <c r="BA5" t="str">
        <v>Stage</v>
      </c>
      <c r="BB5">
        <v>2</v>
      </c>
      <c r="BC5" t="str">
        <v>Individual</v>
      </c>
      <c r="BD5" t="str">
        <v>Individual</v>
      </c>
      <c r="BE5">
        <v>0</v>
      </c>
      <c r="BF5" t="str">
        <v>NOT ENTERED</v>
      </c>
    </row>
    <row r="6" spans="1:76" x14ac:dyDescent="0.45">
      <c r="C6" t="str">
        <v>SUPER SENIOR</v>
      </c>
      <c r="E6" t="str">
        <v>D</v>
      </c>
      <c r="F6" t="str">
        <v>TEAM D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L6" t="str">
        <v>A103</v>
      </c>
      <c r="AM6" t="str">
        <v>MUHAMMED RIZIN AMAN</v>
      </c>
      <c r="AN6" t="str">
        <v>D</v>
      </c>
      <c r="AO6" t="str">
        <v>SUB JUNIOR</v>
      </c>
      <c r="AP6">
        <v>1</v>
      </c>
      <c r="AQ6">
        <v>0</v>
      </c>
      <c r="AR6">
        <v>0</v>
      </c>
      <c r="AS6">
        <v>0</v>
      </c>
      <c r="AT6">
        <v>1</v>
      </c>
      <c r="AU6">
        <v>0</v>
      </c>
      <c r="AW6" t="str">
        <v>SJ04</v>
      </c>
      <c r="AX6" t="str">
        <v>Va'az</v>
      </c>
      <c r="AY6" t="str">
        <v>SUB JUNIOR</v>
      </c>
      <c r="AZ6" t="str">
        <v>Single</v>
      </c>
      <c r="BA6" t="str">
        <v>Stage</v>
      </c>
      <c r="BB6">
        <v>3</v>
      </c>
      <c r="BC6" t="str">
        <v>Individual</v>
      </c>
      <c r="BD6" t="str">
        <v>Individual</v>
      </c>
      <c r="BE6">
        <v>0</v>
      </c>
      <c r="BF6" t="str">
        <v>NOT ENTERED</v>
      </c>
    </row>
    <row r="7" spans="1:76" x14ac:dyDescent="0.45">
      <c r="C7" t="str">
        <v>GENERAL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t="str">
        <v/>
      </c>
      <c r="N7" t="str">
        <v/>
      </c>
      <c r="O7" t="str">
        <v/>
      </c>
      <c r="P7" t="str">
        <v/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L7" t="str">
        <v>A104</v>
      </c>
      <c r="AM7" t="str">
        <v>MUHAMMAD AZEEM</v>
      </c>
      <c r="AN7" t="str">
        <v>C</v>
      </c>
      <c r="AO7" t="str">
        <v>SUB JUNIOR</v>
      </c>
      <c r="AP7">
        <v>1</v>
      </c>
      <c r="AQ7">
        <v>0</v>
      </c>
      <c r="AR7">
        <v>0</v>
      </c>
      <c r="AS7">
        <v>0</v>
      </c>
      <c r="AT7">
        <v>1</v>
      </c>
      <c r="AU7">
        <v>0</v>
      </c>
      <c r="AW7" t="str">
        <v>SJ05</v>
      </c>
      <c r="AX7" t="str">
        <v>Madhunnabi Malayalam</v>
      </c>
      <c r="AY7" t="str">
        <v>SUB JUNIOR</v>
      </c>
      <c r="AZ7" t="str">
        <v>Single</v>
      </c>
      <c r="BA7" t="str">
        <v>Stage</v>
      </c>
      <c r="BB7">
        <v>6</v>
      </c>
      <c r="BC7" t="str">
        <v>Individual</v>
      </c>
      <c r="BD7" t="str">
        <v>Individual</v>
      </c>
      <c r="BE7">
        <v>0</v>
      </c>
      <c r="BF7" t="str">
        <v>ENTERED</v>
      </c>
    </row>
    <row r="8" spans="1:76" x14ac:dyDescent="0.45">
      <c r="C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t="str">
        <v/>
      </c>
      <c r="N8" t="str">
        <v/>
      </c>
      <c r="O8" t="str">
        <v/>
      </c>
      <c r="P8" t="str">
        <v/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L8" t="str">
        <v>A105</v>
      </c>
      <c r="AM8" t="str">
        <v>MUHAMMED HAFIZ S T</v>
      </c>
      <c r="AN8" t="str">
        <v>A</v>
      </c>
      <c r="AO8" t="str">
        <v>SUB JUNIOR</v>
      </c>
      <c r="AP8">
        <v>1</v>
      </c>
      <c r="AQ8">
        <v>0</v>
      </c>
      <c r="AR8">
        <v>0</v>
      </c>
      <c r="AS8">
        <v>0</v>
      </c>
      <c r="AT8">
        <v>1</v>
      </c>
      <c r="AU8">
        <v>0</v>
      </c>
      <c r="AW8" t="str">
        <v>SJ06</v>
      </c>
      <c r="AX8" t="str">
        <v>Song Arabic</v>
      </c>
      <c r="AY8" t="str">
        <v>SUB JUNIOR</v>
      </c>
      <c r="AZ8" t="str">
        <v>Single</v>
      </c>
      <c r="BA8" t="str">
        <v>Stage</v>
      </c>
      <c r="BB8">
        <v>5</v>
      </c>
      <c r="BC8" t="str">
        <v>Individual</v>
      </c>
      <c r="BD8" t="str">
        <v>Individual</v>
      </c>
      <c r="BE8">
        <v>0</v>
      </c>
      <c r="BF8" t="str">
        <v>NOT ENTERED</v>
      </c>
    </row>
    <row r="9" spans="1:76" x14ac:dyDescent="0.45">
      <c r="C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tr">
        <v/>
      </c>
      <c r="N9" t="str">
        <v/>
      </c>
      <c r="O9" t="str">
        <v/>
      </c>
      <c r="P9" t="str">
        <v/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L9" t="str">
        <v>A106</v>
      </c>
      <c r="AM9" t="str">
        <v>Abdul Khader Uvais K A</v>
      </c>
      <c r="AN9" t="str">
        <v>C</v>
      </c>
      <c r="AO9" t="str">
        <v>SUB JUNIOR</v>
      </c>
      <c r="AP9">
        <v>1</v>
      </c>
      <c r="AQ9">
        <v>0</v>
      </c>
      <c r="AR9">
        <v>0</v>
      </c>
      <c r="AS9">
        <v>0</v>
      </c>
      <c r="AT9">
        <v>1</v>
      </c>
      <c r="AU9">
        <v>0</v>
      </c>
      <c r="AW9" t="str">
        <v>SJ07</v>
      </c>
      <c r="AX9" t="str">
        <v>Song Urdu</v>
      </c>
      <c r="AY9" t="str">
        <v>SUB JUNIOR</v>
      </c>
      <c r="AZ9" t="str">
        <v>Single</v>
      </c>
      <c r="BA9" t="str">
        <v>Stage</v>
      </c>
      <c r="BB9">
        <v>1</v>
      </c>
      <c r="BC9" t="str">
        <v>Individual</v>
      </c>
      <c r="BD9" t="str">
        <v>Individual</v>
      </c>
      <c r="BE9">
        <v>0</v>
      </c>
      <c r="BF9" t="str">
        <v>ENTERED</v>
      </c>
    </row>
    <row r="10" spans="1:76" x14ac:dyDescent="0.45">
      <c r="C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str">
        <v/>
      </c>
      <c r="N10" t="str">
        <v/>
      </c>
      <c r="O10" t="str">
        <v/>
      </c>
      <c r="P10" t="str">
        <v/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L10" t="str">
        <v>A107</v>
      </c>
      <c r="AM10" t="str">
        <v>MUHAMMED ADHIL C H</v>
      </c>
      <c r="AN10" t="str">
        <v>A</v>
      </c>
      <c r="AO10" t="str">
        <v>SUB JUNIOR</v>
      </c>
      <c r="AP10">
        <v>1</v>
      </c>
      <c r="AQ10">
        <v>0</v>
      </c>
      <c r="AR10">
        <v>0</v>
      </c>
      <c r="AS10">
        <v>0</v>
      </c>
      <c r="AT10">
        <v>1</v>
      </c>
      <c r="AU10">
        <v>0</v>
      </c>
      <c r="AW10" t="str">
        <v>SJ08</v>
      </c>
      <c r="AX10" t="str">
        <v>Song English</v>
      </c>
      <c r="AY10" t="str">
        <v>SUB JUNIOR</v>
      </c>
      <c r="AZ10" t="str">
        <v>Single</v>
      </c>
      <c r="BA10" t="str">
        <v>Stage</v>
      </c>
      <c r="BB10">
        <v>2</v>
      </c>
      <c r="BC10" t="str">
        <v>Individual</v>
      </c>
      <c r="BD10" t="str">
        <v>Individual</v>
      </c>
      <c r="BE10">
        <v>0</v>
      </c>
      <c r="BF10" t="str">
        <v>NOT ENTERED</v>
      </c>
    </row>
    <row r="11" spans="1:76" x14ac:dyDescent="0.45">
      <c r="C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t="str">
        <v/>
      </c>
      <c r="N11" t="str">
        <v/>
      </c>
      <c r="O11" t="str">
        <v/>
      </c>
      <c r="P11" t="str">
        <v/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L11" t="str">
        <v>A108</v>
      </c>
      <c r="AM11" t="str">
        <v>Mohammed Sinan N.A</v>
      </c>
      <c r="AN11" t="str">
        <v>C</v>
      </c>
      <c r="AO11" t="str">
        <v>SUB JUNIOR</v>
      </c>
      <c r="AP11">
        <v>1</v>
      </c>
      <c r="AQ11">
        <v>0</v>
      </c>
      <c r="AR11">
        <v>0</v>
      </c>
      <c r="AS11">
        <v>0</v>
      </c>
      <c r="AT11">
        <v>1</v>
      </c>
      <c r="AU11">
        <v>0</v>
      </c>
      <c r="AW11" t="str">
        <v>SJ09</v>
      </c>
      <c r="AX11" t="str">
        <v>Padhyaparayanam</v>
      </c>
      <c r="AY11" t="str">
        <v>SUB JUNIOR</v>
      </c>
      <c r="AZ11" t="str">
        <v>Single</v>
      </c>
      <c r="BA11" t="str">
        <v>Stage</v>
      </c>
      <c r="BB11">
        <v>3</v>
      </c>
      <c r="BC11" t="str">
        <v>Individual</v>
      </c>
      <c r="BD11" t="str">
        <v>Individual</v>
      </c>
      <c r="BE11">
        <v>0</v>
      </c>
      <c r="BF11" t="str">
        <v>ENTERED</v>
      </c>
    </row>
    <row r="12" spans="1:76" x14ac:dyDescent="0.45">
      <c r="C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t="str">
        <v/>
      </c>
      <c r="N12" t="str">
        <v/>
      </c>
      <c r="O12" t="str">
        <v/>
      </c>
      <c r="P12" t="str">
        <v/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L12" t="str">
        <v>A109</v>
      </c>
      <c r="AM12" t="str">
        <v>AHMED RAZI MR</v>
      </c>
      <c r="AN12" t="str">
        <v>C</v>
      </c>
      <c r="AO12" t="str">
        <v>SUB JUNIOR</v>
      </c>
      <c r="AP12">
        <v>1</v>
      </c>
      <c r="AQ12">
        <v>0</v>
      </c>
      <c r="AR12">
        <v>0</v>
      </c>
      <c r="AS12">
        <v>0</v>
      </c>
      <c r="AT12">
        <v>1</v>
      </c>
      <c r="AU12">
        <v>0</v>
      </c>
      <c r="AW12" t="str">
        <v>SJ10</v>
      </c>
      <c r="AX12" t="str">
        <v xml:space="preserve">Kadhakadhanam </v>
      </c>
      <c r="AY12" t="str">
        <v>SUB JUNIOR</v>
      </c>
      <c r="AZ12" t="str">
        <v>Single</v>
      </c>
      <c r="BA12" t="str">
        <v>Stage</v>
      </c>
      <c r="BB12">
        <v>5</v>
      </c>
      <c r="BC12" t="str">
        <v>Individual</v>
      </c>
      <c r="BD12" t="str">
        <v>Individual</v>
      </c>
      <c r="BE12">
        <v>0</v>
      </c>
      <c r="BF12" t="str">
        <v>NOT ENTERED</v>
      </c>
    </row>
    <row r="13" spans="1:76" x14ac:dyDescent="0.45"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t="str">
        <v/>
      </c>
      <c r="N13" t="str">
        <v/>
      </c>
      <c r="O13" t="str">
        <v/>
      </c>
      <c r="P13" t="str">
        <v/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L13" t="str">
        <v>A110</v>
      </c>
      <c r="AM13" t="str">
        <v>Muhammed Hisham K M</v>
      </c>
      <c r="AN13" t="str">
        <v>A</v>
      </c>
      <c r="AO13" t="str">
        <v>SUB JUNIOR</v>
      </c>
      <c r="AP13">
        <v>1</v>
      </c>
      <c r="AQ13">
        <v>0</v>
      </c>
      <c r="AR13">
        <v>0</v>
      </c>
      <c r="AS13">
        <v>0</v>
      </c>
      <c r="AT13">
        <v>1</v>
      </c>
      <c r="AU13">
        <v>0</v>
      </c>
      <c r="AW13" t="str">
        <v>SJ11</v>
      </c>
      <c r="AX13" t="str">
        <v>Speech MLM</v>
      </c>
      <c r="AY13" t="str">
        <v>SUB JUNIOR</v>
      </c>
      <c r="AZ13" t="str">
        <v>Single</v>
      </c>
      <c r="BA13" t="str">
        <v>Stage</v>
      </c>
      <c r="BB13">
        <v>4</v>
      </c>
      <c r="BC13" t="str">
        <v>Individual</v>
      </c>
      <c r="BD13" t="str">
        <v>Individual</v>
      </c>
      <c r="BE13">
        <v>0</v>
      </c>
      <c r="BF13" t="str">
        <v>NOT ENTERED</v>
      </c>
    </row>
    <row r="14" spans="1:76" x14ac:dyDescent="0.45"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 t="str">
        <v/>
      </c>
      <c r="N14" t="str">
        <v/>
      </c>
      <c r="O14" t="str">
        <v/>
      </c>
      <c r="P14" t="str">
        <v/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L14" t="str">
        <v>A111</v>
      </c>
      <c r="AM14" t="str">
        <v>HUSSAIN MUHAVIZ B A</v>
      </c>
      <c r="AN14" t="str">
        <v>A</v>
      </c>
      <c r="AO14" t="str">
        <v>SUB JUNIOR</v>
      </c>
      <c r="AP14">
        <v>1</v>
      </c>
      <c r="AQ14">
        <v>0</v>
      </c>
      <c r="AR14">
        <v>0</v>
      </c>
      <c r="AS14">
        <v>0</v>
      </c>
      <c r="AT14">
        <v>1</v>
      </c>
      <c r="AU14">
        <v>0</v>
      </c>
      <c r="AW14" t="str">
        <v>SJ12</v>
      </c>
      <c r="AX14" t="str">
        <v>Speech ARB</v>
      </c>
      <c r="AY14" t="str">
        <v>SUB JUNIOR</v>
      </c>
      <c r="AZ14" t="str">
        <v>Single</v>
      </c>
      <c r="BA14" t="str">
        <v>Stage</v>
      </c>
      <c r="BB14">
        <v>1</v>
      </c>
      <c r="BC14" t="str">
        <v>Individual</v>
      </c>
      <c r="BD14" t="str">
        <v>Individual</v>
      </c>
      <c r="BE14">
        <v>0</v>
      </c>
      <c r="BF14" t="str">
        <v>NOT ENTERED</v>
      </c>
    </row>
    <row r="15" spans="1:76" x14ac:dyDescent="0.45"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t="str">
        <v/>
      </c>
      <c r="N15" t="str">
        <v/>
      </c>
      <c r="O15" t="str">
        <v/>
      </c>
      <c r="P15" t="str">
        <v/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L15" t="str">
        <v>A112</v>
      </c>
      <c r="AM15" t="str">
        <v>HILAL ABDULLA C H</v>
      </c>
      <c r="AN15" t="str">
        <v>B</v>
      </c>
      <c r="AO15" t="str">
        <v>SUB JUNIOR</v>
      </c>
      <c r="AP15">
        <v>1</v>
      </c>
      <c r="AQ15">
        <v>0</v>
      </c>
      <c r="AR15">
        <v>0</v>
      </c>
      <c r="AS15">
        <v>0</v>
      </c>
      <c r="AT15">
        <v>1</v>
      </c>
      <c r="AU15">
        <v>0</v>
      </c>
      <c r="AW15" t="str">
        <v>SJ13</v>
      </c>
      <c r="AX15" t="str">
        <v>Speech URD</v>
      </c>
      <c r="AY15" t="str">
        <v>SUB JUNIOR</v>
      </c>
      <c r="AZ15" t="str">
        <v>Single</v>
      </c>
      <c r="BA15" t="str">
        <v>Stage</v>
      </c>
      <c r="BB15">
        <v>1</v>
      </c>
      <c r="BC15" t="str">
        <v>Individual</v>
      </c>
      <c r="BD15" t="str">
        <v>Individual</v>
      </c>
      <c r="BE15">
        <v>0</v>
      </c>
      <c r="BF15" t="str">
        <v>NOT ENTERED</v>
      </c>
    </row>
    <row r="16" spans="1:76" x14ac:dyDescent="0.45"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t="str">
        <v/>
      </c>
      <c r="N16" t="str">
        <v/>
      </c>
      <c r="O16" t="str">
        <v/>
      </c>
      <c r="P16" t="str">
        <v/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L16" t="str">
        <v>A113</v>
      </c>
      <c r="AM16" t="str">
        <v>MOIDEEN KAIS</v>
      </c>
      <c r="AN16" t="str">
        <v>B</v>
      </c>
      <c r="AO16" t="str">
        <v>SUB JUNIOR</v>
      </c>
      <c r="AP16">
        <v>1</v>
      </c>
      <c r="AQ16">
        <v>0</v>
      </c>
      <c r="AR16">
        <v>0</v>
      </c>
      <c r="AS16">
        <v>0</v>
      </c>
      <c r="AT16">
        <v>1</v>
      </c>
      <c r="AU16">
        <v>0</v>
      </c>
      <c r="AW16" t="str">
        <v>SJ14</v>
      </c>
      <c r="AX16" t="str">
        <v>Speech ENG</v>
      </c>
      <c r="AY16" t="str">
        <v>SUB JUNIOR</v>
      </c>
      <c r="AZ16" t="str">
        <v>Single</v>
      </c>
      <c r="BA16" t="str">
        <v>Stage</v>
      </c>
      <c r="BB16">
        <v>1</v>
      </c>
      <c r="BC16" t="str">
        <v>Individual</v>
      </c>
      <c r="BD16" t="str">
        <v>Individual</v>
      </c>
      <c r="BE16">
        <v>0</v>
      </c>
      <c r="BF16" t="str">
        <v>NOT ENTERED</v>
      </c>
    </row>
    <row r="17" spans="5:58" x14ac:dyDescent="0.45"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t="str">
        <v/>
      </c>
      <c r="N17" t="str">
        <v/>
      </c>
      <c r="O17" t="str">
        <v/>
      </c>
      <c r="P17" t="str">
        <v/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L17" t="str">
        <v>A114</v>
      </c>
      <c r="AM17" t="str">
        <v>MUHAMMED SHAHID K A</v>
      </c>
      <c r="AN17" t="str">
        <v>C</v>
      </c>
      <c r="AO17" t="str">
        <v>SUB JUNIOR</v>
      </c>
      <c r="AP17">
        <v>1</v>
      </c>
      <c r="AQ17">
        <v>0</v>
      </c>
      <c r="AR17">
        <v>0</v>
      </c>
      <c r="AS17">
        <v>0</v>
      </c>
      <c r="AT17">
        <v>1</v>
      </c>
      <c r="AU17">
        <v>0</v>
      </c>
      <c r="AW17" t="str">
        <v>SJ15</v>
      </c>
      <c r="AX17" t="str">
        <v>Word Wizard</v>
      </c>
      <c r="AY17" t="str">
        <v>SUB JUNIOR</v>
      </c>
      <c r="AZ17" t="str">
        <v>Single</v>
      </c>
      <c r="BA17" t="str">
        <v>Non-Stg</v>
      </c>
      <c r="BB17">
        <v>5</v>
      </c>
      <c r="BC17" t="str">
        <v>Individual</v>
      </c>
      <c r="BD17" t="str">
        <v>Individual</v>
      </c>
      <c r="BE17">
        <v>0</v>
      </c>
      <c r="BF17" t="str">
        <v>NOT ENTERED</v>
      </c>
    </row>
    <row r="18" spans="5:58" x14ac:dyDescent="0.45"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 t="str">
        <v/>
      </c>
      <c r="N18" t="str">
        <v/>
      </c>
      <c r="O18" t="str">
        <v/>
      </c>
      <c r="P18" t="str">
        <v/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L18" t="str">
        <v>A115</v>
      </c>
      <c r="AM18" t="str">
        <v>K MUHAMMAD JALAL</v>
      </c>
      <c r="AN18" t="str">
        <v>B</v>
      </c>
      <c r="AO18" t="str">
        <v>SUB JUNIOR</v>
      </c>
      <c r="AP18">
        <v>1</v>
      </c>
      <c r="AQ18">
        <v>0</v>
      </c>
      <c r="AR18">
        <v>0</v>
      </c>
      <c r="AS18">
        <v>0</v>
      </c>
      <c r="AT18">
        <v>1</v>
      </c>
      <c r="AU18">
        <v>0</v>
      </c>
      <c r="AW18" t="str">
        <v>SJ16</v>
      </c>
      <c r="AX18" t="str">
        <v>Word War English</v>
      </c>
      <c r="AY18" t="str">
        <v>SUB JUNIOR</v>
      </c>
      <c r="AZ18" t="str">
        <v>Single</v>
      </c>
      <c r="BA18" t="str">
        <v>Non-Stg</v>
      </c>
      <c r="BB18">
        <v>1</v>
      </c>
      <c r="BC18" t="str">
        <v>Individual</v>
      </c>
      <c r="BD18" t="str">
        <v>Individual</v>
      </c>
      <c r="BE18">
        <v>0</v>
      </c>
      <c r="BF18" t="str">
        <v>NOT ENTERED</v>
      </c>
    </row>
    <row r="19" spans="5:58" x14ac:dyDescent="0.45"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 t="str">
        <v/>
      </c>
      <c r="N19" t="str">
        <v/>
      </c>
      <c r="O19" t="str">
        <v/>
      </c>
      <c r="P19" t="str">
        <v/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L19" t="str">
        <v>A116</v>
      </c>
      <c r="AM19" t="str">
        <v>MUHAMMED T K</v>
      </c>
      <c r="AN19">
        <v>0</v>
      </c>
      <c r="AO19" t="str">
        <v>SUB JUNIOR</v>
      </c>
      <c r="AP19">
        <v>1</v>
      </c>
      <c r="AQ19">
        <v>0</v>
      </c>
      <c r="AR19">
        <v>0</v>
      </c>
      <c r="AS19">
        <v>0</v>
      </c>
      <c r="AT19">
        <v>1</v>
      </c>
      <c r="AU19">
        <v>0</v>
      </c>
      <c r="AW19" t="str">
        <v>SJ17</v>
      </c>
      <c r="AX19" t="str">
        <v>Mulafaza arabic</v>
      </c>
      <c r="AY19" t="str">
        <v>SUB JUNIOR</v>
      </c>
      <c r="AZ19" t="str">
        <v>Single</v>
      </c>
      <c r="BA19" t="str">
        <v>Stage</v>
      </c>
      <c r="BB19">
        <v>1</v>
      </c>
      <c r="BC19" t="str">
        <v>Individual</v>
      </c>
      <c r="BD19" t="str">
        <v>Individual</v>
      </c>
      <c r="BE19">
        <v>0</v>
      </c>
      <c r="BF19" t="str">
        <v>NOT ENTERED</v>
      </c>
    </row>
    <row r="20" spans="5:58" x14ac:dyDescent="0.45"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 t="str">
        <v/>
      </c>
      <c r="N20" t="str">
        <v/>
      </c>
      <c r="O20" t="str">
        <v/>
      </c>
      <c r="P20" t="str">
        <v/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L20" t="str">
        <v>A117</v>
      </c>
      <c r="AM20" t="str">
        <v>Muhammed Waheed R K</v>
      </c>
      <c r="AN20" t="str">
        <v>D</v>
      </c>
      <c r="AO20" t="str">
        <v>SUB JUNIOR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W20" t="str">
        <v>SJ18</v>
      </c>
      <c r="AX20" t="str">
        <v>Quiz</v>
      </c>
      <c r="AY20" t="str">
        <v>SUB JUNIOR</v>
      </c>
      <c r="AZ20" t="str">
        <v>Single</v>
      </c>
      <c r="BA20" t="str">
        <v>Non-Stg</v>
      </c>
      <c r="BB20">
        <v>1</v>
      </c>
      <c r="BC20" t="str">
        <v>Individual</v>
      </c>
      <c r="BD20" t="str">
        <v>Individual</v>
      </c>
      <c r="BE20">
        <v>0</v>
      </c>
      <c r="BF20" t="str">
        <v>NOT ENTERED</v>
      </c>
    </row>
    <row r="21" spans="5:58" x14ac:dyDescent="0.45"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 t="str">
        <v/>
      </c>
      <c r="N21" t="str">
        <v/>
      </c>
      <c r="O21" t="str">
        <v/>
      </c>
      <c r="P21" t="str">
        <v/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L21" t="str">
        <v>A118</v>
      </c>
      <c r="AM21" t="str">
        <v>ABOOBACKER SAFWAN C B</v>
      </c>
      <c r="AN21">
        <v>0</v>
      </c>
      <c r="AO21" t="str">
        <v>SUB JUNIOR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W21" t="str">
        <v>SJ19</v>
      </c>
      <c r="AX21" t="str">
        <v>Geo giant</v>
      </c>
      <c r="AY21" t="str">
        <v>SUB JUNIOR</v>
      </c>
      <c r="AZ21" t="str">
        <v>Single</v>
      </c>
      <c r="BA21" t="str">
        <v>Stage</v>
      </c>
      <c r="BB21">
        <v>1</v>
      </c>
      <c r="BC21" t="str">
        <v>Individual</v>
      </c>
      <c r="BD21" t="str">
        <v>Individual</v>
      </c>
      <c r="BE21">
        <v>0</v>
      </c>
      <c r="BF21" t="str">
        <v>NOT ENTERED</v>
      </c>
    </row>
    <row r="22" spans="5:58" x14ac:dyDescent="0.45"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 t="str">
        <v/>
      </c>
      <c r="N22" t="str">
        <v/>
      </c>
      <c r="O22" t="str">
        <v/>
      </c>
      <c r="P22" t="str">
        <v/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L22" t="str">
        <v>A119</v>
      </c>
      <c r="AM22" t="str">
        <v>MUHAMMED HASHIR A K</v>
      </c>
      <c r="AN22" t="str">
        <v>D</v>
      </c>
      <c r="AO22" t="str">
        <v>SUB JUNIOR</v>
      </c>
      <c r="AP22">
        <v>1</v>
      </c>
      <c r="AQ22">
        <v>0</v>
      </c>
      <c r="AR22">
        <v>0</v>
      </c>
      <c r="AS22">
        <v>0</v>
      </c>
      <c r="AT22">
        <v>1</v>
      </c>
      <c r="AU22">
        <v>0</v>
      </c>
      <c r="AW22" t="str">
        <v>SJ20</v>
      </c>
      <c r="AX22" t="str">
        <v>Math Talent</v>
      </c>
      <c r="AY22" t="str">
        <v>SUB JUNIOR</v>
      </c>
      <c r="AZ22" t="str">
        <v>Single</v>
      </c>
      <c r="BA22" t="str">
        <v>Non-Stg</v>
      </c>
      <c r="BB22">
        <v>5</v>
      </c>
      <c r="BC22" t="str">
        <v>Individual</v>
      </c>
      <c r="BD22" t="str">
        <v>Individual</v>
      </c>
      <c r="BE22">
        <v>0</v>
      </c>
      <c r="BF22" t="str">
        <v>NOT ENTERED</v>
      </c>
    </row>
    <row r="23" spans="5:58" x14ac:dyDescent="0.45"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 t="str">
        <v/>
      </c>
      <c r="N23" t="str">
        <v/>
      </c>
      <c r="O23" t="str">
        <v/>
      </c>
      <c r="P23" t="str">
        <v/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L23" t="str">
        <v>A120</v>
      </c>
      <c r="AM23" t="str">
        <v>MOHAMMED NAFIH</v>
      </c>
      <c r="AN23" t="str">
        <v>B</v>
      </c>
      <c r="AO23" t="str">
        <v>SUB JUNIOR</v>
      </c>
      <c r="AP23">
        <v>1</v>
      </c>
      <c r="AQ23">
        <v>0</v>
      </c>
      <c r="AR23">
        <v>0</v>
      </c>
      <c r="AS23">
        <v>0</v>
      </c>
      <c r="AT23">
        <v>1</v>
      </c>
      <c r="AU23">
        <v>0</v>
      </c>
      <c r="AW23" t="str">
        <v>SJ21</v>
      </c>
      <c r="AX23" t="str">
        <v>Reading English</v>
      </c>
      <c r="AY23" t="str">
        <v>SUB JUNIOR</v>
      </c>
      <c r="AZ23" t="str">
        <v>Single</v>
      </c>
      <c r="BA23" t="str">
        <v>Stage</v>
      </c>
      <c r="BB23">
        <v>3</v>
      </c>
      <c r="BC23" t="str">
        <v>Individual</v>
      </c>
      <c r="BD23" t="str">
        <v>Individual</v>
      </c>
      <c r="BE23">
        <v>0</v>
      </c>
      <c r="BF23" t="str">
        <v>NOT ENTERED</v>
      </c>
    </row>
    <row r="24" spans="5:58" x14ac:dyDescent="0.45"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t="str">
        <v/>
      </c>
      <c r="N24" t="str">
        <v/>
      </c>
      <c r="O24" t="str">
        <v/>
      </c>
      <c r="P24" t="str">
        <v/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L24" t="str">
        <v>A121</v>
      </c>
      <c r="AM24" t="str">
        <v>BEERAN MUEENUDHEEN MH</v>
      </c>
      <c r="AN24" t="str">
        <v>D</v>
      </c>
      <c r="AO24" t="str">
        <v>SUB JUNIOR</v>
      </c>
      <c r="AP24">
        <v>1</v>
      </c>
      <c r="AQ24">
        <v>0</v>
      </c>
      <c r="AR24">
        <v>0</v>
      </c>
      <c r="AS24">
        <v>0</v>
      </c>
      <c r="AT24">
        <v>1</v>
      </c>
      <c r="AU24">
        <v>0</v>
      </c>
      <c r="AW24" t="str">
        <v>SJ22</v>
      </c>
      <c r="AX24" t="str">
        <v>Reading Hindi</v>
      </c>
      <c r="AY24" t="str">
        <v>SUB JUNIOR</v>
      </c>
      <c r="AZ24" t="str">
        <v>Single</v>
      </c>
      <c r="BA24" t="str">
        <v>Non-Stg</v>
      </c>
      <c r="BB24">
        <v>4</v>
      </c>
      <c r="BC24" t="str">
        <v>Individual</v>
      </c>
      <c r="BD24" t="str">
        <v>Individual</v>
      </c>
      <c r="BE24">
        <v>0</v>
      </c>
      <c r="BF24" t="str">
        <v>NOT ENTERED</v>
      </c>
    </row>
    <row r="25" spans="5:58" x14ac:dyDescent="0.45"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t="str">
        <v/>
      </c>
      <c r="N25" t="str">
        <v/>
      </c>
      <c r="O25" t="str">
        <v/>
      </c>
      <c r="P25" t="str">
        <v/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 t="str">
        <v>A122</v>
      </c>
      <c r="AM25" t="str">
        <v>MOHAMMAD K A</v>
      </c>
      <c r="AN25" t="str">
        <v>A</v>
      </c>
      <c r="AO25" t="str">
        <v>SUB JUNIOR</v>
      </c>
      <c r="AP25">
        <v>1</v>
      </c>
      <c r="AQ25">
        <v>0</v>
      </c>
      <c r="AR25">
        <v>0</v>
      </c>
      <c r="AS25">
        <v>0</v>
      </c>
      <c r="AT25">
        <v>1</v>
      </c>
      <c r="AU25">
        <v>0</v>
      </c>
      <c r="AW25" t="str">
        <v>SJ23</v>
      </c>
      <c r="AX25" t="str">
        <v>Reading Arabic</v>
      </c>
      <c r="AY25" t="str">
        <v>SUB JUNIOR</v>
      </c>
      <c r="AZ25" t="str">
        <v>Single</v>
      </c>
      <c r="BA25" t="str">
        <v>Stage</v>
      </c>
      <c r="BB25">
        <v>4</v>
      </c>
      <c r="BC25" t="str">
        <v>Individual</v>
      </c>
      <c r="BD25" t="str">
        <v>Individual</v>
      </c>
      <c r="BE25">
        <v>0</v>
      </c>
      <c r="BF25" t="str">
        <v>NOT ENTERED</v>
      </c>
    </row>
    <row r="26" spans="5:58" x14ac:dyDescent="0.45"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t="str">
        <v/>
      </c>
      <c r="N26" t="str">
        <v/>
      </c>
      <c r="O26" t="str">
        <v/>
      </c>
      <c r="P26" t="str">
        <v/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L26" t="str">
        <v>A123</v>
      </c>
      <c r="AM26" t="str">
        <v>IBRAHIM KALEEL</v>
      </c>
      <c r="AN26" t="str">
        <v>D</v>
      </c>
      <c r="AO26" t="str">
        <v>SUB JUNIOR</v>
      </c>
      <c r="AP26">
        <v>1</v>
      </c>
      <c r="AQ26">
        <v>0</v>
      </c>
      <c r="AR26">
        <v>0</v>
      </c>
      <c r="AS26">
        <v>0</v>
      </c>
      <c r="AT26">
        <v>1</v>
      </c>
      <c r="AU26">
        <v>0</v>
      </c>
      <c r="AW26" t="str">
        <v>SJ24</v>
      </c>
      <c r="AX26" t="str">
        <v>Group Song</v>
      </c>
      <c r="AY26" t="str">
        <v>SUB JUNIOR</v>
      </c>
      <c r="AZ26" t="str">
        <v>Group</v>
      </c>
      <c r="BA26" t="str">
        <v>Non-Stg</v>
      </c>
      <c r="BB26">
        <v>4</v>
      </c>
      <c r="BC26" t="str">
        <v>GROUP 3</v>
      </c>
      <c r="BD26" t="str">
        <v>GROUP 3</v>
      </c>
      <c r="BE26">
        <v>0</v>
      </c>
      <c r="BF26" t="str">
        <v>NOT ENTERED</v>
      </c>
    </row>
    <row r="27" spans="5:58" x14ac:dyDescent="0.45"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t="str">
        <v/>
      </c>
      <c r="N27" t="str">
        <v/>
      </c>
      <c r="O27" t="str">
        <v/>
      </c>
      <c r="P27" t="str">
        <v/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L27" t="str">
        <v>A124</v>
      </c>
      <c r="AM27" t="str">
        <v>MOHAMMED JASEEM</v>
      </c>
      <c r="AN27" t="str">
        <v>C</v>
      </c>
      <c r="AO27" t="str">
        <v>SUB JUNIOR</v>
      </c>
      <c r="AP27">
        <v>1</v>
      </c>
      <c r="AQ27">
        <v>0</v>
      </c>
      <c r="AR27">
        <v>0</v>
      </c>
      <c r="AS27">
        <v>0</v>
      </c>
      <c r="AT27">
        <v>1</v>
      </c>
      <c r="AU27">
        <v>0</v>
      </c>
      <c r="AW27" t="str">
        <v>SJ25</v>
      </c>
      <c r="AX27" t="str">
        <v>Speech &amp; Song Malayalam</v>
      </c>
      <c r="AY27" t="str">
        <v>SUB JUNIOR</v>
      </c>
      <c r="AZ27" t="str">
        <v>Group</v>
      </c>
      <c r="BA27" t="str">
        <v>Stage</v>
      </c>
      <c r="BB27">
        <v>4</v>
      </c>
      <c r="BC27" t="str">
        <v>GROUP</v>
      </c>
      <c r="BD27" t="str">
        <v>GROUP</v>
      </c>
      <c r="BE27">
        <v>0</v>
      </c>
      <c r="BF27" t="str">
        <v>ENTERED</v>
      </c>
    </row>
    <row r="28" spans="5:58" x14ac:dyDescent="0.45"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t="str">
        <v/>
      </c>
      <c r="N28" t="str">
        <v/>
      </c>
      <c r="O28" t="str">
        <v/>
      </c>
      <c r="P28" t="str">
        <v/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L28" t="str">
        <v>A125</v>
      </c>
      <c r="AM28" t="str">
        <v>MUHAMMED RAZI A T</v>
      </c>
      <c r="AN28" t="str">
        <v>B</v>
      </c>
      <c r="AO28" t="str">
        <v>SUB JUNIOR</v>
      </c>
      <c r="AP28">
        <v>1</v>
      </c>
      <c r="AQ28">
        <v>0</v>
      </c>
      <c r="AR28">
        <v>0</v>
      </c>
      <c r="AS28">
        <v>0</v>
      </c>
      <c r="AT28">
        <v>1</v>
      </c>
      <c r="AU28">
        <v>0</v>
      </c>
      <c r="AW28" t="str">
        <v>SJ26</v>
      </c>
      <c r="AX28" t="str">
        <v>Conversation English</v>
      </c>
      <c r="AY28" t="str">
        <v>SUB JUNIOR</v>
      </c>
      <c r="AZ28" t="str">
        <v>Group</v>
      </c>
      <c r="BA28" t="str">
        <v>Non-Stg</v>
      </c>
      <c r="BB28">
        <v>4</v>
      </c>
      <c r="BC28" t="str">
        <v>GROUP 2</v>
      </c>
      <c r="BD28" t="str">
        <v>GROUP 2</v>
      </c>
      <c r="BE28">
        <v>0</v>
      </c>
      <c r="BF28" t="str">
        <v>NOT ENTERED</v>
      </c>
    </row>
    <row r="29" spans="5:58" x14ac:dyDescent="0.45"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t="str">
        <v/>
      </c>
      <c r="N29" t="str">
        <v/>
      </c>
      <c r="O29" t="str">
        <v/>
      </c>
      <c r="P29" t="str">
        <v/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L29" t="str">
        <v>A126</v>
      </c>
      <c r="AM29" t="str">
        <v>MUHAMMED ZAID</v>
      </c>
      <c r="AN29" t="str">
        <v>D</v>
      </c>
      <c r="AO29" t="str">
        <v>SUB JUNIOR</v>
      </c>
      <c r="AP29">
        <v>1</v>
      </c>
      <c r="AQ29">
        <v>0</v>
      </c>
      <c r="AR29">
        <v>0</v>
      </c>
      <c r="AS29">
        <v>0</v>
      </c>
      <c r="AT29">
        <v>1</v>
      </c>
      <c r="AU29">
        <v>0</v>
      </c>
      <c r="AW29" t="str">
        <v>SJ27</v>
      </c>
      <c r="AX29" t="str">
        <v>Conversation Malayalam</v>
      </c>
      <c r="AY29" t="str">
        <v>SUB JUNIOR</v>
      </c>
      <c r="AZ29" t="str">
        <v>Group</v>
      </c>
      <c r="BA29" t="str">
        <v>Stage</v>
      </c>
      <c r="BB29">
        <v>4</v>
      </c>
      <c r="BC29" t="str">
        <v>GROUP 2</v>
      </c>
      <c r="BD29" t="str">
        <v>GROUP 2</v>
      </c>
      <c r="BE29">
        <v>0</v>
      </c>
      <c r="BF29" t="str">
        <v>NOT ENTERED</v>
      </c>
    </row>
    <row r="30" spans="5:58" x14ac:dyDescent="0.45"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t="str">
        <v/>
      </c>
      <c r="N30" t="str">
        <v/>
      </c>
      <c r="O30" t="str">
        <v/>
      </c>
      <c r="P30" t="str">
        <v/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L30" t="str">
        <v>A127</v>
      </c>
      <c r="AM30" t="str">
        <v>MUHAMMED HAFEEZ P</v>
      </c>
      <c r="AN30" t="str">
        <v>C</v>
      </c>
      <c r="AO30" t="str">
        <v>SUB JUNIOR</v>
      </c>
      <c r="AP30">
        <v>1</v>
      </c>
      <c r="AQ30">
        <v>0</v>
      </c>
      <c r="AR30">
        <v>0</v>
      </c>
      <c r="AS30">
        <v>0</v>
      </c>
      <c r="AT30">
        <v>1</v>
      </c>
      <c r="AU30">
        <v>0</v>
      </c>
      <c r="AW30" t="str">
        <v>SJ28</v>
      </c>
      <c r="AX30" t="str">
        <v>Hand Writing Arabic</v>
      </c>
      <c r="AY30" t="str">
        <v>SUB JUNIOR</v>
      </c>
      <c r="AZ30" t="str">
        <v>Single</v>
      </c>
      <c r="BA30" t="str">
        <v>Non-Stg</v>
      </c>
      <c r="BB30">
        <v>4</v>
      </c>
      <c r="BC30" t="str">
        <v>Individual</v>
      </c>
      <c r="BD30" t="str">
        <v>Individual</v>
      </c>
      <c r="BE30">
        <v>0</v>
      </c>
      <c r="BF30" t="str">
        <v>NOT ENTERED</v>
      </c>
    </row>
    <row r="31" spans="5:58" x14ac:dyDescent="0.45"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t="str">
        <v/>
      </c>
      <c r="N31" t="str">
        <v/>
      </c>
      <c r="O31" t="str">
        <v/>
      </c>
      <c r="P31" t="str">
        <v/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L31" t="str">
        <v>A128</v>
      </c>
      <c r="AM31" t="str">
        <v>MOHAMMED HAFEEZ B</v>
      </c>
      <c r="AN31" t="str">
        <v>B</v>
      </c>
      <c r="AO31" t="str">
        <v>SUB JUNIOR</v>
      </c>
      <c r="AP31">
        <v>1</v>
      </c>
      <c r="AQ31">
        <v>0</v>
      </c>
      <c r="AR31">
        <v>0</v>
      </c>
      <c r="AS31">
        <v>0</v>
      </c>
      <c r="AT31">
        <v>1</v>
      </c>
      <c r="AU31">
        <v>0</v>
      </c>
      <c r="AW31" t="str">
        <v>SJ29</v>
      </c>
      <c r="AX31" t="str">
        <v>Hand Writing Urdu</v>
      </c>
      <c r="AY31" t="str">
        <v>SUB JUNIOR</v>
      </c>
      <c r="AZ31" t="str">
        <v>Single</v>
      </c>
      <c r="BA31" t="str">
        <v>Stage</v>
      </c>
      <c r="BB31">
        <v>4</v>
      </c>
      <c r="BC31" t="str">
        <v>Individual</v>
      </c>
      <c r="BD31" t="str">
        <v>Individual</v>
      </c>
      <c r="BE31">
        <v>0</v>
      </c>
      <c r="BF31" t="str">
        <v>NOT ENTERED</v>
      </c>
    </row>
    <row r="32" spans="5:58" x14ac:dyDescent="0.45"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t="str">
        <v/>
      </c>
      <c r="N32" t="str">
        <v/>
      </c>
      <c r="O32" t="str">
        <v/>
      </c>
      <c r="P32" t="str">
        <v/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L32" t="str">
        <v>A129</v>
      </c>
      <c r="AM32" t="str">
        <v>MUHAMMED BIN JAFAR</v>
      </c>
      <c r="AN32" t="str">
        <v>A</v>
      </c>
      <c r="AO32" t="str">
        <v>SUB JUNIOR</v>
      </c>
      <c r="AP32">
        <v>1</v>
      </c>
      <c r="AQ32">
        <v>0</v>
      </c>
      <c r="AR32">
        <v>0</v>
      </c>
      <c r="AS32">
        <v>0</v>
      </c>
      <c r="AT32">
        <v>1</v>
      </c>
      <c r="AU32">
        <v>0</v>
      </c>
      <c r="AW32" t="str">
        <v>SJ30</v>
      </c>
      <c r="AX32" t="str">
        <v>Hand Writing English</v>
      </c>
      <c r="AY32" t="str">
        <v>SUB JUNIOR</v>
      </c>
      <c r="AZ32" t="str">
        <v>Single</v>
      </c>
      <c r="BA32" t="str">
        <v>Non-Stg</v>
      </c>
      <c r="BB32">
        <v>4</v>
      </c>
      <c r="BC32" t="str">
        <v>Individual</v>
      </c>
      <c r="BD32" t="str">
        <v>Individual</v>
      </c>
      <c r="BE32">
        <v>0</v>
      </c>
      <c r="BF32" t="str">
        <v>NOT ENTERED</v>
      </c>
    </row>
    <row r="33" spans="5:58" x14ac:dyDescent="0.45"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 t="str">
        <v/>
      </c>
      <c r="N33" t="str">
        <v/>
      </c>
      <c r="O33" t="str">
        <v/>
      </c>
      <c r="P33" t="str">
        <v/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L33" t="str">
        <v>A130</v>
      </c>
      <c r="AM33" t="str">
        <v>MOHAMMAD AJWAD</v>
      </c>
      <c r="AN33" t="str">
        <v>D</v>
      </c>
      <c r="AO33" t="str">
        <v>SUB JUNIOR</v>
      </c>
      <c r="AP33">
        <v>1</v>
      </c>
      <c r="AQ33">
        <v>0</v>
      </c>
      <c r="AR33">
        <v>0</v>
      </c>
      <c r="AS33">
        <v>0</v>
      </c>
      <c r="AT33">
        <v>1</v>
      </c>
      <c r="AU33">
        <v>0</v>
      </c>
      <c r="AW33" t="str">
        <v>SJ31</v>
      </c>
      <c r="AX33" t="str">
        <v>Hand Writing Malayalam</v>
      </c>
      <c r="AY33" t="str">
        <v>SUB JUNIOR</v>
      </c>
      <c r="AZ33" t="str">
        <v>Single</v>
      </c>
      <c r="BA33" t="str">
        <v>Stage</v>
      </c>
      <c r="BB33">
        <v>4</v>
      </c>
      <c r="BC33" t="str">
        <v>Individual</v>
      </c>
      <c r="BD33" t="str">
        <v>Individual</v>
      </c>
      <c r="BE33">
        <v>0</v>
      </c>
      <c r="BF33" t="str">
        <v>NOT ENTERED</v>
      </c>
    </row>
    <row r="34" spans="5:58" x14ac:dyDescent="0.45"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tr">
        <v/>
      </c>
      <c r="N34" t="str">
        <v/>
      </c>
      <c r="O34" t="str">
        <v/>
      </c>
      <c r="P34" t="str">
        <v/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L34" t="str">
        <v>A131</v>
      </c>
      <c r="AM34" t="str">
        <v>FAZIL ABDULLA</v>
      </c>
      <c r="AN34" t="str">
        <v>B</v>
      </c>
      <c r="AO34" t="str">
        <v>SUB JUNIOR</v>
      </c>
      <c r="AP34">
        <v>1</v>
      </c>
      <c r="AQ34">
        <v>0</v>
      </c>
      <c r="AR34">
        <v>0</v>
      </c>
      <c r="AS34">
        <v>0</v>
      </c>
      <c r="AT34">
        <v>1</v>
      </c>
      <c r="AU34">
        <v>0</v>
      </c>
      <c r="AW34" t="str">
        <v>SJ32</v>
      </c>
      <c r="AX34" t="str">
        <v>Hand Writing Hindi</v>
      </c>
      <c r="AY34" t="str">
        <v>SUB JUNIOR</v>
      </c>
      <c r="AZ34" t="str">
        <v>Single</v>
      </c>
      <c r="BA34" t="str">
        <v>Non-Stg</v>
      </c>
      <c r="BB34">
        <v>4</v>
      </c>
      <c r="BC34" t="str">
        <v>Individual</v>
      </c>
      <c r="BD34" t="str">
        <v>Individual</v>
      </c>
      <c r="BE34">
        <v>0</v>
      </c>
      <c r="BF34" t="str">
        <v>NOT ENTERED</v>
      </c>
    </row>
    <row r="35" spans="5:58" x14ac:dyDescent="0.45"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t="str">
        <v/>
      </c>
      <c r="N35" t="str">
        <v/>
      </c>
      <c r="O35" t="str">
        <v/>
      </c>
      <c r="P35" t="str">
        <v/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L35" t="str">
        <v>A132</v>
      </c>
      <c r="AM35" t="str">
        <v>MUHAMMED SHIRAZ ISHAQUE</v>
      </c>
      <c r="AN35" t="str">
        <v>A</v>
      </c>
      <c r="AO35" t="str">
        <v>SUB JUNIOR</v>
      </c>
      <c r="AP35">
        <v>1</v>
      </c>
      <c r="AQ35">
        <v>0</v>
      </c>
      <c r="AR35">
        <v>0</v>
      </c>
      <c r="AS35">
        <v>0</v>
      </c>
      <c r="AT35">
        <v>1</v>
      </c>
      <c r="AU35">
        <v>0</v>
      </c>
      <c r="AW35" t="str">
        <v>SJ33</v>
      </c>
      <c r="AX35" t="str">
        <v>Essay Writing Malyalam</v>
      </c>
      <c r="AY35" t="str">
        <v>SUB JUNIOR</v>
      </c>
      <c r="AZ35" t="str">
        <v>Single</v>
      </c>
      <c r="BA35" t="str">
        <v>Stage</v>
      </c>
      <c r="BB35">
        <v>4</v>
      </c>
      <c r="BC35" t="str">
        <v>Individual</v>
      </c>
      <c r="BD35" t="str">
        <v>Individual</v>
      </c>
      <c r="BE35">
        <v>0</v>
      </c>
      <c r="BF35" t="str">
        <v>NOT ENTERED</v>
      </c>
    </row>
    <row r="36" spans="5:58" x14ac:dyDescent="0.45"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 t="str">
        <v/>
      </c>
      <c r="N36" t="str">
        <v/>
      </c>
      <c r="O36" t="str">
        <v/>
      </c>
      <c r="P36" t="str">
        <v/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L36" t="str">
        <v>A133</v>
      </c>
      <c r="AM36" t="str">
        <v>JAUHAR ASHFAQUE MUHSIN</v>
      </c>
      <c r="AN36" t="str">
        <v>D</v>
      </c>
      <c r="AO36" t="str">
        <v>SUB JUNIOR</v>
      </c>
      <c r="AP36">
        <v>1</v>
      </c>
      <c r="AQ36">
        <v>0</v>
      </c>
      <c r="AR36">
        <v>0</v>
      </c>
      <c r="AS36">
        <v>0</v>
      </c>
      <c r="AT36">
        <v>1</v>
      </c>
      <c r="AU36">
        <v>0</v>
      </c>
      <c r="AW36" t="str">
        <v>SJ34</v>
      </c>
      <c r="AX36" t="str">
        <v>Poem Writing Malyalam</v>
      </c>
      <c r="AY36" t="str">
        <v>SUB JUNIOR</v>
      </c>
      <c r="AZ36" t="str">
        <v>Single</v>
      </c>
      <c r="BA36" t="str">
        <v>Non-Stg</v>
      </c>
      <c r="BB36">
        <v>4</v>
      </c>
      <c r="BC36" t="str">
        <v>Individual</v>
      </c>
      <c r="BD36" t="str">
        <v>Individual</v>
      </c>
      <c r="BE36">
        <v>0</v>
      </c>
      <c r="BF36" t="str">
        <v>NOT ENTERED</v>
      </c>
    </row>
    <row r="37" spans="5:58" x14ac:dyDescent="0.45"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t="str">
        <v/>
      </c>
      <c r="N37" t="str">
        <v/>
      </c>
      <c r="O37" t="str">
        <v/>
      </c>
      <c r="P37" t="str">
        <v/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L37" t="str">
        <v>A134</v>
      </c>
      <c r="AM37" t="str">
        <v>YASEEN MUHAMMED</v>
      </c>
      <c r="AN37" t="str">
        <v>B</v>
      </c>
      <c r="AO37" t="str">
        <v>SUB JUNIOR</v>
      </c>
      <c r="AP37">
        <v>1</v>
      </c>
      <c r="AQ37">
        <v>0</v>
      </c>
      <c r="AR37">
        <v>0</v>
      </c>
      <c r="AS37">
        <v>0</v>
      </c>
      <c r="AT37">
        <v>1</v>
      </c>
      <c r="AU37">
        <v>0</v>
      </c>
      <c r="AW37" t="str">
        <v>SJ35</v>
      </c>
      <c r="AX37" t="str">
        <v>Story Completion MLM</v>
      </c>
      <c r="AY37" t="str">
        <v>SUB JUNIOR</v>
      </c>
      <c r="AZ37" t="str">
        <v>Single</v>
      </c>
      <c r="BA37" t="str">
        <v>Stage</v>
      </c>
      <c r="BB37">
        <v>4</v>
      </c>
      <c r="BC37" t="str">
        <v>Individual</v>
      </c>
      <c r="BD37" t="str">
        <v>Individual</v>
      </c>
      <c r="BE37">
        <v>0</v>
      </c>
      <c r="BF37" t="str">
        <v>NOT ENTERED</v>
      </c>
    </row>
    <row r="38" spans="5:58" x14ac:dyDescent="0.45"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 t="str">
        <v/>
      </c>
      <c r="N38" t="str">
        <v/>
      </c>
      <c r="O38" t="str">
        <v/>
      </c>
      <c r="P38" t="str">
        <v/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L38" t="str">
        <v>A135</v>
      </c>
      <c r="AM38" t="str">
        <v>MOHAMMED RAFAN A</v>
      </c>
      <c r="AN38" t="str">
        <v>C</v>
      </c>
      <c r="AO38" t="str">
        <v>SUB JUNIOR</v>
      </c>
      <c r="AP38">
        <v>1</v>
      </c>
      <c r="AQ38">
        <v>0</v>
      </c>
      <c r="AR38">
        <v>0</v>
      </c>
      <c r="AS38">
        <v>0</v>
      </c>
      <c r="AT38">
        <v>1</v>
      </c>
      <c r="AU38">
        <v>0</v>
      </c>
      <c r="AW38" t="str">
        <v>SJ36</v>
      </c>
      <c r="AX38" t="str">
        <v>Memory Test</v>
      </c>
      <c r="AY38" t="str">
        <v>SUB JUNIOR</v>
      </c>
      <c r="AZ38" t="str">
        <v>Single</v>
      </c>
      <c r="BA38" t="str">
        <v>Non-Stg</v>
      </c>
      <c r="BB38">
        <v>4</v>
      </c>
      <c r="BC38" t="str">
        <v>Individual</v>
      </c>
      <c r="BD38" t="str">
        <v>Individual</v>
      </c>
      <c r="BE38">
        <v>0</v>
      </c>
      <c r="BF38" t="str">
        <v>NOT ENTERED</v>
      </c>
    </row>
    <row r="39" spans="5:58" x14ac:dyDescent="0.45"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 t="str">
        <v/>
      </c>
      <c r="N39" t="str">
        <v/>
      </c>
      <c r="O39" t="str">
        <v/>
      </c>
      <c r="P39" t="str">
        <v/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L39" t="str">
        <v>A136</v>
      </c>
      <c r="AM39" t="str">
        <v>MUHAMMED UVAIS.P. S</v>
      </c>
      <c r="AN39" t="str">
        <v>C</v>
      </c>
      <c r="AO39" t="str">
        <v>SUB JUNIOR</v>
      </c>
      <c r="AP39">
        <v>1</v>
      </c>
      <c r="AQ39">
        <v>0</v>
      </c>
      <c r="AR39">
        <v>0</v>
      </c>
      <c r="AS39">
        <v>0</v>
      </c>
      <c r="AT39">
        <v>1</v>
      </c>
      <c r="AU39">
        <v>0</v>
      </c>
      <c r="AW39" t="str">
        <v>SJ37</v>
      </c>
      <c r="AX39" t="str">
        <v>Vocabulary</v>
      </c>
      <c r="AY39" t="str">
        <v>SUB JUNIOR</v>
      </c>
      <c r="AZ39" t="str">
        <v>Single</v>
      </c>
      <c r="BA39" t="str">
        <v>Stage</v>
      </c>
      <c r="BB39">
        <v>4</v>
      </c>
      <c r="BC39" t="str">
        <v>Individual</v>
      </c>
      <c r="BD39" t="str">
        <v>Individual</v>
      </c>
      <c r="BE39">
        <v>0</v>
      </c>
      <c r="BF39" t="str">
        <v>NOT ENTERED</v>
      </c>
    </row>
    <row r="40" spans="5:58" x14ac:dyDescent="0.45"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t="str">
        <v/>
      </c>
      <c r="N40" t="str">
        <v/>
      </c>
      <c r="O40" t="str">
        <v/>
      </c>
      <c r="P40" t="str">
        <v/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L40" t="str">
        <v>A137</v>
      </c>
      <c r="AM40" t="str">
        <v>MOHAMMED SHUAIB K M</v>
      </c>
      <c r="AN40" t="str">
        <v>B</v>
      </c>
      <c r="AO40" t="str">
        <v>SUB JUNIOR</v>
      </c>
      <c r="AP40">
        <v>1</v>
      </c>
      <c r="AQ40">
        <v>0</v>
      </c>
      <c r="AR40">
        <v>0</v>
      </c>
      <c r="AS40">
        <v>0</v>
      </c>
      <c r="AT40">
        <v>1</v>
      </c>
      <c r="AU40">
        <v>0</v>
      </c>
      <c r="AW40" t="str">
        <v>SJ38</v>
      </c>
      <c r="AX40" t="str">
        <v>Pencil Drawing</v>
      </c>
      <c r="AY40" t="str">
        <v>SUB JUNIOR</v>
      </c>
      <c r="AZ40" t="str">
        <v>Single</v>
      </c>
      <c r="BA40" t="str">
        <v>Non-Stg</v>
      </c>
      <c r="BB40">
        <v>4</v>
      </c>
      <c r="BC40" t="str">
        <v>Individual</v>
      </c>
      <c r="BD40" t="str">
        <v>Individual</v>
      </c>
      <c r="BE40">
        <v>0</v>
      </c>
      <c r="BF40" t="str">
        <v>NOT ENTERED</v>
      </c>
    </row>
    <row r="41" spans="5:58" x14ac:dyDescent="0.45"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t="str">
        <v/>
      </c>
      <c r="N41" t="str">
        <v/>
      </c>
      <c r="O41" t="str">
        <v/>
      </c>
      <c r="P41" t="str">
        <v/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L41" t="str">
        <v>A138</v>
      </c>
      <c r="AM41" t="str">
        <v>ziyad. K. M. C</v>
      </c>
      <c r="AN41">
        <v>0</v>
      </c>
      <c r="AO41" t="str">
        <v>SUB JUNIOR</v>
      </c>
      <c r="AP41">
        <v>1</v>
      </c>
      <c r="AQ41">
        <v>0</v>
      </c>
      <c r="AR41">
        <v>0</v>
      </c>
      <c r="AS41">
        <v>0</v>
      </c>
      <c r="AT41">
        <v>1</v>
      </c>
      <c r="AU41">
        <v>0</v>
      </c>
      <c r="AW41" t="str">
        <v>SJ39</v>
      </c>
      <c r="AX41" t="str">
        <v>Dictionary Making Arabic</v>
      </c>
      <c r="AY41" t="str">
        <v>SUB JUNIOR</v>
      </c>
      <c r="AZ41" t="str">
        <v>Single</v>
      </c>
      <c r="BA41" t="str">
        <v>Stage</v>
      </c>
      <c r="BB41">
        <v>4</v>
      </c>
      <c r="BC41" t="str">
        <v>Individual</v>
      </c>
      <c r="BD41" t="str">
        <v>Individual</v>
      </c>
      <c r="BE41">
        <v>0</v>
      </c>
      <c r="BF41" t="str">
        <v>NOT ENTERED</v>
      </c>
    </row>
    <row r="42" spans="5:58" x14ac:dyDescent="0.45"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t="str">
        <v/>
      </c>
      <c r="N42" t="str">
        <v/>
      </c>
      <c r="O42" t="str">
        <v/>
      </c>
      <c r="P42" t="str">
        <v/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L42" t="str">
        <v>A139</v>
      </c>
      <c r="AM42" t="str">
        <v>MUHAMMED MOIDEEN KUNHI</v>
      </c>
      <c r="AN42" t="str">
        <v>A</v>
      </c>
      <c r="AO42" t="str">
        <v>SUB JUNIOR</v>
      </c>
      <c r="AP42">
        <v>1</v>
      </c>
      <c r="AQ42">
        <v>0</v>
      </c>
      <c r="AR42">
        <v>0</v>
      </c>
      <c r="AS42">
        <v>0</v>
      </c>
      <c r="AT42">
        <v>1</v>
      </c>
      <c r="AU42">
        <v>0</v>
      </c>
      <c r="AW42" t="str">
        <v>SJ40</v>
      </c>
      <c r="AX42" t="str">
        <v>MS Paint</v>
      </c>
      <c r="AY42" t="str">
        <v>SUB JUNIOR</v>
      </c>
      <c r="AZ42" t="str">
        <v>Single</v>
      </c>
      <c r="BA42" t="str">
        <v>Non-Stg</v>
      </c>
      <c r="BB42">
        <v>4</v>
      </c>
      <c r="BC42" t="str">
        <v>Individual</v>
      </c>
      <c r="BD42" t="str">
        <v>Individual</v>
      </c>
      <c r="BE42">
        <v>0</v>
      </c>
      <c r="BF42" t="str">
        <v>NOT ENTERED</v>
      </c>
    </row>
    <row r="43" spans="5:58" x14ac:dyDescent="0.45"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t="str">
        <v/>
      </c>
      <c r="N43" t="str">
        <v/>
      </c>
      <c r="O43" t="str">
        <v/>
      </c>
      <c r="P43" t="str">
        <v/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L43" t="str">
        <v>A140</v>
      </c>
      <c r="AM43" t="str">
        <v>MUHAMMED AFLAH.MK</v>
      </c>
      <c r="AN43" t="str">
        <v>A</v>
      </c>
      <c r="AO43" t="str">
        <v>SUB JUNIOR</v>
      </c>
      <c r="AP43">
        <v>2</v>
      </c>
      <c r="AQ43">
        <v>0</v>
      </c>
      <c r="AR43">
        <v>0</v>
      </c>
      <c r="AS43">
        <v>0</v>
      </c>
      <c r="AT43">
        <v>1</v>
      </c>
      <c r="AU43">
        <v>0</v>
      </c>
      <c r="AW43" t="str">
        <v>SJ41</v>
      </c>
      <c r="AX43" t="str">
        <v>Calligraphy</v>
      </c>
      <c r="AY43" t="str">
        <v>SUB JUNIOR</v>
      </c>
      <c r="AZ43" t="str">
        <v>Single</v>
      </c>
      <c r="BA43" t="str">
        <v>Stage</v>
      </c>
      <c r="BB43">
        <v>4</v>
      </c>
      <c r="BC43" t="str">
        <v>Individual</v>
      </c>
      <c r="BD43" t="str">
        <v>Individual</v>
      </c>
      <c r="BE43">
        <v>0</v>
      </c>
      <c r="BF43" t="str">
        <v>NOT ENTERED</v>
      </c>
    </row>
    <row r="44" spans="5:58" x14ac:dyDescent="0.45"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t="str">
        <v/>
      </c>
      <c r="N44" t="str">
        <v/>
      </c>
      <c r="O44" t="str">
        <v/>
      </c>
      <c r="P44" t="str">
        <v/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L44" t="str">
        <v>A141</v>
      </c>
      <c r="AM44" t="str">
        <v>MUHAMMED SHUHAIR</v>
      </c>
      <c r="AN44" t="str">
        <v>D</v>
      </c>
      <c r="AO44" t="str">
        <v>SUB JUNIOR</v>
      </c>
      <c r="AP44">
        <v>2</v>
      </c>
      <c r="AQ44">
        <v>0</v>
      </c>
      <c r="AR44">
        <v>0</v>
      </c>
      <c r="AS44">
        <v>0</v>
      </c>
      <c r="AT44">
        <v>1</v>
      </c>
      <c r="AU44">
        <v>0</v>
      </c>
      <c r="AW44" t="str">
        <v>SJ42</v>
      </c>
      <c r="AX44" t="str">
        <v>Short Story MLM</v>
      </c>
      <c r="AY44" t="str">
        <v>SUB JUNIOR</v>
      </c>
      <c r="AZ44" t="str">
        <v>Single</v>
      </c>
      <c r="BA44" t="str">
        <v>Non-Stg</v>
      </c>
      <c r="BB44">
        <v>4</v>
      </c>
      <c r="BC44" t="str">
        <v>Individual</v>
      </c>
      <c r="BD44" t="str">
        <v>Individual</v>
      </c>
      <c r="BE44">
        <v>0</v>
      </c>
      <c r="BF44" t="str">
        <v>NOT ENTERED</v>
      </c>
    </row>
    <row r="45" spans="5:58" x14ac:dyDescent="0.45"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t="str">
        <v/>
      </c>
      <c r="N45" t="str">
        <v/>
      </c>
      <c r="O45" t="str">
        <v/>
      </c>
      <c r="P45" t="str">
        <v/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L45" t="str">
        <v>A142</v>
      </c>
      <c r="AM45" t="str">
        <v>Muhammed Anshad A</v>
      </c>
      <c r="AN45" t="str">
        <v>C</v>
      </c>
      <c r="AO45" t="str">
        <v>SUB JUNIOR</v>
      </c>
      <c r="AP45">
        <v>2</v>
      </c>
      <c r="AQ45">
        <v>0</v>
      </c>
      <c r="AR45">
        <v>0</v>
      </c>
      <c r="AS45">
        <v>0</v>
      </c>
      <c r="AT45">
        <v>1</v>
      </c>
      <c r="AU45">
        <v>0</v>
      </c>
      <c r="AW45" t="str">
        <v>SJ43</v>
      </c>
      <c r="AX45" t="str">
        <v>News writing MLM</v>
      </c>
      <c r="AY45" t="str">
        <v>SUB JUNIOR</v>
      </c>
      <c r="AZ45" t="str">
        <v>Single</v>
      </c>
      <c r="BA45" t="str">
        <v>Stage</v>
      </c>
      <c r="BB45">
        <v>4</v>
      </c>
      <c r="BC45" t="str">
        <v>Individual</v>
      </c>
      <c r="BD45" t="str">
        <v>Individual</v>
      </c>
      <c r="BE45">
        <v>0</v>
      </c>
      <c r="BF45" t="str">
        <v>NOT ENTERED</v>
      </c>
    </row>
    <row r="46" spans="5:58" x14ac:dyDescent="0.45"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t="str">
        <v/>
      </c>
      <c r="N46" t="str">
        <v/>
      </c>
      <c r="O46" t="str">
        <v/>
      </c>
      <c r="P46" t="str">
        <v/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L46" t="str">
        <v>A143</v>
      </c>
      <c r="AM46" t="str">
        <v>ABDUL AFEEZ C.F</v>
      </c>
      <c r="AN46" t="str">
        <v>A</v>
      </c>
      <c r="AO46" t="str">
        <v>SUB JUNIOR</v>
      </c>
      <c r="AP46">
        <v>2</v>
      </c>
      <c r="AQ46">
        <v>0</v>
      </c>
      <c r="AR46">
        <v>0</v>
      </c>
      <c r="AS46">
        <v>0</v>
      </c>
      <c r="AT46">
        <v>1</v>
      </c>
      <c r="AU46">
        <v>0</v>
      </c>
      <c r="AW46" t="str">
        <v>SJ44</v>
      </c>
      <c r="AX46" t="str">
        <v>Poster Designing</v>
      </c>
      <c r="AY46" t="str">
        <v>SUB JUNIOR</v>
      </c>
      <c r="AZ46" t="str">
        <v>Single</v>
      </c>
      <c r="BA46" t="str">
        <v>Non-Stg</v>
      </c>
      <c r="BB46">
        <v>4</v>
      </c>
      <c r="BC46" t="str">
        <v>Individual</v>
      </c>
      <c r="BD46" t="str">
        <v>Individual</v>
      </c>
      <c r="BE46">
        <v>0</v>
      </c>
      <c r="BF46" t="str">
        <v>NOT ENTERED</v>
      </c>
    </row>
    <row r="47" spans="5:58" x14ac:dyDescent="0.45"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t="str">
        <v/>
      </c>
      <c r="N47" t="str">
        <v/>
      </c>
      <c r="O47" t="str">
        <v/>
      </c>
      <c r="P47" t="str">
        <v/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L47" t="str">
        <v>A144</v>
      </c>
      <c r="AM47" t="str">
        <v>ABDULLA</v>
      </c>
      <c r="AN47" t="str">
        <v>D</v>
      </c>
      <c r="AO47" t="str">
        <v>SUB JUNIOR</v>
      </c>
      <c r="AP47">
        <v>2</v>
      </c>
      <c r="AQ47">
        <v>0</v>
      </c>
      <c r="AR47">
        <v>0</v>
      </c>
      <c r="AS47">
        <v>0</v>
      </c>
      <c r="AT47">
        <v>1</v>
      </c>
      <c r="AU47">
        <v>0</v>
      </c>
      <c r="AW47" t="str">
        <v>SJ45</v>
      </c>
      <c r="AX47" t="str">
        <v>Water Painting</v>
      </c>
      <c r="AY47" t="str">
        <v>SUB JUNIOR</v>
      </c>
      <c r="AZ47" t="str">
        <v>Single</v>
      </c>
      <c r="BA47" t="str">
        <v>Stage</v>
      </c>
      <c r="BB47">
        <v>4</v>
      </c>
      <c r="BC47" t="str">
        <v>Individual</v>
      </c>
      <c r="BD47" t="str">
        <v>Individual</v>
      </c>
      <c r="BE47">
        <v>0</v>
      </c>
      <c r="BF47" t="str">
        <v>NOT ENTERED</v>
      </c>
    </row>
    <row r="48" spans="5:58" x14ac:dyDescent="0.45"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t="str">
        <v/>
      </c>
      <c r="N48" t="str">
        <v/>
      </c>
      <c r="O48" t="str">
        <v/>
      </c>
      <c r="P48" t="str">
        <v/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L48" t="str">
        <v>A145</v>
      </c>
      <c r="AM48" t="str">
        <v>ABDULLAH A P</v>
      </c>
      <c r="AN48" t="str">
        <v>C</v>
      </c>
      <c r="AO48" t="str">
        <v>SUB JUNIOR</v>
      </c>
      <c r="AP48">
        <v>2</v>
      </c>
      <c r="AQ48">
        <v>0</v>
      </c>
      <c r="AR48">
        <v>0</v>
      </c>
      <c r="AS48">
        <v>0</v>
      </c>
      <c r="AT48">
        <v>1</v>
      </c>
      <c r="AU48">
        <v>0</v>
      </c>
      <c r="AW48" t="str">
        <v>SJ46</v>
      </c>
      <c r="AX48" t="str">
        <v>Origami</v>
      </c>
      <c r="AY48" t="str">
        <v>SUB JUNIOR</v>
      </c>
      <c r="AZ48" t="str">
        <v>Single</v>
      </c>
      <c r="BA48" t="str">
        <v>Non-Stg</v>
      </c>
      <c r="BB48">
        <v>4</v>
      </c>
      <c r="BC48" t="str">
        <v>Individual</v>
      </c>
      <c r="BD48" t="str">
        <v>Individual</v>
      </c>
      <c r="BE48">
        <v>0</v>
      </c>
      <c r="BF48" t="str">
        <v>NOT ENTERED</v>
      </c>
    </row>
    <row r="49" spans="5:58" x14ac:dyDescent="0.45"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t="str">
        <v/>
      </c>
      <c r="N49" t="str">
        <v/>
      </c>
      <c r="O49" t="str">
        <v/>
      </c>
      <c r="P49" t="str">
        <v/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L49" t="str">
        <v>A146</v>
      </c>
      <c r="AM49" t="str">
        <v>AHAMED ADIL. A</v>
      </c>
      <c r="AN49" t="str">
        <v>C</v>
      </c>
      <c r="AO49" t="str">
        <v>SUB JUNIOR</v>
      </c>
      <c r="AP49">
        <v>2</v>
      </c>
      <c r="AQ49">
        <v>0</v>
      </c>
      <c r="AR49">
        <v>0</v>
      </c>
      <c r="AS49">
        <v>0</v>
      </c>
      <c r="AT49">
        <v>1</v>
      </c>
      <c r="AU49">
        <v>0</v>
      </c>
      <c r="AW49" t="str">
        <v>SJ47</v>
      </c>
      <c r="AX49" t="str">
        <v>Su Do Ku</v>
      </c>
      <c r="AY49" t="str">
        <v>SUB JUNIOR</v>
      </c>
      <c r="AZ49" t="str">
        <v>Single</v>
      </c>
      <c r="BA49" t="str">
        <v>Stage</v>
      </c>
      <c r="BB49">
        <v>4</v>
      </c>
      <c r="BC49" t="str">
        <v>Individual</v>
      </c>
      <c r="BD49" t="str">
        <v>Individual</v>
      </c>
      <c r="BE49">
        <v>0</v>
      </c>
      <c r="BF49" t="str">
        <v>NOT ENTERED</v>
      </c>
    </row>
    <row r="50" spans="5:58" x14ac:dyDescent="0.45"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 t="str">
        <v/>
      </c>
      <c r="N50" t="str">
        <v/>
      </c>
      <c r="O50" t="str">
        <v/>
      </c>
      <c r="P50" t="str">
        <v/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L50" t="str">
        <v>A147</v>
      </c>
      <c r="AM50" t="str">
        <v>AHMED WALEED K A</v>
      </c>
      <c r="AN50" t="str">
        <v>B</v>
      </c>
      <c r="AO50" t="str">
        <v>SUB JUNIOR</v>
      </c>
      <c r="AP50">
        <v>2</v>
      </c>
      <c r="AQ50">
        <v>0</v>
      </c>
      <c r="AR50">
        <v>0</v>
      </c>
      <c r="AS50">
        <v>0</v>
      </c>
      <c r="AT50">
        <v>1</v>
      </c>
      <c r="AU50">
        <v>0</v>
      </c>
      <c r="AW50" t="str">
        <v>JN01</v>
      </c>
      <c r="AX50" t="str">
        <v>Quira'ath with Thajveed</v>
      </c>
      <c r="AY50" t="str">
        <v>JUNIOR</v>
      </c>
      <c r="AZ50" t="str">
        <v>Single</v>
      </c>
      <c r="BA50" t="str">
        <v>Non-Stg</v>
      </c>
      <c r="BB50">
        <v>4</v>
      </c>
      <c r="BC50" t="str">
        <v>Individual</v>
      </c>
      <c r="BD50" t="str">
        <v>Individual</v>
      </c>
      <c r="BE50">
        <v>0</v>
      </c>
      <c r="BF50" t="str">
        <v>NOT ENTERED</v>
      </c>
    </row>
    <row r="51" spans="5:58" x14ac:dyDescent="0.45"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 t="str">
        <v/>
      </c>
      <c r="N51" t="str">
        <v/>
      </c>
      <c r="O51" t="str">
        <v/>
      </c>
      <c r="P51" t="str">
        <v/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L51" t="str">
        <v>A148</v>
      </c>
      <c r="AM51" t="str">
        <v>AYAAN ABOOBAKAR</v>
      </c>
      <c r="AN51" t="str">
        <v>C</v>
      </c>
      <c r="AO51" t="str">
        <v>SUB JUNIOR</v>
      </c>
      <c r="AP51">
        <v>2</v>
      </c>
      <c r="AQ51">
        <v>0</v>
      </c>
      <c r="AR51">
        <v>0</v>
      </c>
      <c r="AS51">
        <v>0</v>
      </c>
      <c r="AT51">
        <v>1</v>
      </c>
      <c r="AU51">
        <v>0</v>
      </c>
      <c r="AW51" t="str">
        <v>JN02</v>
      </c>
      <c r="AX51" t="str">
        <v>Hifz</v>
      </c>
      <c r="AY51" t="str">
        <v>JUNIOR</v>
      </c>
      <c r="AZ51" t="str">
        <v>Single</v>
      </c>
      <c r="BA51" t="str">
        <v>Stage</v>
      </c>
      <c r="BB51">
        <v>4</v>
      </c>
      <c r="BC51" t="str">
        <v>Individual</v>
      </c>
      <c r="BD51" t="str">
        <v>Individual</v>
      </c>
      <c r="BE51">
        <v>0</v>
      </c>
      <c r="BF51" t="str">
        <v>NOT ENTERED</v>
      </c>
    </row>
    <row r="52" spans="5:58" x14ac:dyDescent="0.45"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 t="str">
        <v/>
      </c>
      <c r="N52" t="str">
        <v/>
      </c>
      <c r="O52" t="str">
        <v/>
      </c>
      <c r="P52" t="str">
        <v/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L52" t="str">
        <v>A149</v>
      </c>
      <c r="AM52" t="str">
        <v>FADIL AMEEN ABDULLA</v>
      </c>
      <c r="AN52" t="str">
        <v>D</v>
      </c>
      <c r="AO52" t="str">
        <v>SUB JUNIOR</v>
      </c>
      <c r="AP52">
        <v>2</v>
      </c>
      <c r="AQ52">
        <v>0</v>
      </c>
      <c r="AR52">
        <v>0</v>
      </c>
      <c r="AS52">
        <v>0</v>
      </c>
      <c r="AT52">
        <v>1</v>
      </c>
      <c r="AU52">
        <v>0</v>
      </c>
      <c r="AW52" t="str">
        <v>JN03</v>
      </c>
      <c r="AX52" t="str">
        <v>Vank</v>
      </c>
      <c r="AY52" t="str">
        <v>JUNIOR</v>
      </c>
      <c r="AZ52" t="str">
        <v>Single</v>
      </c>
      <c r="BA52" t="str">
        <v>Non-Stg</v>
      </c>
      <c r="BB52">
        <v>4</v>
      </c>
      <c r="BC52" t="str">
        <v>Individual</v>
      </c>
      <c r="BD52" t="str">
        <v>Individual</v>
      </c>
      <c r="BE52">
        <v>0</v>
      </c>
      <c r="BF52" t="str">
        <v>NOT ENTERED</v>
      </c>
    </row>
    <row r="53" spans="5:58" x14ac:dyDescent="0.45"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t="str">
        <v/>
      </c>
      <c r="N53" t="str">
        <v/>
      </c>
      <c r="O53" t="str">
        <v/>
      </c>
      <c r="P53" t="str">
        <v/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L53" t="str">
        <v>A150</v>
      </c>
      <c r="AM53" t="str">
        <v>MOHAMED JAWHAR J A</v>
      </c>
      <c r="AN53" t="str">
        <v>A</v>
      </c>
      <c r="AO53" t="str">
        <v>SUB JUNIOR</v>
      </c>
      <c r="AP53">
        <v>2</v>
      </c>
      <c r="AQ53">
        <v>0</v>
      </c>
      <c r="AR53">
        <v>0</v>
      </c>
      <c r="AS53">
        <v>0</v>
      </c>
      <c r="AT53">
        <v>1</v>
      </c>
      <c r="AU53">
        <v>0</v>
      </c>
      <c r="AW53" t="str">
        <v>JN04</v>
      </c>
      <c r="AX53" t="str">
        <v>va'az</v>
      </c>
      <c r="AY53" t="str">
        <v>JUNIOR</v>
      </c>
      <c r="AZ53" t="str">
        <v>Single</v>
      </c>
      <c r="BA53" t="str">
        <v>Stage</v>
      </c>
      <c r="BB53">
        <v>4</v>
      </c>
      <c r="BC53" t="str">
        <v>Individual</v>
      </c>
      <c r="BD53" t="str">
        <v>Individual</v>
      </c>
      <c r="BE53">
        <v>0</v>
      </c>
      <c r="BF53" t="str">
        <v>NOT ENTERED</v>
      </c>
    </row>
    <row r="54" spans="5:58" x14ac:dyDescent="0.45"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t="str">
        <v/>
      </c>
      <c r="N54" t="str">
        <v/>
      </c>
      <c r="O54" t="str">
        <v/>
      </c>
      <c r="P54" t="str">
        <v/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L54" t="str">
        <v>A151</v>
      </c>
      <c r="AM54" t="str">
        <v>Mohammad Yaseen</v>
      </c>
      <c r="AN54" t="str">
        <v>A</v>
      </c>
      <c r="AO54" t="str">
        <v>SUB JUNIOR</v>
      </c>
      <c r="AP54">
        <v>2</v>
      </c>
      <c r="AQ54">
        <v>0</v>
      </c>
      <c r="AR54">
        <v>0</v>
      </c>
      <c r="AS54">
        <v>0</v>
      </c>
      <c r="AT54">
        <v>1</v>
      </c>
      <c r="AU54">
        <v>0</v>
      </c>
      <c r="AW54" t="str">
        <v>JN05</v>
      </c>
      <c r="AX54" t="str">
        <v>Speech Malayalam</v>
      </c>
      <c r="AY54" t="str">
        <v>JUNIOR</v>
      </c>
      <c r="AZ54" t="str">
        <v>Single</v>
      </c>
      <c r="BA54" t="str">
        <v>Non-Stg</v>
      </c>
      <c r="BB54">
        <v>4</v>
      </c>
      <c r="BC54" t="str">
        <v>Individual</v>
      </c>
      <c r="BD54" t="str">
        <v>Individual</v>
      </c>
      <c r="BE54">
        <v>0</v>
      </c>
      <c r="BF54" t="str">
        <v>NOT ENTERED</v>
      </c>
    </row>
    <row r="55" spans="5:58" x14ac:dyDescent="0.45"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t="str">
        <v/>
      </c>
      <c r="N55" t="str">
        <v/>
      </c>
      <c r="O55" t="str">
        <v/>
      </c>
      <c r="P55" t="str">
        <v/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 t="str">
        <v>A152</v>
      </c>
      <c r="AM55" t="str">
        <v>MOHAMMED QUBAIB A H</v>
      </c>
      <c r="AN55" t="str">
        <v>C</v>
      </c>
      <c r="AO55" t="str">
        <v>SUB JUNIOR</v>
      </c>
      <c r="AP55">
        <v>2</v>
      </c>
      <c r="AQ55">
        <v>0</v>
      </c>
      <c r="AR55">
        <v>0</v>
      </c>
      <c r="AS55">
        <v>0</v>
      </c>
      <c r="AT55">
        <v>1</v>
      </c>
      <c r="AU55">
        <v>0</v>
      </c>
      <c r="AW55" t="str">
        <v>JN06</v>
      </c>
      <c r="AX55" t="str">
        <v>Speech English</v>
      </c>
      <c r="AY55" t="str">
        <v>JUNIOR</v>
      </c>
      <c r="AZ55" t="str">
        <v>Single</v>
      </c>
      <c r="BA55" t="str">
        <v>Stage</v>
      </c>
      <c r="BB55">
        <v>4</v>
      </c>
      <c r="BC55" t="str">
        <v>Individual</v>
      </c>
      <c r="BD55" t="str">
        <v>Individual</v>
      </c>
      <c r="BE55">
        <v>0</v>
      </c>
      <c r="BF55" t="str">
        <v>NOT ENTERED</v>
      </c>
    </row>
    <row r="56" spans="5:58" x14ac:dyDescent="0.45"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 t="str">
        <v/>
      </c>
      <c r="N56" t="str">
        <v/>
      </c>
      <c r="O56" t="str">
        <v/>
      </c>
      <c r="P56" t="str">
        <v/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 t="str">
        <v>A153</v>
      </c>
      <c r="AM56" t="str">
        <v>MOHAMMED SAWA T A</v>
      </c>
      <c r="AN56" t="str">
        <v>A</v>
      </c>
      <c r="AO56" t="str">
        <v>SUB JUNIOR</v>
      </c>
      <c r="AP56">
        <v>2</v>
      </c>
      <c r="AQ56">
        <v>0</v>
      </c>
      <c r="AR56">
        <v>0</v>
      </c>
      <c r="AS56">
        <v>0</v>
      </c>
      <c r="AT56">
        <v>1</v>
      </c>
      <c r="AU56">
        <v>0</v>
      </c>
      <c r="AW56" t="str">
        <v>JN07</v>
      </c>
      <c r="AX56" t="str">
        <v>Speech Urdu</v>
      </c>
      <c r="AY56" t="str">
        <v>JUNIOR</v>
      </c>
      <c r="AZ56" t="str">
        <v>Single</v>
      </c>
      <c r="BA56" t="str">
        <v>Non-Stg</v>
      </c>
      <c r="BB56">
        <v>4</v>
      </c>
      <c r="BC56" t="str">
        <v>Individual</v>
      </c>
      <c r="BD56" t="str">
        <v>Individual</v>
      </c>
      <c r="BE56">
        <v>0</v>
      </c>
      <c r="BF56" t="str">
        <v>NOT ENTERED</v>
      </c>
    </row>
    <row r="57" spans="5:58" x14ac:dyDescent="0.45"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 t="str">
        <v/>
      </c>
      <c r="N57" t="str">
        <v/>
      </c>
      <c r="O57" t="str">
        <v/>
      </c>
      <c r="P57" t="str">
        <v/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 t="str">
        <v>A154</v>
      </c>
      <c r="AM57" t="str">
        <v>MOHAMMED WASIM SHAHAD SM</v>
      </c>
      <c r="AN57" t="str">
        <v>D</v>
      </c>
      <c r="AO57" t="str">
        <v>SUB JUNIOR</v>
      </c>
      <c r="AP57">
        <v>2</v>
      </c>
      <c r="AQ57">
        <v>0</v>
      </c>
      <c r="AR57">
        <v>0</v>
      </c>
      <c r="AS57">
        <v>0</v>
      </c>
      <c r="AT57">
        <v>1</v>
      </c>
      <c r="AU57">
        <v>0</v>
      </c>
      <c r="AW57" t="str">
        <v>JN08</v>
      </c>
      <c r="AX57" t="str">
        <v>Speech Arabic</v>
      </c>
      <c r="AY57" t="str">
        <v>JUNIOR</v>
      </c>
      <c r="AZ57" t="str">
        <v>Single</v>
      </c>
      <c r="BA57" t="str">
        <v>Stage</v>
      </c>
      <c r="BB57">
        <v>4</v>
      </c>
      <c r="BC57" t="str">
        <v>Individual</v>
      </c>
      <c r="BD57" t="str">
        <v>Individual</v>
      </c>
      <c r="BE57">
        <v>0</v>
      </c>
      <c r="BF57" t="str">
        <v>NOT ENTERED</v>
      </c>
    </row>
    <row r="58" spans="5:58" x14ac:dyDescent="0.45"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 t="str">
        <v/>
      </c>
      <c r="N58" t="str">
        <v/>
      </c>
      <c r="O58" t="str">
        <v/>
      </c>
      <c r="P58" t="str">
        <v/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 t="str">
        <v>A155</v>
      </c>
      <c r="AM58" t="str">
        <v>Muhammad M</v>
      </c>
      <c r="AN58" t="str">
        <v>D</v>
      </c>
      <c r="AO58" t="str">
        <v>SUB JUNIOR</v>
      </c>
      <c r="AP58">
        <v>2</v>
      </c>
      <c r="AQ58">
        <v>0</v>
      </c>
      <c r="AR58">
        <v>0</v>
      </c>
      <c r="AS58">
        <v>0</v>
      </c>
      <c r="AT58">
        <v>1</v>
      </c>
      <c r="AU58">
        <v>0</v>
      </c>
      <c r="AW58" t="str">
        <v>JN09</v>
      </c>
      <c r="AX58" t="str">
        <v>Song Arabic</v>
      </c>
      <c r="AY58" t="str">
        <v>JUNIOR</v>
      </c>
      <c r="AZ58" t="str">
        <v>Single</v>
      </c>
      <c r="BA58" t="str">
        <v>Non-Stg</v>
      </c>
      <c r="BB58">
        <v>4</v>
      </c>
      <c r="BC58" t="str">
        <v>Individual</v>
      </c>
      <c r="BD58" t="str">
        <v>Individual</v>
      </c>
      <c r="BE58">
        <v>0</v>
      </c>
      <c r="BF58" t="str">
        <v>NOT ENTERED</v>
      </c>
    </row>
    <row r="59" spans="5:58" x14ac:dyDescent="0.45"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t="str">
        <v/>
      </c>
      <c r="N59" t="str">
        <v/>
      </c>
      <c r="O59" t="str">
        <v/>
      </c>
      <c r="P59" t="str">
        <v/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 t="str">
        <v>A156</v>
      </c>
      <c r="AM59" t="str">
        <v>MUHAMMAD SHAHSAD HASAN</v>
      </c>
      <c r="AN59" t="str">
        <v>D</v>
      </c>
      <c r="AO59" t="str">
        <v>SUB JUNIOR</v>
      </c>
      <c r="AP59">
        <v>2</v>
      </c>
      <c r="AQ59">
        <v>0</v>
      </c>
      <c r="AR59">
        <v>0</v>
      </c>
      <c r="AS59">
        <v>0</v>
      </c>
      <c r="AT59">
        <v>1</v>
      </c>
      <c r="AU59">
        <v>0</v>
      </c>
      <c r="AW59" t="str">
        <v>JN10</v>
      </c>
      <c r="AX59" t="str">
        <v>Song Urdu</v>
      </c>
      <c r="AY59" t="str">
        <v>JUNIOR</v>
      </c>
      <c r="AZ59" t="str">
        <v>Single</v>
      </c>
      <c r="BA59" t="str">
        <v>Stage</v>
      </c>
      <c r="BB59">
        <v>4</v>
      </c>
      <c r="BC59" t="str">
        <v>Individual</v>
      </c>
      <c r="BD59" t="str">
        <v>Individual</v>
      </c>
      <c r="BE59">
        <v>0</v>
      </c>
      <c r="BF59" t="str">
        <v>NOT ENTERED</v>
      </c>
    </row>
    <row r="60" spans="5:58" x14ac:dyDescent="0.45"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 t="str">
        <v/>
      </c>
      <c r="N60" t="str">
        <v/>
      </c>
      <c r="O60" t="str">
        <v/>
      </c>
      <c r="P60" t="str">
        <v/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 t="str">
        <v>A157</v>
      </c>
      <c r="AM60" t="str">
        <v>MUHAMMED ADNAN K.A</v>
      </c>
      <c r="AN60" t="str">
        <v>A</v>
      </c>
      <c r="AO60" t="str">
        <v>SUB JUNIOR</v>
      </c>
      <c r="AP60">
        <v>2</v>
      </c>
      <c r="AQ60">
        <v>0</v>
      </c>
      <c r="AR60">
        <v>0</v>
      </c>
      <c r="AS60">
        <v>0</v>
      </c>
      <c r="AT60">
        <v>1</v>
      </c>
      <c r="AU60">
        <v>0</v>
      </c>
      <c r="AW60" t="str">
        <v>JN11</v>
      </c>
      <c r="AX60" t="str">
        <v>Song English</v>
      </c>
      <c r="AY60" t="str">
        <v>JUNIOR</v>
      </c>
      <c r="AZ60" t="str">
        <v>Single</v>
      </c>
      <c r="BA60" t="str">
        <v>Non-Stg</v>
      </c>
      <c r="BB60">
        <v>4</v>
      </c>
      <c r="BC60" t="str">
        <v>Individual</v>
      </c>
      <c r="BD60" t="str">
        <v>Individual</v>
      </c>
      <c r="BE60">
        <v>0</v>
      </c>
      <c r="BF60" t="str">
        <v>NOT ENTERED</v>
      </c>
    </row>
    <row r="61" spans="5:58" x14ac:dyDescent="0.45"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t="str">
        <v/>
      </c>
      <c r="N61" t="str">
        <v/>
      </c>
      <c r="O61" t="str">
        <v/>
      </c>
      <c r="P61" t="str">
        <v/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 t="str">
        <v>A158</v>
      </c>
      <c r="AM61" t="str">
        <v>Muhammed Anas</v>
      </c>
      <c r="AN61" t="str">
        <v>B</v>
      </c>
      <c r="AO61" t="str">
        <v>SUB JUNIOR</v>
      </c>
      <c r="AP61">
        <v>2</v>
      </c>
      <c r="AQ61">
        <v>0</v>
      </c>
      <c r="AR61">
        <v>0</v>
      </c>
      <c r="AS61">
        <v>0</v>
      </c>
      <c r="AT61">
        <v>1</v>
      </c>
      <c r="AU61">
        <v>0</v>
      </c>
      <c r="AW61" t="str">
        <v>JN12</v>
      </c>
      <c r="AX61" t="str">
        <v>Song Malyalam</v>
      </c>
      <c r="AY61" t="str">
        <v>JUNIOR</v>
      </c>
      <c r="AZ61" t="str">
        <v>Single</v>
      </c>
      <c r="BA61" t="str">
        <v>Stage</v>
      </c>
      <c r="BB61">
        <v>4</v>
      </c>
      <c r="BC61" t="str">
        <v>Individual</v>
      </c>
      <c r="BD61" t="str">
        <v>Individual</v>
      </c>
      <c r="BE61">
        <v>0</v>
      </c>
      <c r="BF61" t="str">
        <v>NOT ENTERED</v>
      </c>
    </row>
    <row r="62" spans="5:58" x14ac:dyDescent="0.45"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 t="str">
        <v/>
      </c>
      <c r="N62" t="str">
        <v/>
      </c>
      <c r="O62" t="str">
        <v/>
      </c>
      <c r="P62" t="str">
        <v/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 t="str">
        <v>A159</v>
      </c>
      <c r="AM62" t="str">
        <v>MUHAMMED ASHIR M</v>
      </c>
      <c r="AN62" t="str">
        <v>D</v>
      </c>
      <c r="AO62" t="str">
        <v>SUB JUNIOR</v>
      </c>
      <c r="AP62">
        <v>2</v>
      </c>
      <c r="AQ62">
        <v>0</v>
      </c>
      <c r="AR62">
        <v>0</v>
      </c>
      <c r="AS62">
        <v>0</v>
      </c>
      <c r="AT62">
        <v>1</v>
      </c>
      <c r="AU62">
        <v>0</v>
      </c>
      <c r="AW62" t="str">
        <v>JN13</v>
      </c>
      <c r="AX62" t="str">
        <v xml:space="preserve">Kadhakadhanam </v>
      </c>
      <c r="AY62" t="str">
        <v>JUNIOR</v>
      </c>
      <c r="AZ62" t="str">
        <v>Single</v>
      </c>
      <c r="BA62" t="str">
        <v>Non-Stg</v>
      </c>
      <c r="BB62">
        <v>4</v>
      </c>
      <c r="BC62" t="str">
        <v>Individual</v>
      </c>
      <c r="BD62" t="str">
        <v>Individual</v>
      </c>
      <c r="BE62">
        <v>0</v>
      </c>
      <c r="BF62" t="str">
        <v>NOT ENTERED</v>
      </c>
    </row>
    <row r="63" spans="5:58" x14ac:dyDescent="0.45">
      <c r="AL63" t="str">
        <v>A160</v>
      </c>
      <c r="AM63" t="str">
        <v>MUHAMMED AYAAN</v>
      </c>
      <c r="AN63" t="str">
        <v>D</v>
      </c>
      <c r="AO63" t="str">
        <v>SUB JUNIOR</v>
      </c>
      <c r="AP63">
        <v>2</v>
      </c>
      <c r="AQ63">
        <v>0</v>
      </c>
      <c r="AR63">
        <v>0</v>
      </c>
      <c r="AS63">
        <v>0</v>
      </c>
      <c r="AT63">
        <v>1</v>
      </c>
      <c r="AU63">
        <v>0</v>
      </c>
      <c r="AW63" t="str">
        <v>JN14</v>
      </c>
      <c r="AX63" t="str">
        <v>Mulafaza arabic</v>
      </c>
      <c r="AY63" t="str">
        <v>JUNIOR</v>
      </c>
      <c r="AZ63" t="str">
        <v>Single</v>
      </c>
      <c r="BA63" t="str">
        <v>Stage</v>
      </c>
      <c r="BB63">
        <v>3</v>
      </c>
      <c r="BC63" t="str">
        <v>Individual</v>
      </c>
      <c r="BD63" t="str">
        <v>Individual</v>
      </c>
      <c r="BE63">
        <v>0</v>
      </c>
      <c r="BF63" t="str">
        <v>NOT ENTERED</v>
      </c>
    </row>
    <row r="64" spans="5:58" x14ac:dyDescent="0.45">
      <c r="AL64" t="str">
        <v>A161</v>
      </c>
      <c r="AM64" t="str">
        <v>MUHAMMED FAHAD</v>
      </c>
      <c r="AN64" t="str">
        <v>A</v>
      </c>
      <c r="AO64" t="str">
        <v>SUB JUNIOR</v>
      </c>
      <c r="AP64">
        <v>2</v>
      </c>
      <c r="AQ64">
        <v>0</v>
      </c>
      <c r="AR64">
        <v>0</v>
      </c>
      <c r="AS64">
        <v>0</v>
      </c>
      <c r="AT64">
        <v>1</v>
      </c>
      <c r="AU64">
        <v>0</v>
      </c>
      <c r="AW64" t="str">
        <v>JN15</v>
      </c>
      <c r="AX64" t="str">
        <v>Word War English</v>
      </c>
      <c r="AY64" t="str">
        <v>JUNIOR</v>
      </c>
      <c r="AZ64" t="str">
        <v>Single</v>
      </c>
      <c r="BA64" t="str">
        <v>Non-Stg</v>
      </c>
      <c r="BB64">
        <v>3</v>
      </c>
      <c r="BC64" t="str">
        <v>Individual</v>
      </c>
      <c r="BD64" t="str">
        <v>Individual</v>
      </c>
      <c r="BE64">
        <v>0</v>
      </c>
      <c r="BF64" t="str">
        <v>NOT ENTERED</v>
      </c>
    </row>
    <row r="65" spans="38:58" x14ac:dyDescent="0.45">
      <c r="AL65" t="str">
        <v>A162</v>
      </c>
      <c r="AM65" t="str">
        <v>MUHAMMED FAREED A S</v>
      </c>
      <c r="AN65" t="str">
        <v>A</v>
      </c>
      <c r="AO65" t="str">
        <v>SUB JUNIOR</v>
      </c>
      <c r="AP65">
        <v>2</v>
      </c>
      <c r="AQ65">
        <v>0</v>
      </c>
      <c r="AR65">
        <v>0</v>
      </c>
      <c r="AS65">
        <v>0</v>
      </c>
      <c r="AT65">
        <v>1</v>
      </c>
      <c r="AU65">
        <v>0</v>
      </c>
      <c r="AW65" t="str">
        <v>JN16</v>
      </c>
      <c r="AX65" t="str">
        <v>Quiz</v>
      </c>
      <c r="AY65" t="str">
        <v>JUNIOR</v>
      </c>
      <c r="AZ65" t="str">
        <v>Single</v>
      </c>
      <c r="BA65" t="str">
        <v>Stage</v>
      </c>
      <c r="BB65">
        <v>3</v>
      </c>
      <c r="BC65" t="str">
        <v>Individual</v>
      </c>
      <c r="BD65" t="str">
        <v>Individual</v>
      </c>
      <c r="BE65">
        <v>0</v>
      </c>
      <c r="BF65" t="str">
        <v>NOT ENTERED</v>
      </c>
    </row>
    <row r="66" spans="38:58" x14ac:dyDescent="0.45">
      <c r="AL66" t="str">
        <v>A163</v>
      </c>
      <c r="AM66" t="str">
        <v>MUHAMMED LUQMAN TD</v>
      </c>
      <c r="AN66" t="str">
        <v>C</v>
      </c>
      <c r="AO66" t="str">
        <v>SUB JUNIOR</v>
      </c>
      <c r="AP66">
        <v>2</v>
      </c>
      <c r="AQ66">
        <v>0</v>
      </c>
      <c r="AR66">
        <v>0</v>
      </c>
      <c r="AS66">
        <v>0</v>
      </c>
      <c r="AT66">
        <v>1</v>
      </c>
      <c r="AU66">
        <v>0</v>
      </c>
      <c r="AW66" t="str">
        <v>JN17</v>
      </c>
      <c r="AX66" t="str">
        <v>Word Wizard</v>
      </c>
      <c r="AY66" t="str">
        <v>JUNIOR</v>
      </c>
      <c r="AZ66" t="str">
        <v>Single</v>
      </c>
      <c r="BA66" t="str">
        <v>Non-Stg</v>
      </c>
      <c r="BB66">
        <v>3</v>
      </c>
      <c r="BC66" t="str">
        <v>Individual</v>
      </c>
      <c r="BD66" t="str">
        <v>Individual</v>
      </c>
      <c r="BE66">
        <v>0</v>
      </c>
      <c r="BF66" t="str">
        <v>NOT ENTERED</v>
      </c>
    </row>
    <row r="67" spans="38:58" x14ac:dyDescent="0.45">
      <c r="AL67" t="str">
        <v>A164</v>
      </c>
      <c r="AM67" t="str">
        <v>MUHAMMED MICDAD RAMEES A H</v>
      </c>
      <c r="AN67" t="str">
        <v>B</v>
      </c>
      <c r="AO67" t="str">
        <v>SUB JUNIOR</v>
      </c>
      <c r="AP67">
        <v>2</v>
      </c>
      <c r="AQ67">
        <v>0</v>
      </c>
      <c r="AR67">
        <v>0</v>
      </c>
      <c r="AS67">
        <v>0</v>
      </c>
      <c r="AT67">
        <v>1</v>
      </c>
      <c r="AU67">
        <v>0</v>
      </c>
      <c r="AW67" t="str">
        <v>JN18</v>
      </c>
      <c r="AX67" t="str">
        <v>Math Talent</v>
      </c>
      <c r="AY67" t="str">
        <v>JUNIOR</v>
      </c>
      <c r="AZ67" t="str">
        <v>Single</v>
      </c>
      <c r="BA67" t="str">
        <v>Stage</v>
      </c>
      <c r="BB67">
        <v>3</v>
      </c>
      <c r="BC67" t="str">
        <v>Individual</v>
      </c>
      <c r="BD67" t="str">
        <v>Individual</v>
      </c>
      <c r="BE67">
        <v>0</v>
      </c>
      <c r="BF67" t="str">
        <v>NOT ENTERED</v>
      </c>
    </row>
    <row r="68" spans="38:58" x14ac:dyDescent="0.45">
      <c r="AL68" t="str">
        <v>A165</v>
      </c>
      <c r="AM68" t="str">
        <v>MUHAMMED MIDLAJ</v>
      </c>
      <c r="AN68" t="str">
        <v>B</v>
      </c>
      <c r="AO68" t="str">
        <v>SUB JUNIOR</v>
      </c>
      <c r="AP68">
        <v>2</v>
      </c>
      <c r="AQ68">
        <v>0</v>
      </c>
      <c r="AR68">
        <v>0</v>
      </c>
      <c r="AS68">
        <v>0</v>
      </c>
      <c r="AT68">
        <v>1</v>
      </c>
      <c r="AU68">
        <v>0</v>
      </c>
      <c r="AW68" t="str">
        <v>JN19</v>
      </c>
      <c r="AX68" t="str">
        <v>Padhyaparayanam</v>
      </c>
      <c r="AY68" t="str">
        <v>JUNIOR</v>
      </c>
      <c r="AZ68" t="str">
        <v>Single</v>
      </c>
      <c r="BA68" t="str">
        <v>Non-Stg</v>
      </c>
      <c r="BB68">
        <v>3</v>
      </c>
      <c r="BC68" t="str">
        <v>Individual</v>
      </c>
      <c r="BD68" t="str">
        <v>Individual</v>
      </c>
      <c r="BE68">
        <v>0</v>
      </c>
      <c r="BF68" t="str">
        <v>NOT ENTERED</v>
      </c>
    </row>
    <row r="69" spans="38:58" x14ac:dyDescent="0.45">
      <c r="AL69" t="str">
        <v>A166</v>
      </c>
      <c r="AM69" t="str">
        <v>Muhammed Naieem</v>
      </c>
      <c r="AN69" t="str">
        <v>C</v>
      </c>
      <c r="AO69" t="str">
        <v>SUB JUNIOR</v>
      </c>
      <c r="AP69">
        <v>2</v>
      </c>
      <c r="AQ69">
        <v>0</v>
      </c>
      <c r="AR69">
        <v>0</v>
      </c>
      <c r="AS69">
        <v>0</v>
      </c>
      <c r="AT69">
        <v>1</v>
      </c>
      <c r="AU69">
        <v>0</v>
      </c>
      <c r="AW69" t="str">
        <v>JN20</v>
      </c>
      <c r="AX69" t="str">
        <v>Science master</v>
      </c>
      <c r="AY69" t="str">
        <v>JUNIOR</v>
      </c>
      <c r="AZ69" t="str">
        <v>Single</v>
      </c>
      <c r="BA69" t="str">
        <v>Stage</v>
      </c>
      <c r="BB69">
        <v>3</v>
      </c>
      <c r="BC69" t="str">
        <v>Individual</v>
      </c>
      <c r="BD69" t="str">
        <v>Individual</v>
      </c>
      <c r="BE69">
        <v>0</v>
      </c>
      <c r="BF69" t="str">
        <v>NOT ENTERED</v>
      </c>
    </row>
    <row r="70" spans="38:58" x14ac:dyDescent="0.45">
      <c r="AL70" t="str">
        <v>A167</v>
      </c>
      <c r="AM70" t="str">
        <v>MUHAMMED RAEES C A</v>
      </c>
      <c r="AN70" t="str">
        <v>C</v>
      </c>
      <c r="AO70" t="str">
        <v>SUB JUNIOR</v>
      </c>
      <c r="AP70">
        <v>2</v>
      </c>
      <c r="AQ70">
        <v>0</v>
      </c>
      <c r="AR70">
        <v>0</v>
      </c>
      <c r="AS70">
        <v>0</v>
      </c>
      <c r="AT70">
        <v>1</v>
      </c>
      <c r="AU70">
        <v>0</v>
      </c>
      <c r="AW70" t="str">
        <v>JN21</v>
      </c>
      <c r="AX70" t="str">
        <v>Geo giant</v>
      </c>
      <c r="AY70" t="str">
        <v>JUNIOR</v>
      </c>
      <c r="AZ70" t="str">
        <v>Single</v>
      </c>
      <c r="BA70" t="str">
        <v>Non-Stg</v>
      </c>
      <c r="BB70">
        <v>3</v>
      </c>
      <c r="BC70" t="str">
        <v>Individual</v>
      </c>
      <c r="BD70" t="str">
        <v>Individual</v>
      </c>
      <c r="BE70">
        <v>0</v>
      </c>
      <c r="BF70" t="str">
        <v>NOT ENTERED</v>
      </c>
    </row>
    <row r="71" spans="38:58" x14ac:dyDescent="0.45">
      <c r="AL71" t="str">
        <v>A168</v>
      </c>
      <c r="AM71" t="str">
        <v>Muhammed Sinan D A</v>
      </c>
      <c r="AN71" t="str">
        <v>D</v>
      </c>
      <c r="AO71" t="str">
        <v>SUB JUNIOR</v>
      </c>
      <c r="AP71">
        <v>2</v>
      </c>
      <c r="AQ71">
        <v>0</v>
      </c>
      <c r="AR71">
        <v>0</v>
      </c>
      <c r="AS71">
        <v>0</v>
      </c>
      <c r="AT71">
        <v>1</v>
      </c>
      <c r="AU71">
        <v>0</v>
      </c>
      <c r="AW71" t="str">
        <v>JN22</v>
      </c>
      <c r="AX71" t="str">
        <v>Hija'unnahla</v>
      </c>
      <c r="AY71" t="str">
        <v>JUNIOR</v>
      </c>
      <c r="AZ71" t="str">
        <v>Single</v>
      </c>
      <c r="BA71" t="str">
        <v>Stage</v>
      </c>
      <c r="BB71">
        <v>3</v>
      </c>
      <c r="BC71" t="str">
        <v>Individual</v>
      </c>
      <c r="BD71" t="str">
        <v>Individual</v>
      </c>
      <c r="BE71">
        <v>0</v>
      </c>
      <c r="BF71" t="str">
        <v>NOT ENTERED</v>
      </c>
    </row>
    <row r="72" spans="38:58" x14ac:dyDescent="0.45">
      <c r="AL72" t="str">
        <v>A169</v>
      </c>
      <c r="AM72" t="str">
        <v>NAZWAN MOHAMMED</v>
      </c>
      <c r="AN72" t="str">
        <v>A</v>
      </c>
      <c r="AO72" t="str">
        <v>SUB JUNIOR</v>
      </c>
      <c r="AP72">
        <v>2</v>
      </c>
      <c r="AQ72">
        <v>0</v>
      </c>
      <c r="AR72">
        <v>0</v>
      </c>
      <c r="AS72">
        <v>0</v>
      </c>
      <c r="AT72">
        <v>1</v>
      </c>
      <c r="AU72">
        <v>0</v>
      </c>
      <c r="AW72" t="str">
        <v>JN23</v>
      </c>
      <c r="AX72" t="str">
        <v>Group Song</v>
      </c>
      <c r="AY72" t="str">
        <v>JUNIOR</v>
      </c>
      <c r="AZ72" t="str">
        <v>Group</v>
      </c>
      <c r="BA72" t="str">
        <v>Non-Stg</v>
      </c>
      <c r="BB72">
        <v>3</v>
      </c>
      <c r="BC72" t="str">
        <v>GROUP 3</v>
      </c>
      <c r="BD72" t="str">
        <v>GROUP 3</v>
      </c>
      <c r="BE72">
        <v>0</v>
      </c>
      <c r="BF72" t="str">
        <v>NOT ENTERED</v>
      </c>
    </row>
    <row r="73" spans="38:58" x14ac:dyDescent="0.45">
      <c r="AL73" t="str">
        <v>A170</v>
      </c>
      <c r="AM73" t="str">
        <v>P.V.AHMAD ANAS</v>
      </c>
      <c r="AN73" t="str">
        <v>B</v>
      </c>
      <c r="AO73" t="str">
        <v>SUB JUNIOR</v>
      </c>
      <c r="AP73">
        <v>2</v>
      </c>
      <c r="AQ73">
        <v>0</v>
      </c>
      <c r="AR73">
        <v>0</v>
      </c>
      <c r="AS73">
        <v>0</v>
      </c>
      <c r="AT73">
        <v>1</v>
      </c>
      <c r="AU73">
        <v>0</v>
      </c>
      <c r="AW73" t="str">
        <v>JN24</v>
      </c>
      <c r="AX73" t="str">
        <v>Speech and Song Malayalam</v>
      </c>
      <c r="AY73" t="str">
        <v>JUNIOR</v>
      </c>
      <c r="AZ73" t="str">
        <v>Group</v>
      </c>
      <c r="BA73" t="str">
        <v>Stage</v>
      </c>
      <c r="BB73">
        <v>3</v>
      </c>
      <c r="BC73" t="str">
        <v>GROUP</v>
      </c>
      <c r="BD73" t="str">
        <v>GROUP</v>
      </c>
      <c r="BE73">
        <v>0</v>
      </c>
      <c r="BF73" t="str">
        <v>NOT ENTERED</v>
      </c>
    </row>
    <row r="74" spans="38:58" x14ac:dyDescent="0.45">
      <c r="AL74" t="str">
        <v>A171</v>
      </c>
      <c r="AM74" t="str">
        <v>SAYYED MOHAMMED SINAN AM</v>
      </c>
      <c r="AN74" t="str">
        <v>B</v>
      </c>
      <c r="AO74" t="str">
        <v>SUB JUNIOR</v>
      </c>
      <c r="AP74">
        <v>2</v>
      </c>
      <c r="AQ74">
        <v>0</v>
      </c>
      <c r="AR74">
        <v>0</v>
      </c>
      <c r="AS74">
        <v>0</v>
      </c>
      <c r="AT74">
        <v>1</v>
      </c>
      <c r="AU74">
        <v>0</v>
      </c>
      <c r="AW74" t="str">
        <v>JN25</v>
      </c>
      <c r="AX74" t="str">
        <v>Conversation Arabic</v>
      </c>
      <c r="AY74" t="str">
        <v>JUNIOR</v>
      </c>
      <c r="AZ74" t="str">
        <v>Group</v>
      </c>
      <c r="BA74" t="str">
        <v>Non-Stg</v>
      </c>
      <c r="BB74">
        <v>3</v>
      </c>
      <c r="BC74" t="str">
        <v>GROUP</v>
      </c>
      <c r="BD74" t="str">
        <v>GROUP</v>
      </c>
      <c r="BE74" t="str">
        <v>P</v>
      </c>
      <c r="BF74" t="str">
        <v>PUBLISHED</v>
      </c>
    </row>
    <row r="75" spans="38:58" x14ac:dyDescent="0.45">
      <c r="AL75" t="str">
        <v>A172</v>
      </c>
      <c r="AM75" t="str">
        <v>SAYYED MUHAMMED ABOOBACKER</v>
      </c>
      <c r="AN75" t="str">
        <v>B</v>
      </c>
      <c r="AO75" t="str">
        <v>SUB JUNIOR</v>
      </c>
      <c r="AP75">
        <v>2</v>
      </c>
      <c r="AQ75">
        <v>0</v>
      </c>
      <c r="AR75">
        <v>0</v>
      </c>
      <c r="AS75">
        <v>0</v>
      </c>
      <c r="AT75">
        <v>1</v>
      </c>
      <c r="AU75">
        <v>0</v>
      </c>
      <c r="AW75" t="str">
        <v>JN26</v>
      </c>
      <c r="AX75" t="str">
        <v>Conversation English</v>
      </c>
      <c r="AY75" t="str">
        <v>JUNIOR</v>
      </c>
      <c r="AZ75" t="str">
        <v>Group</v>
      </c>
      <c r="BA75" t="str">
        <v>Stage</v>
      </c>
      <c r="BB75">
        <v>3</v>
      </c>
      <c r="BC75" t="str">
        <v>GROUP 2</v>
      </c>
      <c r="BD75" t="str">
        <v>GROUP 2</v>
      </c>
      <c r="BE75">
        <v>0</v>
      </c>
      <c r="BF75" t="str">
        <v>NOT ENTERED</v>
      </c>
    </row>
    <row r="76" spans="38:58" x14ac:dyDescent="0.45">
      <c r="AL76" t="str">
        <v>A173</v>
      </c>
      <c r="AM76" t="str">
        <v>SHAHUL HAMEED B.I</v>
      </c>
      <c r="AN76" t="str">
        <v>C</v>
      </c>
      <c r="AO76" t="str">
        <v>SUB JUNIOR</v>
      </c>
      <c r="AP76">
        <v>2</v>
      </c>
      <c r="AQ76">
        <v>0</v>
      </c>
      <c r="AR76">
        <v>0</v>
      </c>
      <c r="AS76">
        <v>0</v>
      </c>
      <c r="AT76">
        <v>1</v>
      </c>
      <c r="AU76">
        <v>0</v>
      </c>
      <c r="AW76" t="str">
        <v>JN27</v>
      </c>
      <c r="AX76" t="str">
        <v>Essay Writing English</v>
      </c>
      <c r="AY76" t="str">
        <v>JUNIOR</v>
      </c>
      <c r="AZ76" t="str">
        <v>Single</v>
      </c>
      <c r="BA76" t="str">
        <v>Non-Stg</v>
      </c>
      <c r="BB76">
        <v>3</v>
      </c>
      <c r="BC76" t="str">
        <v>Individual</v>
      </c>
      <c r="BD76" t="str">
        <v>Individual</v>
      </c>
      <c r="BE76">
        <v>0</v>
      </c>
      <c r="BF76" t="str">
        <v>NOT ENTERED</v>
      </c>
    </row>
    <row r="77" spans="38:58" x14ac:dyDescent="0.45">
      <c r="AL77" t="str">
        <v>A174</v>
      </c>
      <c r="AM77" t="str">
        <v>THUFAIL</v>
      </c>
      <c r="AN77" t="str">
        <v>B</v>
      </c>
      <c r="AO77" t="str">
        <v>SUB JUNIOR</v>
      </c>
      <c r="AP77">
        <v>2</v>
      </c>
      <c r="AQ77">
        <v>0</v>
      </c>
      <c r="AR77">
        <v>0</v>
      </c>
      <c r="AS77">
        <v>0</v>
      </c>
      <c r="AT77">
        <v>1</v>
      </c>
      <c r="AU77">
        <v>0</v>
      </c>
      <c r="AW77" t="str">
        <v>JN28</v>
      </c>
      <c r="AX77" t="str">
        <v>Essay Writing Urdu</v>
      </c>
      <c r="AY77" t="str">
        <v>JUNIOR</v>
      </c>
      <c r="AZ77" t="str">
        <v>Single</v>
      </c>
      <c r="BA77" t="str">
        <v>Stage</v>
      </c>
      <c r="BB77">
        <v>3</v>
      </c>
      <c r="BC77" t="str">
        <v>Individual</v>
      </c>
      <c r="BD77" t="str">
        <v>Individual</v>
      </c>
      <c r="BE77">
        <v>0</v>
      </c>
      <c r="BF77" t="str">
        <v>NOT ENTERED</v>
      </c>
    </row>
    <row r="78" spans="38:58" x14ac:dyDescent="0.45">
      <c r="AL78" t="str">
        <v>A175</v>
      </c>
      <c r="AM78" t="str">
        <v>YOUSUF FAHEEM P</v>
      </c>
      <c r="AN78" t="str">
        <v>B</v>
      </c>
      <c r="AO78" t="str">
        <v>SUB JUNIOR</v>
      </c>
      <c r="AP78">
        <v>2</v>
      </c>
      <c r="AQ78">
        <v>0</v>
      </c>
      <c r="AR78">
        <v>0</v>
      </c>
      <c r="AS78">
        <v>0</v>
      </c>
      <c r="AT78">
        <v>1</v>
      </c>
      <c r="AU78">
        <v>0</v>
      </c>
      <c r="AW78" t="str">
        <v>JN29</v>
      </c>
      <c r="AX78" t="str">
        <v>Essay Writing Arabic</v>
      </c>
      <c r="AY78" t="str">
        <v>JUNIOR</v>
      </c>
      <c r="AZ78" t="str">
        <v>Single</v>
      </c>
      <c r="BA78" t="str">
        <v>Non-Stg</v>
      </c>
      <c r="BB78">
        <v>3</v>
      </c>
      <c r="BC78" t="str">
        <v>Individual</v>
      </c>
      <c r="BD78" t="str">
        <v>Individual</v>
      </c>
      <c r="BE78">
        <v>0</v>
      </c>
      <c r="BF78" t="str">
        <v>NOT ENTERED</v>
      </c>
    </row>
    <row r="79" spans="38:58" x14ac:dyDescent="0.45">
      <c r="AL79" t="str">
        <v>B100</v>
      </c>
      <c r="AM79" t="str">
        <v>ZAINUL ABID K</v>
      </c>
      <c r="AN79" t="str">
        <v>C</v>
      </c>
      <c r="AO79" t="str">
        <v>JUNIOR</v>
      </c>
      <c r="AP79">
        <v>3</v>
      </c>
      <c r="AQ79">
        <v>0</v>
      </c>
      <c r="AR79">
        <v>0</v>
      </c>
      <c r="AS79">
        <v>0</v>
      </c>
      <c r="AT79">
        <v>1</v>
      </c>
      <c r="AU79">
        <v>0</v>
      </c>
      <c r="AW79" t="str">
        <v>JN30</v>
      </c>
      <c r="AX79" t="str">
        <v>Essay Writing Malyalam</v>
      </c>
      <c r="AY79" t="str">
        <v>JUNIOR</v>
      </c>
      <c r="AZ79" t="str">
        <v>Single</v>
      </c>
      <c r="BA79" t="str">
        <v>Stage</v>
      </c>
      <c r="BB79">
        <v>3</v>
      </c>
      <c r="BC79" t="str">
        <v>Individual</v>
      </c>
      <c r="BD79" t="str">
        <v>Individual</v>
      </c>
      <c r="BE79">
        <v>0</v>
      </c>
      <c r="BF79" t="str">
        <v>NOT ENTERED</v>
      </c>
    </row>
    <row r="80" spans="38:58" x14ac:dyDescent="0.45">
      <c r="AL80" t="str">
        <v>B101</v>
      </c>
      <c r="AM80" t="str">
        <v>AHMED AFRAZ MB</v>
      </c>
      <c r="AN80" t="str">
        <v>B</v>
      </c>
      <c r="AO80" t="str">
        <v>JUNIOR</v>
      </c>
      <c r="AP80">
        <v>3</v>
      </c>
      <c r="AQ80">
        <v>0</v>
      </c>
      <c r="AR80">
        <v>0</v>
      </c>
      <c r="AS80">
        <v>0</v>
      </c>
      <c r="AT80">
        <v>1</v>
      </c>
      <c r="AU80">
        <v>0</v>
      </c>
      <c r="AW80" t="str">
        <v>JN31</v>
      </c>
      <c r="AX80" t="str">
        <v>Short Story URD</v>
      </c>
      <c r="AY80" t="str">
        <v>JUNIOR</v>
      </c>
      <c r="AZ80" t="str">
        <v>Single</v>
      </c>
      <c r="BA80" t="str">
        <v>Non-Stg</v>
      </c>
      <c r="BB80">
        <v>3</v>
      </c>
      <c r="BC80" t="str">
        <v>Individual</v>
      </c>
      <c r="BD80" t="str">
        <v>Individual</v>
      </c>
      <c r="BE80">
        <v>0</v>
      </c>
      <c r="BF80" t="str">
        <v>NOT ENTERED</v>
      </c>
    </row>
    <row r="81" spans="38:58" x14ac:dyDescent="0.45">
      <c r="AL81" t="str">
        <v>B102</v>
      </c>
      <c r="AM81" t="str">
        <v>AHMAD MUBASHAR</v>
      </c>
      <c r="AN81" t="str">
        <v>A</v>
      </c>
      <c r="AO81" t="str">
        <v>JUNIOR</v>
      </c>
      <c r="AP81">
        <v>3</v>
      </c>
      <c r="AQ81">
        <v>0</v>
      </c>
      <c r="AR81">
        <v>0</v>
      </c>
      <c r="AS81">
        <v>0</v>
      </c>
      <c r="AT81">
        <v>1</v>
      </c>
      <c r="AU81">
        <v>0</v>
      </c>
      <c r="AW81" t="str">
        <v>JN32</v>
      </c>
      <c r="AX81" t="str">
        <v>Short Story ARB</v>
      </c>
      <c r="AY81" t="str">
        <v>JUNIOR</v>
      </c>
      <c r="AZ81" t="str">
        <v>Single</v>
      </c>
      <c r="BA81" t="str">
        <v>Stage</v>
      </c>
      <c r="BB81">
        <v>3</v>
      </c>
      <c r="BC81" t="str">
        <v>Individual</v>
      </c>
      <c r="BD81" t="str">
        <v>Individual</v>
      </c>
      <c r="BE81">
        <v>0</v>
      </c>
      <c r="BF81" t="str">
        <v>NOT ENTERED</v>
      </c>
    </row>
    <row r="82" spans="38:58" x14ac:dyDescent="0.45">
      <c r="AL82" t="str">
        <v>B103</v>
      </c>
      <c r="AM82" t="str">
        <v>MOHAMMED NAFIH BA</v>
      </c>
      <c r="AN82" t="str">
        <v>C</v>
      </c>
      <c r="AO82" t="str">
        <v>JUNIOR</v>
      </c>
      <c r="AP82">
        <v>3</v>
      </c>
      <c r="AQ82">
        <v>0</v>
      </c>
      <c r="AR82">
        <v>0</v>
      </c>
      <c r="AS82">
        <v>0</v>
      </c>
      <c r="AT82">
        <v>1</v>
      </c>
      <c r="AU82">
        <v>0</v>
      </c>
      <c r="AW82" t="str">
        <v>JN33</v>
      </c>
      <c r="AX82" t="str">
        <v>Short Story ENG</v>
      </c>
      <c r="AY82" t="str">
        <v>JUNIOR</v>
      </c>
      <c r="AZ82" t="str">
        <v>Single</v>
      </c>
      <c r="BA82" t="str">
        <v>Non-Stg</v>
      </c>
      <c r="BB82">
        <v>3</v>
      </c>
      <c r="BC82" t="str">
        <v>Individual</v>
      </c>
      <c r="BD82" t="str">
        <v>Individual</v>
      </c>
      <c r="BE82">
        <v>0</v>
      </c>
      <c r="BF82" t="str">
        <v>NOT ENTERED</v>
      </c>
    </row>
    <row r="83" spans="38:58" x14ac:dyDescent="0.45">
      <c r="AL83" t="str">
        <v>B104</v>
      </c>
      <c r="AM83" t="str">
        <v>FAKRUDDIN NAFIL</v>
      </c>
      <c r="AN83" t="str">
        <v>A</v>
      </c>
      <c r="AO83" t="str">
        <v>JUNIOR</v>
      </c>
      <c r="AP83">
        <v>3</v>
      </c>
      <c r="AQ83">
        <v>0</v>
      </c>
      <c r="AR83">
        <v>0</v>
      </c>
      <c r="AS83">
        <v>0</v>
      </c>
      <c r="AT83">
        <v>1</v>
      </c>
      <c r="AU83">
        <v>0</v>
      </c>
      <c r="AW83" t="str">
        <v>JN34</v>
      </c>
      <c r="AX83" t="str">
        <v>Poem Writing Arabic</v>
      </c>
      <c r="AY83" t="str">
        <v>JUNIOR</v>
      </c>
      <c r="AZ83" t="str">
        <v>Single</v>
      </c>
      <c r="BA83" t="str">
        <v>Stage</v>
      </c>
      <c r="BB83">
        <v>3</v>
      </c>
      <c r="BC83" t="str">
        <v>Individual</v>
      </c>
      <c r="BD83" t="str">
        <v>Individual</v>
      </c>
      <c r="BE83">
        <v>0</v>
      </c>
      <c r="BF83" t="str">
        <v>NOT ENTERED</v>
      </c>
    </row>
    <row r="84" spans="38:58" x14ac:dyDescent="0.45">
      <c r="AL84" t="str">
        <v>B105</v>
      </c>
      <c r="AM84" t="str">
        <v>HASAN THAMMEEM</v>
      </c>
      <c r="AN84" t="str">
        <v>D</v>
      </c>
      <c r="AO84" t="str">
        <v>JUNIOR</v>
      </c>
      <c r="AP84">
        <v>3</v>
      </c>
      <c r="AQ84">
        <v>0</v>
      </c>
      <c r="AR84">
        <v>0</v>
      </c>
      <c r="AS84">
        <v>0</v>
      </c>
      <c r="AT84">
        <v>1</v>
      </c>
      <c r="AU84">
        <v>0</v>
      </c>
      <c r="AW84" t="str">
        <v>JN35</v>
      </c>
      <c r="AX84" t="str">
        <v>Poem Writing English</v>
      </c>
      <c r="AY84" t="str">
        <v>JUNIOR</v>
      </c>
      <c r="AZ84" t="str">
        <v>Single</v>
      </c>
      <c r="BA84" t="str">
        <v>Non-Stg</v>
      </c>
      <c r="BB84">
        <v>3</v>
      </c>
      <c r="BC84" t="str">
        <v>Individual</v>
      </c>
      <c r="BD84" t="str">
        <v>Individual</v>
      </c>
      <c r="BE84">
        <v>0</v>
      </c>
      <c r="BF84" t="str">
        <v>NOT ENTERED</v>
      </c>
    </row>
    <row r="85" spans="38:58" x14ac:dyDescent="0.45">
      <c r="AL85" t="str">
        <v>B106</v>
      </c>
      <c r="AM85" t="str">
        <v>MUHAMMED ROUHAN M.K</v>
      </c>
      <c r="AN85" t="str">
        <v>C</v>
      </c>
      <c r="AO85" t="str">
        <v>JUNIOR</v>
      </c>
      <c r="AP85">
        <v>3</v>
      </c>
      <c r="AQ85">
        <v>0</v>
      </c>
      <c r="AR85">
        <v>0</v>
      </c>
      <c r="AS85">
        <v>0</v>
      </c>
      <c r="AT85">
        <v>1</v>
      </c>
      <c r="AU85">
        <v>0</v>
      </c>
      <c r="AW85" t="str">
        <v>JN36</v>
      </c>
      <c r="AX85" t="str">
        <v>Poem Writing Malayalam</v>
      </c>
      <c r="AY85" t="str">
        <v>JUNIOR</v>
      </c>
      <c r="AZ85" t="str">
        <v>Single</v>
      </c>
      <c r="BA85" t="str">
        <v>Stage</v>
      </c>
      <c r="BB85">
        <v>3</v>
      </c>
      <c r="BC85" t="str">
        <v>Individual</v>
      </c>
      <c r="BD85" t="str">
        <v>Individual</v>
      </c>
      <c r="BE85">
        <v>0</v>
      </c>
      <c r="BF85" t="str">
        <v>NOT ENTERED</v>
      </c>
    </row>
    <row r="86" spans="38:58" x14ac:dyDescent="0.45">
      <c r="AL86" t="str">
        <v>B107</v>
      </c>
      <c r="AM86" t="str">
        <v>MUHAMMED ZAMIL</v>
      </c>
      <c r="AN86" t="str">
        <v>D</v>
      </c>
      <c r="AO86" t="str">
        <v>JUNIOR</v>
      </c>
      <c r="AP86">
        <v>3</v>
      </c>
      <c r="AQ86">
        <v>0</v>
      </c>
      <c r="AR86">
        <v>0</v>
      </c>
      <c r="AS86">
        <v>0</v>
      </c>
      <c r="AT86">
        <v>1</v>
      </c>
      <c r="AU86">
        <v>0</v>
      </c>
      <c r="AW86" t="str">
        <v>JN37</v>
      </c>
      <c r="AX86" t="str">
        <v>Pencil Drawing</v>
      </c>
      <c r="AY86" t="str">
        <v>JUNIOR</v>
      </c>
      <c r="AZ86" t="str">
        <v>Single</v>
      </c>
      <c r="BA86" t="str">
        <v>Non-Stg</v>
      </c>
      <c r="BB86">
        <v>3</v>
      </c>
      <c r="BC86" t="str">
        <v>Individual</v>
      </c>
      <c r="BD86" t="str">
        <v>Individual</v>
      </c>
      <c r="BE86">
        <v>0</v>
      </c>
      <c r="BF86" t="str">
        <v>NOT ENTERED</v>
      </c>
    </row>
    <row r="87" spans="38:58" x14ac:dyDescent="0.45">
      <c r="AL87" t="str">
        <v>B108</v>
      </c>
      <c r="AM87" t="str">
        <v>ABDUL RAHIMAN FAIZ T A</v>
      </c>
      <c r="AN87" t="str">
        <v>D</v>
      </c>
      <c r="AO87" t="str">
        <v>JUNIOR</v>
      </c>
      <c r="AP87">
        <v>3</v>
      </c>
      <c r="AQ87">
        <v>0</v>
      </c>
      <c r="AR87">
        <v>0</v>
      </c>
      <c r="AS87">
        <v>0</v>
      </c>
      <c r="AT87">
        <v>1</v>
      </c>
      <c r="AU87">
        <v>0</v>
      </c>
      <c r="AW87" t="str">
        <v>JN38</v>
      </c>
      <c r="AX87" t="str">
        <v>Memory Test</v>
      </c>
      <c r="AY87" t="str">
        <v>JUNIOR</v>
      </c>
      <c r="AZ87" t="str">
        <v>Single</v>
      </c>
      <c r="BA87" t="str">
        <v>Stage</v>
      </c>
      <c r="BB87">
        <v>3</v>
      </c>
      <c r="BC87" t="str">
        <v>Individual</v>
      </c>
      <c r="BD87" t="str">
        <v>Individual</v>
      </c>
      <c r="BE87">
        <v>0</v>
      </c>
      <c r="BF87" t="str">
        <v>NOT ENTERED</v>
      </c>
    </row>
    <row r="88" spans="38:58" x14ac:dyDescent="0.45">
      <c r="AL88" t="str">
        <v>B109</v>
      </c>
      <c r="AM88" t="str">
        <v>AHAMMED SAFAR ZAKARIYA</v>
      </c>
      <c r="AN88" t="str">
        <v>B</v>
      </c>
      <c r="AO88" t="str">
        <v>JUNIOR</v>
      </c>
      <c r="AP88">
        <v>3</v>
      </c>
      <c r="AQ88">
        <v>0</v>
      </c>
      <c r="AR88">
        <v>0</v>
      </c>
      <c r="AS88">
        <v>0</v>
      </c>
      <c r="AT88">
        <v>1</v>
      </c>
      <c r="AU88">
        <v>0</v>
      </c>
      <c r="AW88" t="str">
        <v>JN39</v>
      </c>
      <c r="AX88" t="str">
        <v>Vocabulary</v>
      </c>
      <c r="AY88" t="str">
        <v>JUNIOR</v>
      </c>
      <c r="AZ88" t="str">
        <v>Single</v>
      </c>
      <c r="BA88" t="str">
        <v>Non-Stg</v>
      </c>
      <c r="BB88">
        <v>3</v>
      </c>
      <c r="BC88" t="str">
        <v>Individual</v>
      </c>
      <c r="BD88" t="str">
        <v>Individual</v>
      </c>
      <c r="BE88">
        <v>0</v>
      </c>
      <c r="BF88" t="str">
        <v>NOT ENTERED</v>
      </c>
    </row>
    <row r="89" spans="38:58" x14ac:dyDescent="0.45">
      <c r="AL89" t="str">
        <v>B110</v>
      </c>
      <c r="AM89" t="str">
        <v>MUHAMMED MUHAZ P A</v>
      </c>
      <c r="AN89" t="str">
        <v>B</v>
      </c>
      <c r="AO89" t="str">
        <v>JUNIOR</v>
      </c>
      <c r="AP89">
        <v>3</v>
      </c>
      <c r="AQ89">
        <v>0</v>
      </c>
      <c r="AR89">
        <v>0</v>
      </c>
      <c r="AS89">
        <v>0</v>
      </c>
      <c r="AT89">
        <v>1</v>
      </c>
      <c r="AU89">
        <v>0</v>
      </c>
      <c r="AW89" t="str">
        <v>JN40</v>
      </c>
      <c r="AX89" t="str">
        <v>Dictionary Making Arabic</v>
      </c>
      <c r="AY89" t="str">
        <v>JUNIOR</v>
      </c>
      <c r="AZ89" t="str">
        <v>Single</v>
      </c>
      <c r="BA89" t="str">
        <v>Stage</v>
      </c>
      <c r="BB89">
        <v>3</v>
      </c>
      <c r="BC89" t="str">
        <v>Individual</v>
      </c>
      <c r="BD89" t="str">
        <v>Individual</v>
      </c>
      <c r="BE89">
        <v>0</v>
      </c>
      <c r="BF89" t="str">
        <v>NOT ENTERED</v>
      </c>
    </row>
    <row r="90" spans="38:58" x14ac:dyDescent="0.45">
      <c r="AL90" t="str">
        <v>B111</v>
      </c>
      <c r="AM90" t="str">
        <v>MUHAMMED SAHEEM ASHRAF</v>
      </c>
      <c r="AN90" t="str">
        <v>A</v>
      </c>
      <c r="AO90" t="str">
        <v>JUNIOR</v>
      </c>
      <c r="AP90">
        <v>3</v>
      </c>
      <c r="AQ90">
        <v>0</v>
      </c>
      <c r="AR90">
        <v>0</v>
      </c>
      <c r="AS90">
        <v>0</v>
      </c>
      <c r="AT90">
        <v>1</v>
      </c>
      <c r="AU90">
        <v>0</v>
      </c>
      <c r="AW90" t="str">
        <v>JN41</v>
      </c>
      <c r="AX90" t="str">
        <v>Su Do Ku</v>
      </c>
      <c r="AY90" t="str">
        <v>JUNIOR</v>
      </c>
      <c r="AZ90" t="str">
        <v>Single</v>
      </c>
      <c r="BA90" t="str">
        <v>Non-Stg</v>
      </c>
      <c r="BB90">
        <v>3</v>
      </c>
      <c r="BC90" t="str">
        <v>Individual</v>
      </c>
      <c r="BD90" t="str">
        <v>Individual</v>
      </c>
      <c r="BE90">
        <v>0</v>
      </c>
      <c r="BF90" t="str">
        <v>NOT ENTERED</v>
      </c>
    </row>
    <row r="91" spans="38:58" x14ac:dyDescent="0.45">
      <c r="AL91" t="str">
        <v>B112</v>
      </c>
      <c r="AM91" t="str">
        <v>SHARAZ AHAMMED</v>
      </c>
      <c r="AN91" t="str">
        <v>A</v>
      </c>
      <c r="AO91" t="str">
        <v>JUNIOR</v>
      </c>
      <c r="AP91">
        <v>3</v>
      </c>
      <c r="AQ91">
        <v>0</v>
      </c>
      <c r="AR91">
        <v>0</v>
      </c>
      <c r="AS91">
        <v>0</v>
      </c>
      <c r="AT91">
        <v>1</v>
      </c>
      <c r="AU91">
        <v>0</v>
      </c>
      <c r="AW91" t="str">
        <v>JN42</v>
      </c>
      <c r="AX91" t="str">
        <v>Calligraphy</v>
      </c>
      <c r="AY91" t="str">
        <v>JUNIOR</v>
      </c>
      <c r="AZ91" t="str">
        <v>Single</v>
      </c>
      <c r="BA91" t="str">
        <v>Stage</v>
      </c>
      <c r="BB91">
        <v>3</v>
      </c>
      <c r="BC91" t="str">
        <v>Individual</v>
      </c>
      <c r="BD91" t="str">
        <v>Individual</v>
      </c>
      <c r="BE91">
        <v>0</v>
      </c>
      <c r="BF91" t="str">
        <v>NOT ENTERED</v>
      </c>
    </row>
    <row r="92" spans="38:58" x14ac:dyDescent="0.45">
      <c r="AL92" t="str">
        <v>B113</v>
      </c>
      <c r="AM92" t="str">
        <v>MUHAMMED IHTHISHAM P I</v>
      </c>
      <c r="AN92" t="str">
        <v>C</v>
      </c>
      <c r="AO92" t="str">
        <v>JUNIOR</v>
      </c>
      <c r="AP92">
        <v>3</v>
      </c>
      <c r="AQ92">
        <v>0</v>
      </c>
      <c r="AR92">
        <v>0</v>
      </c>
      <c r="AS92">
        <v>0</v>
      </c>
      <c r="AT92">
        <v>1</v>
      </c>
      <c r="AU92">
        <v>0</v>
      </c>
      <c r="AW92" t="str">
        <v>JN43</v>
      </c>
      <c r="AX92" t="str">
        <v>Slogan Making</v>
      </c>
      <c r="AY92" t="str">
        <v>JUNIOR</v>
      </c>
      <c r="AZ92" t="str">
        <v>Single</v>
      </c>
      <c r="BA92" t="str">
        <v>Non-Stg</v>
      </c>
      <c r="BB92">
        <v>3</v>
      </c>
      <c r="BC92" t="str">
        <v>Individual</v>
      </c>
      <c r="BD92" t="str">
        <v>Individual</v>
      </c>
      <c r="BE92">
        <v>0</v>
      </c>
      <c r="BF92" t="str">
        <v>NOT ENTERED</v>
      </c>
    </row>
    <row r="93" spans="38:58" x14ac:dyDescent="0.45">
      <c r="AL93" t="str">
        <v>B114</v>
      </c>
      <c r="AM93" t="str">
        <v>AMEEN RAHMAN MTP</v>
      </c>
      <c r="AN93" t="str">
        <v>B</v>
      </c>
      <c r="AO93" t="str">
        <v>JUNIOR</v>
      </c>
      <c r="AP93">
        <v>3</v>
      </c>
      <c r="AQ93">
        <v>0</v>
      </c>
      <c r="AR93">
        <v>0</v>
      </c>
      <c r="AS93">
        <v>0</v>
      </c>
      <c r="AT93">
        <v>1</v>
      </c>
      <c r="AU93">
        <v>0</v>
      </c>
      <c r="AW93" t="str">
        <v>JN44</v>
      </c>
      <c r="AX93" t="str">
        <v>Short Story MLM</v>
      </c>
      <c r="AY93" t="str">
        <v>JUNIOR</v>
      </c>
      <c r="AZ93" t="str">
        <v>Single</v>
      </c>
      <c r="BA93" t="str">
        <v>Stage</v>
      </c>
      <c r="BB93">
        <v>3</v>
      </c>
      <c r="BC93" t="str">
        <v>Individual</v>
      </c>
      <c r="BD93" t="str">
        <v>Individual</v>
      </c>
      <c r="BE93">
        <v>0</v>
      </c>
      <c r="BF93" t="str">
        <v>NOT ENTERED</v>
      </c>
    </row>
    <row r="94" spans="38:58" x14ac:dyDescent="0.45">
      <c r="AL94" t="str">
        <v>B115</v>
      </c>
      <c r="AM94" t="str">
        <v>HASSAN SAHAL N A</v>
      </c>
      <c r="AN94" t="str">
        <v>A</v>
      </c>
      <c r="AO94" t="str">
        <v>JUNIOR</v>
      </c>
      <c r="AP94">
        <v>3</v>
      </c>
      <c r="AQ94">
        <v>0</v>
      </c>
      <c r="AR94">
        <v>0</v>
      </c>
      <c r="AS94">
        <v>0</v>
      </c>
      <c r="AT94">
        <v>1</v>
      </c>
      <c r="AU94">
        <v>0</v>
      </c>
      <c r="AW94" t="str">
        <v>JN45</v>
      </c>
      <c r="AX94" t="str">
        <v>News Writing MLM</v>
      </c>
      <c r="AY94" t="str">
        <v>JUNIOR</v>
      </c>
      <c r="AZ94" t="str">
        <v>Single</v>
      </c>
      <c r="BA94" t="str">
        <v>Non-Stg</v>
      </c>
      <c r="BB94">
        <v>3</v>
      </c>
      <c r="BC94" t="str">
        <v>Individual</v>
      </c>
      <c r="BD94" t="str">
        <v>Individual</v>
      </c>
      <c r="BE94">
        <v>0</v>
      </c>
      <c r="BF94" t="str">
        <v>NOT ENTERED</v>
      </c>
    </row>
    <row r="95" spans="38:58" x14ac:dyDescent="0.45">
      <c r="AL95" t="str">
        <v>B116</v>
      </c>
      <c r="AM95" t="str">
        <v>MOHAMMED SABIK BM</v>
      </c>
      <c r="AN95" t="str">
        <v>D</v>
      </c>
      <c r="AO95" t="str">
        <v>JUNIOR</v>
      </c>
      <c r="AP95">
        <v>3</v>
      </c>
      <c r="AQ95">
        <v>0</v>
      </c>
      <c r="AR95">
        <v>0</v>
      </c>
      <c r="AS95">
        <v>0</v>
      </c>
      <c r="AT95">
        <v>1</v>
      </c>
      <c r="AU95">
        <v>0</v>
      </c>
      <c r="AW95" t="str">
        <v>JN46</v>
      </c>
      <c r="AX95" t="str">
        <v>Poster Designing</v>
      </c>
      <c r="AY95" t="str">
        <v>JUNIOR</v>
      </c>
      <c r="AZ95" t="str">
        <v>Single</v>
      </c>
      <c r="BA95" t="str">
        <v>Stage</v>
      </c>
      <c r="BB95">
        <v>3</v>
      </c>
      <c r="BC95" t="str">
        <v>Individual</v>
      </c>
      <c r="BD95" t="str">
        <v>Individual</v>
      </c>
      <c r="BE95">
        <v>0</v>
      </c>
      <c r="BF95" t="str">
        <v>NOT ENTERED</v>
      </c>
    </row>
    <row r="96" spans="38:58" x14ac:dyDescent="0.45">
      <c r="AL96" t="str">
        <v>B117</v>
      </c>
      <c r="AM96" t="str">
        <v>MUHAMMAD SABITH V K P</v>
      </c>
      <c r="AN96" t="str">
        <v>C</v>
      </c>
      <c r="AO96" t="str">
        <v>JUNIOR</v>
      </c>
      <c r="AP96">
        <v>3</v>
      </c>
      <c r="AQ96">
        <v>0</v>
      </c>
      <c r="AR96">
        <v>0</v>
      </c>
      <c r="AS96">
        <v>0</v>
      </c>
      <c r="AT96">
        <v>1</v>
      </c>
      <c r="AU96">
        <v>0</v>
      </c>
      <c r="AW96" t="str">
        <v>JN47</v>
      </c>
      <c r="AX96" t="str">
        <v>Water painting</v>
      </c>
      <c r="AY96" t="str">
        <v>JUNIOR</v>
      </c>
      <c r="AZ96" t="str">
        <v>Single</v>
      </c>
      <c r="BA96" t="str">
        <v>Non-Stg</v>
      </c>
      <c r="BB96">
        <v>3</v>
      </c>
      <c r="BC96" t="str">
        <v>Individual</v>
      </c>
      <c r="BD96" t="str">
        <v>Individual</v>
      </c>
      <c r="BE96">
        <v>0</v>
      </c>
      <c r="BF96" t="str">
        <v>NOT ENTERED</v>
      </c>
    </row>
    <row r="97" spans="38:58" x14ac:dyDescent="0.45">
      <c r="AL97" t="str">
        <v>B118</v>
      </c>
      <c r="AM97" t="str">
        <v>Muhammad Muaaz</v>
      </c>
      <c r="AN97" t="str">
        <v>D</v>
      </c>
      <c r="AO97" t="str">
        <v>JUNIOR</v>
      </c>
      <c r="AP97">
        <v>3</v>
      </c>
      <c r="AQ97">
        <v>0</v>
      </c>
      <c r="AR97">
        <v>0</v>
      </c>
      <c r="AS97">
        <v>0</v>
      </c>
      <c r="AT97">
        <v>1</v>
      </c>
      <c r="AU97">
        <v>0</v>
      </c>
      <c r="AW97" t="str">
        <v>JN48</v>
      </c>
      <c r="AX97" t="str">
        <v>Story Completion</v>
      </c>
      <c r="AY97" t="str">
        <v>JUNIOR</v>
      </c>
      <c r="AZ97" t="str">
        <v>Single</v>
      </c>
      <c r="BA97" t="str">
        <v>Stage</v>
      </c>
      <c r="BB97">
        <v>3</v>
      </c>
      <c r="BC97" t="str">
        <v>Individual</v>
      </c>
      <c r="BD97" t="str">
        <v>Individual</v>
      </c>
      <c r="BE97">
        <v>0</v>
      </c>
      <c r="BF97" t="str">
        <v>NOT ENTERED</v>
      </c>
    </row>
    <row r="98" spans="38:58" x14ac:dyDescent="0.45">
      <c r="AL98" t="str">
        <v>B119</v>
      </c>
      <c r="AM98" t="str">
        <v>ABDUL SA-AD</v>
      </c>
      <c r="AN98" t="str">
        <v>D</v>
      </c>
      <c r="AO98" t="str">
        <v>JUNIOR</v>
      </c>
      <c r="AP98">
        <v>3</v>
      </c>
      <c r="AQ98">
        <v>0</v>
      </c>
      <c r="AR98">
        <v>0</v>
      </c>
      <c r="AS98">
        <v>0</v>
      </c>
      <c r="AT98">
        <v>1</v>
      </c>
      <c r="AU98">
        <v>0</v>
      </c>
      <c r="AW98" t="str">
        <v>JN49</v>
      </c>
      <c r="AX98" t="str">
        <v>MS Paint</v>
      </c>
      <c r="AY98" t="str">
        <v>JUNIOR</v>
      </c>
      <c r="AZ98" t="str">
        <v>Single</v>
      </c>
      <c r="BA98" t="str">
        <v>Non-Stg</v>
      </c>
      <c r="BB98">
        <v>3</v>
      </c>
      <c r="BC98" t="str">
        <v>Individual</v>
      </c>
      <c r="BD98" t="str">
        <v>Individual</v>
      </c>
      <c r="BE98">
        <v>0</v>
      </c>
      <c r="BF98" t="str">
        <v>NOT ENTERED</v>
      </c>
    </row>
    <row r="99" spans="38:58" x14ac:dyDescent="0.45">
      <c r="AL99" t="str">
        <v>B120</v>
      </c>
      <c r="AM99" t="str">
        <v>MOHAMMED RIYAN</v>
      </c>
      <c r="AN99" t="str">
        <v>A</v>
      </c>
      <c r="AO99" t="str">
        <v>JUNIOR</v>
      </c>
      <c r="AP99">
        <v>3</v>
      </c>
      <c r="AQ99">
        <v>0</v>
      </c>
      <c r="AR99">
        <v>0</v>
      </c>
      <c r="AS99">
        <v>0</v>
      </c>
      <c r="AT99">
        <v>1</v>
      </c>
      <c r="AU99">
        <v>0</v>
      </c>
      <c r="AW99" t="str">
        <v>JN50</v>
      </c>
      <c r="AX99" t="str">
        <v>Sentence Translation</v>
      </c>
      <c r="AY99" t="str">
        <v>JUNIOR</v>
      </c>
      <c r="AZ99" t="str">
        <v>Single</v>
      </c>
      <c r="BA99" t="str">
        <v>Stage</v>
      </c>
      <c r="BB99">
        <v>3</v>
      </c>
      <c r="BC99" t="str">
        <v>Individual</v>
      </c>
      <c r="BD99" t="str">
        <v>Individual</v>
      </c>
      <c r="BE99">
        <v>0</v>
      </c>
      <c r="BF99" t="str">
        <v>NOT ENTERED</v>
      </c>
    </row>
    <row r="100" spans="38:58" x14ac:dyDescent="0.45">
      <c r="AL100" t="str">
        <v>B121</v>
      </c>
      <c r="AM100" t="str">
        <v>MOHIDDEEN SHAHSHAD</v>
      </c>
      <c r="AN100" t="str">
        <v>C</v>
      </c>
      <c r="AO100" t="str">
        <v>JUNIOR</v>
      </c>
      <c r="AP100">
        <v>3</v>
      </c>
      <c r="AQ100">
        <v>0</v>
      </c>
      <c r="AR100">
        <v>0</v>
      </c>
      <c r="AS100">
        <v>0</v>
      </c>
      <c r="AT100">
        <v>1</v>
      </c>
      <c r="AU100">
        <v>0</v>
      </c>
      <c r="AW100" t="str">
        <v>JN51</v>
      </c>
      <c r="AX100" t="str">
        <v>Cartoon</v>
      </c>
      <c r="AY100" t="str">
        <v>JUNIOR</v>
      </c>
      <c r="AZ100" t="str">
        <v>Single</v>
      </c>
      <c r="BA100" t="str">
        <v>Non-Stg</v>
      </c>
      <c r="BB100">
        <v>3</v>
      </c>
      <c r="BC100" t="str">
        <v>Individual</v>
      </c>
      <c r="BD100" t="str">
        <v>Individual</v>
      </c>
      <c r="BE100">
        <v>0</v>
      </c>
      <c r="BF100" t="str">
        <v>NOT ENTERED</v>
      </c>
    </row>
    <row r="101" spans="38:58" x14ac:dyDescent="0.45">
      <c r="AL101" t="str">
        <v>B122</v>
      </c>
      <c r="AM101" t="str">
        <v>MUHAMMAD FAYIZ B</v>
      </c>
      <c r="AN101" t="str">
        <v>B</v>
      </c>
      <c r="AO101" t="str">
        <v>JUNIOR</v>
      </c>
      <c r="AP101">
        <v>3</v>
      </c>
      <c r="AQ101">
        <v>0</v>
      </c>
      <c r="AR101">
        <v>0</v>
      </c>
      <c r="AS101">
        <v>0</v>
      </c>
      <c r="AT101">
        <v>1</v>
      </c>
      <c r="AU101">
        <v>0</v>
      </c>
      <c r="AW101" t="str">
        <v>JN52</v>
      </c>
      <c r="AX101" t="str">
        <v>Caption Making</v>
      </c>
      <c r="AY101" t="str">
        <v>JUNIOR</v>
      </c>
      <c r="AZ101" t="str">
        <v>Single</v>
      </c>
      <c r="BA101" t="str">
        <v>Stage</v>
      </c>
      <c r="BB101">
        <v>3</v>
      </c>
      <c r="BC101" t="str">
        <v>Individual</v>
      </c>
      <c r="BD101" t="str">
        <v>Individual</v>
      </c>
      <c r="BE101">
        <v>0</v>
      </c>
      <c r="BF101" t="str">
        <v>NOT ENTERED</v>
      </c>
    </row>
    <row r="102" spans="38:58" x14ac:dyDescent="0.45">
      <c r="AL102" t="str">
        <v>B123</v>
      </c>
      <c r="AM102" t="str">
        <v>MUHAMMED YASEEN</v>
      </c>
      <c r="AN102" t="str">
        <v>A</v>
      </c>
      <c r="AO102" t="str">
        <v>JUNIOR</v>
      </c>
      <c r="AP102">
        <v>3</v>
      </c>
      <c r="AQ102">
        <v>0</v>
      </c>
      <c r="AR102">
        <v>0</v>
      </c>
      <c r="AS102">
        <v>0</v>
      </c>
      <c r="AT102">
        <v>1</v>
      </c>
      <c r="AU102">
        <v>0</v>
      </c>
      <c r="AW102" t="str">
        <v>JN53</v>
      </c>
      <c r="AX102" t="str">
        <v>Instant Children magazine MLM</v>
      </c>
      <c r="AY102" t="str">
        <v>JUNIOR</v>
      </c>
      <c r="AZ102" t="str">
        <v>Group</v>
      </c>
      <c r="BA102" t="str">
        <v>Non-Stg</v>
      </c>
      <c r="BB102">
        <v>3</v>
      </c>
      <c r="BC102" t="str">
        <v>GROUP</v>
      </c>
      <c r="BD102" t="str">
        <v>GROUP</v>
      </c>
      <c r="BE102">
        <v>0</v>
      </c>
      <c r="BF102" t="str">
        <v>NOT ENTERED</v>
      </c>
    </row>
    <row r="103" spans="38:58" x14ac:dyDescent="0.45">
      <c r="AL103" t="str">
        <v>B124</v>
      </c>
      <c r="AM103" t="str">
        <v>MOHAMMED RAED. UA</v>
      </c>
      <c r="AN103" t="str">
        <v>B</v>
      </c>
      <c r="AO103" t="str">
        <v>JUNIOR</v>
      </c>
      <c r="AP103">
        <v>3</v>
      </c>
      <c r="AQ103">
        <v>0</v>
      </c>
      <c r="AR103">
        <v>0</v>
      </c>
      <c r="AS103">
        <v>0</v>
      </c>
      <c r="AT103">
        <v>1</v>
      </c>
      <c r="AU103">
        <v>0</v>
      </c>
      <c r="AW103" t="str">
        <v>JN54</v>
      </c>
      <c r="AX103" t="str">
        <v>Instant Newspaper MLM</v>
      </c>
      <c r="AY103" t="str">
        <v>JUNIOR</v>
      </c>
      <c r="AZ103" t="str">
        <v>Group</v>
      </c>
      <c r="BA103" t="str">
        <v>Stage</v>
      </c>
      <c r="BB103">
        <v>3</v>
      </c>
      <c r="BC103" t="str">
        <v>GROUP</v>
      </c>
      <c r="BD103" t="str">
        <v>GROUP</v>
      </c>
      <c r="BE103">
        <v>0</v>
      </c>
      <c r="BF103" t="str">
        <v>NOT ENTERED</v>
      </c>
    </row>
    <row r="104" spans="38:58" x14ac:dyDescent="0.45">
      <c r="AL104" t="str">
        <v>B125</v>
      </c>
      <c r="AM104" t="str">
        <v>MUHAMMED SHANIFM P</v>
      </c>
      <c r="AN104" t="str">
        <v>B</v>
      </c>
      <c r="AO104" t="str">
        <v>JUNIOR</v>
      </c>
      <c r="AP104">
        <v>3</v>
      </c>
      <c r="AQ104">
        <v>0</v>
      </c>
      <c r="AR104">
        <v>0</v>
      </c>
      <c r="AS104">
        <v>0</v>
      </c>
      <c r="AT104">
        <v>1</v>
      </c>
      <c r="AU104">
        <v>0</v>
      </c>
      <c r="AW104" t="str">
        <v>SN01</v>
      </c>
      <c r="AX104" t="str">
        <v>Quira'ath with Thajveed</v>
      </c>
      <c r="AY104" t="str">
        <v>SENIOR</v>
      </c>
      <c r="AZ104" t="str">
        <v>Single</v>
      </c>
      <c r="BA104" t="str">
        <v>Non-Stg</v>
      </c>
      <c r="BB104">
        <v>3</v>
      </c>
      <c r="BC104" t="str">
        <v>Individual</v>
      </c>
      <c r="BD104" t="str">
        <v>Individual</v>
      </c>
      <c r="BE104">
        <v>0</v>
      </c>
      <c r="BF104" t="str">
        <v>NOT ENTERED</v>
      </c>
    </row>
    <row r="105" spans="38:58" x14ac:dyDescent="0.45">
      <c r="AL105" t="str">
        <v>B126</v>
      </c>
      <c r="AM105" t="str">
        <v>AHAMMED JABIR K H</v>
      </c>
      <c r="AN105" t="str">
        <v>D</v>
      </c>
      <c r="AO105" t="str">
        <v>JUNIOR</v>
      </c>
      <c r="AP105">
        <v>3</v>
      </c>
      <c r="AQ105">
        <v>0</v>
      </c>
      <c r="AR105">
        <v>0</v>
      </c>
      <c r="AS105">
        <v>0</v>
      </c>
      <c r="AT105">
        <v>1</v>
      </c>
      <c r="AU105">
        <v>0</v>
      </c>
      <c r="AW105" t="str">
        <v>SN02</v>
      </c>
      <c r="AX105" t="str">
        <v>Hifz</v>
      </c>
      <c r="AY105" t="str">
        <v>SENIOR</v>
      </c>
      <c r="AZ105" t="str">
        <v>Single</v>
      </c>
      <c r="BA105" t="str">
        <v>Stage</v>
      </c>
      <c r="BB105">
        <v>3</v>
      </c>
      <c r="BC105" t="str">
        <v>Individual</v>
      </c>
      <c r="BD105" t="str">
        <v>Individual</v>
      </c>
      <c r="BE105">
        <v>0</v>
      </c>
      <c r="BF105" t="str">
        <v>NOT ENTERED</v>
      </c>
    </row>
    <row r="106" spans="38:58" x14ac:dyDescent="0.45">
      <c r="AL106" t="str">
        <v>B127</v>
      </c>
      <c r="AM106" t="str">
        <v>THANSEEHU RAHMAN</v>
      </c>
      <c r="AN106" t="str">
        <v>B</v>
      </c>
      <c r="AO106" t="str">
        <v>JUNIOR</v>
      </c>
      <c r="AP106">
        <v>3</v>
      </c>
      <c r="AQ106">
        <v>0</v>
      </c>
      <c r="AR106">
        <v>0</v>
      </c>
      <c r="AS106">
        <v>0</v>
      </c>
      <c r="AT106">
        <v>1</v>
      </c>
      <c r="AU106">
        <v>0</v>
      </c>
      <c r="AW106" t="str">
        <v>SN03</v>
      </c>
      <c r="AX106" t="str">
        <v>Va'az</v>
      </c>
      <c r="AY106" t="str">
        <v>SENIOR</v>
      </c>
      <c r="AZ106" t="str">
        <v>Single</v>
      </c>
      <c r="BA106" t="str">
        <v>Non-Stg</v>
      </c>
      <c r="BB106">
        <v>3</v>
      </c>
      <c r="BC106" t="str">
        <v>Individual</v>
      </c>
      <c r="BD106" t="str">
        <v>Individual</v>
      </c>
      <c r="BE106">
        <v>0</v>
      </c>
      <c r="BF106" t="str">
        <v>NOT ENTERED</v>
      </c>
    </row>
    <row r="107" spans="38:58" x14ac:dyDescent="0.45">
      <c r="AL107" t="str">
        <v>B128</v>
      </c>
      <c r="AM107" t="str">
        <v>MOHAMMED AFNAN</v>
      </c>
      <c r="AN107" t="str">
        <v>C</v>
      </c>
      <c r="AO107" t="str">
        <v>JUNIOR</v>
      </c>
      <c r="AP107">
        <v>3</v>
      </c>
      <c r="AQ107">
        <v>0</v>
      </c>
      <c r="AR107">
        <v>0</v>
      </c>
      <c r="AS107">
        <v>0</v>
      </c>
      <c r="AT107">
        <v>1</v>
      </c>
      <c r="AU107">
        <v>0</v>
      </c>
      <c r="AW107" t="str">
        <v>SN04</v>
      </c>
      <c r="AX107" t="str">
        <v>Speech Arabic</v>
      </c>
      <c r="AY107" t="str">
        <v>SENIOR</v>
      </c>
      <c r="AZ107" t="str">
        <v>Single</v>
      </c>
      <c r="BA107" t="str">
        <v>Stage</v>
      </c>
      <c r="BB107">
        <v>3</v>
      </c>
      <c r="BC107" t="str">
        <v>Individual</v>
      </c>
      <c r="BD107" t="str">
        <v>Individual</v>
      </c>
      <c r="BE107">
        <v>0</v>
      </c>
      <c r="BF107" t="str">
        <v>NOT ENTERED</v>
      </c>
    </row>
    <row r="108" spans="38:58" x14ac:dyDescent="0.45">
      <c r="AL108" t="str">
        <v>B129</v>
      </c>
      <c r="AM108" t="str">
        <v>MOHAMMED SABITH KU</v>
      </c>
      <c r="AN108" t="str">
        <v>A</v>
      </c>
      <c r="AO108" t="str">
        <v>JUNIOR</v>
      </c>
      <c r="AP108">
        <v>3</v>
      </c>
      <c r="AQ108">
        <v>0</v>
      </c>
      <c r="AR108">
        <v>0</v>
      </c>
      <c r="AS108">
        <v>0</v>
      </c>
      <c r="AT108">
        <v>1</v>
      </c>
      <c r="AU108">
        <v>0</v>
      </c>
      <c r="AW108" t="str">
        <v>SN05</v>
      </c>
      <c r="AX108" t="str">
        <v>Speech Urdu</v>
      </c>
      <c r="AY108" t="str">
        <v>SENIOR</v>
      </c>
      <c r="AZ108" t="str">
        <v>Single</v>
      </c>
      <c r="BA108" t="str">
        <v>Non-Stg</v>
      </c>
      <c r="BB108">
        <v>3</v>
      </c>
      <c r="BC108" t="str">
        <v>Individual</v>
      </c>
      <c r="BD108" t="str">
        <v>Individual</v>
      </c>
      <c r="BE108">
        <v>0</v>
      </c>
      <c r="BF108" t="str">
        <v>NOT ENTERED</v>
      </c>
    </row>
    <row r="109" spans="38:58" x14ac:dyDescent="0.45">
      <c r="AL109" t="str">
        <v>B130</v>
      </c>
      <c r="AM109" t="str">
        <v>HAFIL ADIL AMANULLAH K K</v>
      </c>
      <c r="AN109" t="str">
        <v>A</v>
      </c>
      <c r="AO109" t="str">
        <v>JUNIOR</v>
      </c>
      <c r="AP109">
        <v>3</v>
      </c>
      <c r="AQ109">
        <v>0</v>
      </c>
      <c r="AR109">
        <v>0</v>
      </c>
      <c r="AS109">
        <v>0</v>
      </c>
      <c r="AT109">
        <v>1</v>
      </c>
      <c r="AU109">
        <v>0</v>
      </c>
      <c r="AW109" t="str">
        <v>SN06</v>
      </c>
      <c r="AX109" t="str">
        <v>Speech English</v>
      </c>
      <c r="AY109" t="str">
        <v>SENIOR</v>
      </c>
      <c r="AZ109" t="str">
        <v>Single</v>
      </c>
      <c r="BA109" t="str">
        <v>Stage</v>
      </c>
      <c r="BB109">
        <v>3</v>
      </c>
      <c r="BC109" t="str">
        <v>Individual</v>
      </c>
      <c r="BD109" t="str">
        <v>Individual</v>
      </c>
      <c r="BE109">
        <v>0</v>
      </c>
      <c r="BF109" t="str">
        <v>NOT ENTERED</v>
      </c>
    </row>
    <row r="110" spans="38:58" x14ac:dyDescent="0.45">
      <c r="AL110" t="str">
        <v>B131</v>
      </c>
      <c r="AM110" t="str">
        <v>MUHAMMED BASSIM. E</v>
      </c>
      <c r="AN110" t="str">
        <v>D</v>
      </c>
      <c r="AO110" t="str">
        <v>JUNIOR</v>
      </c>
      <c r="AP110">
        <v>3</v>
      </c>
      <c r="AQ110">
        <v>0</v>
      </c>
      <c r="AR110">
        <v>0</v>
      </c>
      <c r="AS110">
        <v>0</v>
      </c>
      <c r="AT110">
        <v>1</v>
      </c>
      <c r="AU110">
        <v>0</v>
      </c>
      <c r="AW110" t="str">
        <v>SN07</v>
      </c>
      <c r="AX110" t="str">
        <v>Extempore Malayalam</v>
      </c>
      <c r="AY110" t="str">
        <v>SENIOR</v>
      </c>
      <c r="AZ110" t="str">
        <v>Single</v>
      </c>
      <c r="BA110" t="str">
        <v>Non-Stg</v>
      </c>
      <c r="BB110">
        <v>3</v>
      </c>
      <c r="BC110" t="str">
        <v>Individual</v>
      </c>
      <c r="BD110" t="str">
        <v>Individual</v>
      </c>
      <c r="BE110">
        <v>0</v>
      </c>
      <c r="BF110" t="str">
        <v>NOT ENTERED</v>
      </c>
    </row>
    <row r="111" spans="38:58" x14ac:dyDescent="0.45">
      <c r="AL111" t="str">
        <v>B132</v>
      </c>
      <c r="AM111" t="str">
        <v>MUHAMMED SAEED THUFAIL</v>
      </c>
      <c r="AN111" t="str">
        <v>B</v>
      </c>
      <c r="AO111" t="str">
        <v>JUNIOR</v>
      </c>
      <c r="AP111">
        <v>3</v>
      </c>
      <c r="AQ111">
        <v>0</v>
      </c>
      <c r="AR111">
        <v>0</v>
      </c>
      <c r="AS111">
        <v>0</v>
      </c>
      <c r="AT111">
        <v>1</v>
      </c>
      <c r="AU111">
        <v>0</v>
      </c>
      <c r="AW111" t="str">
        <v>SN08</v>
      </c>
      <c r="AX111" t="str">
        <v>Qissapaattu</v>
      </c>
      <c r="AY111" t="str">
        <v>SENIOR</v>
      </c>
      <c r="AZ111" t="str">
        <v>Single</v>
      </c>
      <c r="BA111" t="str">
        <v>Stage</v>
      </c>
      <c r="BB111">
        <v>3</v>
      </c>
      <c r="BC111" t="str">
        <v>Individual</v>
      </c>
      <c r="BD111" t="str">
        <v>Individual</v>
      </c>
      <c r="BE111">
        <v>0</v>
      </c>
      <c r="BF111" t="str">
        <v>NOT ENTERED</v>
      </c>
    </row>
    <row r="112" spans="38:58" x14ac:dyDescent="0.45">
      <c r="AL112" t="str">
        <v>B133</v>
      </c>
      <c r="AM112" t="str">
        <v>MEERAN MOHIUDHEEN RAFIH</v>
      </c>
      <c r="AN112" t="str">
        <v>D</v>
      </c>
      <c r="AO112" t="str">
        <v>JUNIOR</v>
      </c>
      <c r="AP112">
        <v>3</v>
      </c>
      <c r="AQ112">
        <v>0</v>
      </c>
      <c r="AR112">
        <v>0</v>
      </c>
      <c r="AS112">
        <v>0</v>
      </c>
      <c r="AT112">
        <v>1</v>
      </c>
      <c r="AU112">
        <v>0</v>
      </c>
      <c r="AW112" t="str">
        <v>SN09</v>
      </c>
      <c r="AX112" t="str">
        <v>Song Urdu</v>
      </c>
      <c r="AY112" t="str">
        <v>SENIOR</v>
      </c>
      <c r="AZ112" t="str">
        <v>Single</v>
      </c>
      <c r="BA112" t="str">
        <v>Non-Stg</v>
      </c>
      <c r="BB112">
        <v>3</v>
      </c>
      <c r="BC112" t="str">
        <v>Individual</v>
      </c>
      <c r="BD112" t="str">
        <v>Individual</v>
      </c>
      <c r="BE112">
        <v>0</v>
      </c>
      <c r="BF112" t="str">
        <v>NOT ENTERED</v>
      </c>
    </row>
    <row r="113" spans="38:58" x14ac:dyDescent="0.45">
      <c r="AL113" t="str">
        <v>B134</v>
      </c>
      <c r="AM113" t="str">
        <v>ABDUL RAHIMAN AZAAN</v>
      </c>
      <c r="AN113" t="str">
        <v>D</v>
      </c>
      <c r="AO113" t="str">
        <v>JUNIOR</v>
      </c>
      <c r="AP113">
        <v>3</v>
      </c>
      <c r="AQ113">
        <v>0</v>
      </c>
      <c r="AR113">
        <v>0</v>
      </c>
      <c r="AS113">
        <v>0</v>
      </c>
      <c r="AT113">
        <v>1</v>
      </c>
      <c r="AU113">
        <v>0</v>
      </c>
      <c r="AW113" t="str">
        <v>SN10</v>
      </c>
      <c r="AX113" t="str">
        <v>Nasheed Arabic</v>
      </c>
      <c r="AY113" t="str">
        <v>SENIOR</v>
      </c>
      <c r="AZ113" t="str">
        <v>Single</v>
      </c>
      <c r="BA113" t="str">
        <v>Stage</v>
      </c>
      <c r="BB113">
        <v>3</v>
      </c>
      <c r="BC113" t="str">
        <v>Individual</v>
      </c>
      <c r="BD113" t="str">
        <v>Individual</v>
      </c>
      <c r="BE113">
        <v>0</v>
      </c>
      <c r="BF113" t="str">
        <v>NOT ENTERED</v>
      </c>
    </row>
    <row r="114" spans="38:58" x14ac:dyDescent="0.45">
      <c r="AL114" t="str">
        <v>B135</v>
      </c>
      <c r="AM114" t="str">
        <v>MOHAMMED RAFIH M R</v>
      </c>
      <c r="AN114" t="str">
        <v>A</v>
      </c>
      <c r="AO114" t="str">
        <v>JUNIOR</v>
      </c>
      <c r="AP114">
        <v>3</v>
      </c>
      <c r="AQ114">
        <v>0</v>
      </c>
      <c r="AR114">
        <v>0</v>
      </c>
      <c r="AS114">
        <v>0</v>
      </c>
      <c r="AT114">
        <v>1</v>
      </c>
      <c r="AU114">
        <v>0</v>
      </c>
      <c r="AW114" t="str">
        <v>SN11</v>
      </c>
      <c r="AX114" t="str">
        <v>Song English</v>
      </c>
      <c r="AY114" t="str">
        <v>SENIOR</v>
      </c>
      <c r="AZ114" t="str">
        <v>Single</v>
      </c>
      <c r="BA114" t="str">
        <v>Non-Stg</v>
      </c>
      <c r="BB114">
        <v>3</v>
      </c>
      <c r="BC114" t="str">
        <v>Individual</v>
      </c>
      <c r="BD114" t="str">
        <v>Individual</v>
      </c>
      <c r="BE114">
        <v>0</v>
      </c>
      <c r="BF114" t="str">
        <v>NOT ENTERED</v>
      </c>
    </row>
    <row r="115" spans="38:58" x14ac:dyDescent="0.45">
      <c r="AL115" t="str">
        <v>B136</v>
      </c>
      <c r="AM115" t="str">
        <v>MUHAMMAD MIJVAD K</v>
      </c>
      <c r="AN115" t="str">
        <v>C</v>
      </c>
      <c r="AO115" t="str">
        <v>JUNIOR</v>
      </c>
      <c r="AP115">
        <v>3</v>
      </c>
      <c r="AQ115">
        <v>0</v>
      </c>
      <c r="AR115">
        <v>0</v>
      </c>
      <c r="AS115">
        <v>0</v>
      </c>
      <c r="AT115">
        <v>1</v>
      </c>
      <c r="AU115">
        <v>0</v>
      </c>
      <c r="AW115" t="str">
        <v>SN12</v>
      </c>
      <c r="AX115" t="str">
        <v>Math Talent</v>
      </c>
      <c r="AY115" t="str">
        <v>SENIOR</v>
      </c>
      <c r="AZ115" t="str">
        <v>Single</v>
      </c>
      <c r="BA115" t="str">
        <v>Stage</v>
      </c>
      <c r="BB115">
        <v>3</v>
      </c>
      <c r="BC115" t="str">
        <v>Individual</v>
      </c>
      <c r="BD115" t="str">
        <v>Individual</v>
      </c>
      <c r="BE115">
        <v>0</v>
      </c>
      <c r="BF115" t="str">
        <v>NOT ENTERED</v>
      </c>
    </row>
    <row r="116" spans="38:58" x14ac:dyDescent="0.45">
      <c r="AL116" t="str">
        <v>B137</v>
      </c>
      <c r="AM116" t="str">
        <v>MOHAMMAD IJAN</v>
      </c>
      <c r="AN116" t="str">
        <v>C</v>
      </c>
      <c r="AO116" t="str">
        <v>JUNIOR</v>
      </c>
      <c r="AP116">
        <v>3</v>
      </c>
      <c r="AQ116">
        <v>0</v>
      </c>
      <c r="AR116">
        <v>0</v>
      </c>
      <c r="AS116">
        <v>0</v>
      </c>
      <c r="AT116">
        <v>1</v>
      </c>
      <c r="AU116">
        <v>0</v>
      </c>
      <c r="AW116" t="str">
        <v>SN13</v>
      </c>
      <c r="AX116" t="str">
        <v>GK Talent</v>
      </c>
      <c r="AY116" t="str">
        <v>SENIOR</v>
      </c>
      <c r="AZ116" t="str">
        <v>Single</v>
      </c>
      <c r="BA116" t="str">
        <v>Non-Stg</v>
      </c>
      <c r="BB116">
        <v>3</v>
      </c>
      <c r="BC116" t="str">
        <v>Individual</v>
      </c>
      <c r="BD116" t="str">
        <v>Individual</v>
      </c>
      <c r="BE116">
        <v>0</v>
      </c>
      <c r="BF116" t="str">
        <v>NOT ENTERED</v>
      </c>
    </row>
    <row r="117" spans="38:58" x14ac:dyDescent="0.45">
      <c r="AL117" t="str">
        <v>B138</v>
      </c>
      <c r="AM117" t="str">
        <v>HABEEB RAHMAN CA</v>
      </c>
      <c r="AN117" t="str">
        <v>C</v>
      </c>
      <c r="AO117" t="str">
        <v>JUNIOR</v>
      </c>
      <c r="AP117">
        <v>3</v>
      </c>
      <c r="AQ117">
        <v>0</v>
      </c>
      <c r="AR117">
        <v>0</v>
      </c>
      <c r="AS117">
        <v>0</v>
      </c>
      <c r="AT117">
        <v>1</v>
      </c>
      <c r="AU117">
        <v>0</v>
      </c>
      <c r="AW117" t="str">
        <v>SN14</v>
      </c>
      <c r="AX117" t="str">
        <v>Song Composing &amp; Recitation</v>
      </c>
      <c r="AY117" t="str">
        <v>SENIOR</v>
      </c>
      <c r="AZ117" t="str">
        <v>Single</v>
      </c>
      <c r="BA117" t="str">
        <v>Stage</v>
      </c>
      <c r="BB117">
        <v>3</v>
      </c>
      <c r="BC117" t="str">
        <v>Individual</v>
      </c>
      <c r="BD117" t="str">
        <v>Individual</v>
      </c>
      <c r="BE117">
        <v>0</v>
      </c>
      <c r="BF117" t="str">
        <v>NOT ENTERED</v>
      </c>
    </row>
    <row r="118" spans="38:58" x14ac:dyDescent="0.45">
      <c r="AL118" t="str">
        <v>B139</v>
      </c>
      <c r="AM118" t="str">
        <v>Muhammad</v>
      </c>
      <c r="AN118" t="str">
        <v>B</v>
      </c>
      <c r="AO118" t="str">
        <v>JUNIOR</v>
      </c>
      <c r="AP118">
        <v>3</v>
      </c>
      <c r="AQ118">
        <v>0</v>
      </c>
      <c r="AR118">
        <v>0</v>
      </c>
      <c r="AS118">
        <v>0</v>
      </c>
      <c r="AT118">
        <v>1</v>
      </c>
      <c r="AU118">
        <v>0</v>
      </c>
      <c r="AW118" t="str">
        <v>SN15</v>
      </c>
      <c r="AX118" t="str">
        <v>Science master</v>
      </c>
      <c r="AY118" t="str">
        <v>SENIOR</v>
      </c>
      <c r="AZ118" t="str">
        <v>Single</v>
      </c>
      <c r="BA118" t="str">
        <v>Non-Stg</v>
      </c>
      <c r="BB118">
        <v>3</v>
      </c>
      <c r="BC118" t="str">
        <v>Individual</v>
      </c>
      <c r="BD118" t="str">
        <v>Individual</v>
      </c>
      <c r="BE118">
        <v>0</v>
      </c>
      <c r="BF118" t="str">
        <v>NOT ENTERED</v>
      </c>
    </row>
    <row r="119" spans="38:58" x14ac:dyDescent="0.45">
      <c r="AL119" t="str">
        <v>B140</v>
      </c>
      <c r="AM119" t="str">
        <v>MOHAMMED SHAHID</v>
      </c>
      <c r="AN119" t="str">
        <v>C</v>
      </c>
      <c r="AO119" t="str">
        <v>JUNIOR</v>
      </c>
      <c r="AP119">
        <v>4</v>
      </c>
      <c r="AQ119">
        <v>0</v>
      </c>
      <c r="AR119">
        <v>0</v>
      </c>
      <c r="AS119">
        <v>0</v>
      </c>
      <c r="AT119">
        <v>1</v>
      </c>
      <c r="AU119">
        <v>0</v>
      </c>
      <c r="AW119" t="str">
        <v>SN16</v>
      </c>
      <c r="AX119" t="str">
        <v>Face to Face English</v>
      </c>
      <c r="AY119" t="str">
        <v>SENIOR</v>
      </c>
      <c r="AZ119" t="str">
        <v>Group</v>
      </c>
      <c r="BA119" t="str">
        <v>Stage</v>
      </c>
      <c r="BB119">
        <v>3</v>
      </c>
      <c r="BC119" t="str">
        <v>GROUP 2</v>
      </c>
      <c r="BD119" t="str">
        <v>GROUP 2</v>
      </c>
      <c r="BE119">
        <v>0</v>
      </c>
      <c r="BF119" t="str">
        <v>NOT ENTERED</v>
      </c>
    </row>
    <row r="120" spans="38:58" x14ac:dyDescent="0.45">
      <c r="AL120" t="str">
        <v>B141</v>
      </c>
      <c r="AM120" t="str">
        <v>RAFNAS P</v>
      </c>
      <c r="AN120" t="str">
        <v>A</v>
      </c>
      <c r="AO120" t="str">
        <v>JUNIOR</v>
      </c>
      <c r="AP120">
        <v>4</v>
      </c>
      <c r="AQ120">
        <v>0</v>
      </c>
      <c r="AR120">
        <v>0</v>
      </c>
      <c r="AS120">
        <v>0</v>
      </c>
      <c r="AT120">
        <v>1</v>
      </c>
      <c r="AU120">
        <v>0</v>
      </c>
      <c r="AW120" t="str">
        <v>SN17</v>
      </c>
      <c r="AX120" t="str">
        <v>GD ARB</v>
      </c>
      <c r="AY120" t="str">
        <v>SENIOR</v>
      </c>
      <c r="AZ120" t="str">
        <v>Single</v>
      </c>
      <c r="BA120" t="str">
        <v>Non-Stg</v>
      </c>
      <c r="BB120">
        <v>3</v>
      </c>
      <c r="BC120" t="str">
        <v>Individual</v>
      </c>
      <c r="BD120" t="str">
        <v>Individual</v>
      </c>
      <c r="BE120">
        <v>0</v>
      </c>
      <c r="BF120" t="str">
        <v>NOT ENTERED</v>
      </c>
    </row>
    <row r="121" spans="38:58" x14ac:dyDescent="0.45">
      <c r="AL121" t="str">
        <v>B142</v>
      </c>
      <c r="AM121" t="str">
        <v>MUHAMMED HAMDAN A.P</v>
      </c>
      <c r="AN121" t="str">
        <v>C</v>
      </c>
      <c r="AO121" t="str">
        <v>JUNIOR</v>
      </c>
      <c r="AP121">
        <v>4</v>
      </c>
      <c r="AQ121">
        <v>0</v>
      </c>
      <c r="AR121">
        <v>0</v>
      </c>
      <c r="AS121">
        <v>0</v>
      </c>
      <c r="AT121">
        <v>1</v>
      </c>
      <c r="AU121">
        <v>0</v>
      </c>
      <c r="AW121" t="str">
        <v>SN18</v>
      </c>
      <c r="AX121" t="str">
        <v>Hija'unnahla</v>
      </c>
      <c r="AY121" t="str">
        <v>SENIOR</v>
      </c>
      <c r="AZ121" t="str">
        <v>Single</v>
      </c>
      <c r="BA121" t="str">
        <v>Stage</v>
      </c>
      <c r="BB121">
        <v>3</v>
      </c>
      <c r="BC121" t="str">
        <v>Individual</v>
      </c>
      <c r="BD121" t="str">
        <v>Individual</v>
      </c>
      <c r="BE121">
        <v>0</v>
      </c>
      <c r="BF121" t="str">
        <v>NOT ENTERED</v>
      </c>
    </row>
    <row r="122" spans="38:58" x14ac:dyDescent="0.45">
      <c r="AL122" t="str">
        <v>B143</v>
      </c>
      <c r="AM122" t="str">
        <v>MOHAMMED SHADIL AP</v>
      </c>
      <c r="AN122" t="str">
        <v>A</v>
      </c>
      <c r="AO122" t="str">
        <v>JUNIOR</v>
      </c>
      <c r="AP122">
        <v>4</v>
      </c>
      <c r="AQ122">
        <v>0</v>
      </c>
      <c r="AR122">
        <v>0</v>
      </c>
      <c r="AS122">
        <v>0</v>
      </c>
      <c r="AT122">
        <v>1</v>
      </c>
      <c r="AU122">
        <v>0</v>
      </c>
      <c r="AW122" t="str">
        <v>SN19</v>
      </c>
      <c r="AX122" t="str">
        <v>Padhakshari</v>
      </c>
      <c r="AY122" t="str">
        <v>SENIOR</v>
      </c>
      <c r="AZ122" t="str">
        <v>Single</v>
      </c>
      <c r="BA122" t="str">
        <v>Non-Stg</v>
      </c>
      <c r="BB122">
        <v>3</v>
      </c>
      <c r="BC122" t="str">
        <v>Individual</v>
      </c>
      <c r="BD122" t="str">
        <v>Individual</v>
      </c>
      <c r="BE122">
        <v>0</v>
      </c>
      <c r="BF122" t="str">
        <v>NOT ENTERED</v>
      </c>
    </row>
    <row r="123" spans="38:58" x14ac:dyDescent="0.45">
      <c r="AL123" t="str">
        <v>B144</v>
      </c>
      <c r="AM123" t="str">
        <v>MUHAMMED NAFIH CI</v>
      </c>
      <c r="AN123" t="str">
        <v>A</v>
      </c>
      <c r="AO123" t="str">
        <v>JUNIOR</v>
      </c>
      <c r="AP123">
        <v>4</v>
      </c>
      <c r="AQ123">
        <v>0</v>
      </c>
      <c r="AR123">
        <v>0</v>
      </c>
      <c r="AS123">
        <v>0</v>
      </c>
      <c r="AT123">
        <v>1</v>
      </c>
      <c r="AU123">
        <v>0</v>
      </c>
      <c r="AW123" t="str">
        <v>SN20</v>
      </c>
      <c r="AX123" t="str">
        <v>Geo giant</v>
      </c>
      <c r="AY123" t="str">
        <v>SENIOR</v>
      </c>
      <c r="AZ123" t="str">
        <v>Single</v>
      </c>
      <c r="BA123" t="str">
        <v>Stage</v>
      </c>
      <c r="BB123">
        <v>3</v>
      </c>
      <c r="BC123" t="str">
        <v>Individual</v>
      </c>
      <c r="BD123" t="str">
        <v>Individual</v>
      </c>
      <c r="BE123">
        <v>0</v>
      </c>
      <c r="BF123" t="str">
        <v>NOT ENTERED</v>
      </c>
    </row>
    <row r="124" spans="38:58" x14ac:dyDescent="0.45">
      <c r="AL124" t="str">
        <v>B145</v>
      </c>
      <c r="AM124" t="str">
        <v>YASEEN NOORULLA PH</v>
      </c>
      <c r="AN124" t="str">
        <v>A</v>
      </c>
      <c r="AO124" t="str">
        <v>JUNIOR</v>
      </c>
      <c r="AP124">
        <v>4</v>
      </c>
      <c r="AQ124">
        <v>0</v>
      </c>
      <c r="AR124">
        <v>0</v>
      </c>
      <c r="AS124">
        <v>0</v>
      </c>
      <c r="AT124">
        <v>1</v>
      </c>
      <c r="AU124">
        <v>0</v>
      </c>
      <c r="AW124" t="str">
        <v>SN21</v>
      </c>
      <c r="AX124" t="str">
        <v>Grammar Talent</v>
      </c>
      <c r="AY124" t="str">
        <v>SENIOR</v>
      </c>
      <c r="AZ124" t="str">
        <v>Single</v>
      </c>
      <c r="BA124" t="str">
        <v>Non-Stg</v>
      </c>
      <c r="BB124">
        <v>3</v>
      </c>
      <c r="BC124" t="str">
        <v>Individual</v>
      </c>
      <c r="BD124" t="str">
        <v>Individual</v>
      </c>
      <c r="BE124">
        <v>0</v>
      </c>
      <c r="BF124" t="str">
        <v>NOT ENTERED</v>
      </c>
    </row>
    <row r="125" spans="38:58" x14ac:dyDescent="0.45">
      <c r="AL125" t="str">
        <v>B146</v>
      </c>
      <c r="AM125" t="str">
        <v>WASEEM NIHAD A M</v>
      </c>
      <c r="AN125" t="str">
        <v>C</v>
      </c>
      <c r="AO125" t="str">
        <v>JUNIOR</v>
      </c>
      <c r="AP125">
        <v>4</v>
      </c>
      <c r="AQ125">
        <v>0</v>
      </c>
      <c r="AR125">
        <v>0</v>
      </c>
      <c r="AS125">
        <v>0</v>
      </c>
      <c r="AT125">
        <v>1</v>
      </c>
      <c r="AU125">
        <v>0</v>
      </c>
      <c r="AW125" t="str">
        <v>SN22</v>
      </c>
      <c r="AX125" t="str">
        <v>Ashwamedham</v>
      </c>
      <c r="AY125" t="str">
        <v>SENIOR</v>
      </c>
      <c r="AZ125" t="str">
        <v>Single</v>
      </c>
      <c r="BA125" t="str">
        <v>Stage</v>
      </c>
      <c r="BB125">
        <v>3</v>
      </c>
      <c r="BC125" t="str">
        <v>Individual</v>
      </c>
      <c r="BD125" t="str">
        <v>Individual</v>
      </c>
      <c r="BE125">
        <v>0</v>
      </c>
      <c r="BF125" t="str">
        <v>NOT ENTERED</v>
      </c>
    </row>
    <row r="126" spans="38:58" x14ac:dyDescent="0.45">
      <c r="AL126" t="str">
        <v>B147</v>
      </c>
      <c r="AM126" t="str">
        <v>MOHAMMED SHAMEEM B K</v>
      </c>
      <c r="AN126" t="str">
        <v>D</v>
      </c>
      <c r="AO126" t="str">
        <v>JUNIOR</v>
      </c>
      <c r="AP126">
        <v>4</v>
      </c>
      <c r="AQ126">
        <v>0</v>
      </c>
      <c r="AR126">
        <v>0</v>
      </c>
      <c r="AS126">
        <v>0</v>
      </c>
      <c r="AT126">
        <v>1</v>
      </c>
      <c r="AU126">
        <v>0</v>
      </c>
      <c r="AW126" t="str">
        <v>SN23</v>
      </c>
      <c r="AX126" t="str">
        <v>Thahleel al Ibara</v>
      </c>
      <c r="AY126" t="str">
        <v>SENIOR</v>
      </c>
      <c r="AZ126" t="str">
        <v>Single</v>
      </c>
      <c r="BA126" t="str">
        <v>Non-Stg</v>
      </c>
      <c r="BB126">
        <v>3</v>
      </c>
      <c r="BC126" t="str">
        <v>Individual</v>
      </c>
      <c r="BD126" t="str">
        <v>Individual</v>
      </c>
      <c r="BE126">
        <v>0</v>
      </c>
      <c r="BF126" t="str">
        <v>NOT ENTERED</v>
      </c>
    </row>
    <row r="127" spans="38:58" x14ac:dyDescent="0.45">
      <c r="AL127" t="str">
        <v>B148</v>
      </c>
      <c r="AM127" t="str">
        <v>MOHAMMED BAQIR TS</v>
      </c>
      <c r="AN127" t="str">
        <v>D</v>
      </c>
      <c r="AO127" t="str">
        <v>JUNIOR</v>
      </c>
      <c r="AP127">
        <v>4</v>
      </c>
      <c r="AQ127">
        <v>0</v>
      </c>
      <c r="AR127">
        <v>0</v>
      </c>
      <c r="AS127">
        <v>0</v>
      </c>
      <c r="AT127">
        <v>1</v>
      </c>
      <c r="AU127">
        <v>0</v>
      </c>
      <c r="AW127" t="str">
        <v>SN24</v>
      </c>
      <c r="AX127" t="str">
        <v>Teaching</v>
      </c>
      <c r="AY127" t="str">
        <v>SENIOR</v>
      </c>
      <c r="AZ127" t="str">
        <v>Single</v>
      </c>
      <c r="BA127" t="str">
        <v>Stage</v>
      </c>
      <c r="BB127">
        <v>3</v>
      </c>
      <c r="BC127" t="str">
        <v>Individual</v>
      </c>
      <c r="BD127" t="str">
        <v>Individual</v>
      </c>
      <c r="BE127">
        <v>0</v>
      </c>
      <c r="BF127" t="str">
        <v>NOT ENTERED</v>
      </c>
    </row>
    <row r="128" spans="38:58" x14ac:dyDescent="0.45">
      <c r="AL128" t="str">
        <v>B149</v>
      </c>
      <c r="AM128" t="str">
        <v>MUHAMMED FARHAN PH</v>
      </c>
      <c r="AN128" t="str">
        <v>B</v>
      </c>
      <c r="AO128" t="str">
        <v>JUNIOR</v>
      </c>
      <c r="AP128">
        <v>4</v>
      </c>
      <c r="AQ128">
        <v>0</v>
      </c>
      <c r="AR128">
        <v>0</v>
      </c>
      <c r="AS128">
        <v>0</v>
      </c>
      <c r="AT128">
        <v>1</v>
      </c>
      <c r="AU128">
        <v>0</v>
      </c>
      <c r="AW128" t="str">
        <v>SN25</v>
      </c>
      <c r="AX128" t="str">
        <v>Speech and Song malayalam</v>
      </c>
      <c r="AY128" t="str">
        <v>SENIOR</v>
      </c>
      <c r="AZ128" t="str">
        <v>Group</v>
      </c>
      <c r="BA128" t="str">
        <v>Non-Stg</v>
      </c>
      <c r="BB128">
        <v>3</v>
      </c>
      <c r="BC128" t="str">
        <v>GROUP 3</v>
      </c>
      <c r="BD128" t="str">
        <v>GROUP 3</v>
      </c>
      <c r="BE128">
        <v>0</v>
      </c>
      <c r="BF128" t="str">
        <v>NOT ENTERED</v>
      </c>
    </row>
    <row r="129" spans="38:58" x14ac:dyDescent="0.45">
      <c r="AL129" t="str">
        <v>B150</v>
      </c>
      <c r="AM129" t="str">
        <v>ABDULLA FAHAD T.U</v>
      </c>
      <c r="AN129" t="str">
        <v>A</v>
      </c>
      <c r="AO129" t="str">
        <v>JUNIOR</v>
      </c>
      <c r="AP129">
        <v>4</v>
      </c>
      <c r="AQ129">
        <v>0</v>
      </c>
      <c r="AR129">
        <v>0</v>
      </c>
      <c r="AS129">
        <v>0</v>
      </c>
      <c r="AT129">
        <v>1</v>
      </c>
      <c r="AU129">
        <v>0</v>
      </c>
      <c r="AW129" t="str">
        <v>SN26</v>
      </c>
      <c r="AX129" t="str">
        <v>Mashup</v>
      </c>
      <c r="AY129" t="str">
        <v>SENIOR</v>
      </c>
      <c r="AZ129" t="str">
        <v>Group</v>
      </c>
      <c r="BA129" t="str">
        <v>Stage</v>
      </c>
      <c r="BB129">
        <v>3</v>
      </c>
      <c r="BC129" t="str">
        <v>GROUP 3</v>
      </c>
      <c r="BD129" t="str">
        <v>GROUP 3</v>
      </c>
      <c r="BE129">
        <v>0</v>
      </c>
      <c r="BF129" t="str">
        <v>NOT ENTERED</v>
      </c>
    </row>
    <row r="130" spans="38:58" x14ac:dyDescent="0.45">
      <c r="AL130" t="str">
        <v>B151</v>
      </c>
      <c r="AM130" t="str">
        <v>ABDUL GAFOOR</v>
      </c>
      <c r="AN130" t="str">
        <v>C</v>
      </c>
      <c r="AO130" t="str">
        <v>JUNIOR</v>
      </c>
      <c r="AP130">
        <v>4</v>
      </c>
      <c r="AQ130">
        <v>0</v>
      </c>
      <c r="AR130">
        <v>0</v>
      </c>
      <c r="AS130">
        <v>0</v>
      </c>
      <c r="AT130">
        <v>1</v>
      </c>
      <c r="AU130">
        <v>0</v>
      </c>
      <c r="AW130" t="str">
        <v>SN27</v>
      </c>
      <c r="AX130" t="str">
        <v>TV News Reading ENG</v>
      </c>
      <c r="AY130" t="str">
        <v>SENIOR</v>
      </c>
      <c r="AZ130" t="str">
        <v>Group</v>
      </c>
      <c r="BA130" t="str">
        <v>Non-Stg</v>
      </c>
      <c r="BB130">
        <v>3</v>
      </c>
      <c r="BC130" t="str">
        <v>GROUP</v>
      </c>
      <c r="BD130" t="str">
        <v>GROUP</v>
      </c>
      <c r="BE130">
        <v>0</v>
      </c>
      <c r="BF130" t="str">
        <v>NOT ENTERED</v>
      </c>
    </row>
    <row r="131" spans="38:58" x14ac:dyDescent="0.45">
      <c r="AL131" t="str">
        <v>B152</v>
      </c>
      <c r="AM131" t="str">
        <v>MUHAMMED MUNAZIR MM</v>
      </c>
      <c r="AN131" t="str">
        <v>D</v>
      </c>
      <c r="AO131" t="str">
        <v>JUNIOR</v>
      </c>
      <c r="AP131">
        <v>4</v>
      </c>
      <c r="AQ131">
        <v>0</v>
      </c>
      <c r="AR131">
        <v>0</v>
      </c>
      <c r="AS131">
        <v>0</v>
      </c>
      <c r="AT131">
        <v>1</v>
      </c>
      <c r="AU131">
        <v>0</v>
      </c>
      <c r="AW131" t="str">
        <v>SN28</v>
      </c>
      <c r="AX131" t="str">
        <v>Essay Writing Arabic</v>
      </c>
      <c r="AY131" t="str">
        <v>SENIOR</v>
      </c>
      <c r="AZ131" t="str">
        <v>Single</v>
      </c>
      <c r="BA131" t="str">
        <v>Stage</v>
      </c>
      <c r="BB131">
        <v>3</v>
      </c>
      <c r="BC131" t="str">
        <v>Individual</v>
      </c>
      <c r="BD131" t="str">
        <v>Individual</v>
      </c>
      <c r="BE131">
        <v>0</v>
      </c>
      <c r="BF131" t="str">
        <v>NOT ENTERED</v>
      </c>
    </row>
    <row r="132" spans="38:58" x14ac:dyDescent="0.45">
      <c r="AL132" t="str">
        <v>B153</v>
      </c>
      <c r="AM132" t="str">
        <v>ABDUL KHADER ISHAQUE</v>
      </c>
      <c r="AN132" t="str">
        <v>C</v>
      </c>
      <c r="AO132" t="str">
        <v>JUNIOR</v>
      </c>
      <c r="AP132">
        <v>4</v>
      </c>
      <c r="AQ132">
        <v>0</v>
      </c>
      <c r="AR132">
        <v>0</v>
      </c>
      <c r="AS132">
        <v>0</v>
      </c>
      <c r="AT132">
        <v>1</v>
      </c>
      <c r="AU132">
        <v>0</v>
      </c>
      <c r="AW132" t="str">
        <v>SN29</v>
      </c>
      <c r="AX132" t="str">
        <v>Essay Writing Urdu</v>
      </c>
      <c r="AY132" t="str">
        <v>SENIOR</v>
      </c>
      <c r="AZ132" t="str">
        <v>Single</v>
      </c>
      <c r="BA132" t="str">
        <v>Non-Stg</v>
      </c>
      <c r="BB132">
        <v>3</v>
      </c>
      <c r="BC132" t="str">
        <v>Individual</v>
      </c>
      <c r="BD132" t="str">
        <v>Individual</v>
      </c>
      <c r="BE132">
        <v>0</v>
      </c>
      <c r="BF132" t="str">
        <v>NOT ENTERED</v>
      </c>
    </row>
    <row r="133" spans="38:58" x14ac:dyDescent="0.45">
      <c r="AL133" t="str">
        <v>B154</v>
      </c>
      <c r="AM133" t="str">
        <v>ABDULLA ALBAS</v>
      </c>
      <c r="AN133" t="str">
        <v>B</v>
      </c>
      <c r="AO133" t="str">
        <v>JUNIOR</v>
      </c>
      <c r="AP133">
        <v>4</v>
      </c>
      <c r="AQ133">
        <v>0</v>
      </c>
      <c r="AR133">
        <v>0</v>
      </c>
      <c r="AS133">
        <v>0</v>
      </c>
      <c r="AT133">
        <v>1</v>
      </c>
      <c r="AU133">
        <v>0</v>
      </c>
      <c r="AW133" t="str">
        <v>SN30</v>
      </c>
      <c r="AX133" t="str">
        <v>Essay Writing English</v>
      </c>
      <c r="AY133" t="str">
        <v>SENIOR</v>
      </c>
      <c r="AZ133" t="str">
        <v>Single</v>
      </c>
      <c r="BA133" t="str">
        <v>Stage</v>
      </c>
      <c r="BB133">
        <v>3</v>
      </c>
      <c r="BC133" t="str">
        <v>Individual</v>
      </c>
      <c r="BD133" t="str">
        <v>Individual</v>
      </c>
      <c r="BE133">
        <v>0</v>
      </c>
      <c r="BF133" t="str">
        <v>NOT ENTERED</v>
      </c>
    </row>
    <row r="134" spans="38:58" x14ac:dyDescent="0.45">
      <c r="AL134" t="str">
        <v>B155</v>
      </c>
      <c r="AM134" t="str">
        <v>MUHAMMED A</v>
      </c>
      <c r="AN134" t="str">
        <v>B</v>
      </c>
      <c r="AO134" t="str">
        <v>JUNIOR</v>
      </c>
      <c r="AP134">
        <v>4</v>
      </c>
      <c r="AQ134">
        <v>0</v>
      </c>
      <c r="AR134">
        <v>0</v>
      </c>
      <c r="AS134">
        <v>0</v>
      </c>
      <c r="AT134">
        <v>1</v>
      </c>
      <c r="AU134">
        <v>0</v>
      </c>
      <c r="AW134" t="str">
        <v>SN31</v>
      </c>
      <c r="AX134" t="str">
        <v>Essay Writing Malayalam</v>
      </c>
      <c r="AY134" t="str">
        <v>SENIOR</v>
      </c>
      <c r="AZ134" t="str">
        <v>Single</v>
      </c>
      <c r="BA134" t="str">
        <v>Non-Stg</v>
      </c>
      <c r="BB134">
        <v>3</v>
      </c>
      <c r="BC134" t="str">
        <v>Individual</v>
      </c>
      <c r="BD134" t="str">
        <v>Individual</v>
      </c>
      <c r="BE134">
        <v>0</v>
      </c>
      <c r="BF134" t="str">
        <v>NOT ENTERED</v>
      </c>
    </row>
    <row r="135" spans="38:58" x14ac:dyDescent="0.45">
      <c r="AL135" t="str">
        <v>B156</v>
      </c>
      <c r="AM135" t="str">
        <v>MOHAMMED ANAS A.A</v>
      </c>
      <c r="AN135" t="str">
        <v>D</v>
      </c>
      <c r="AO135" t="str">
        <v>JUNIOR</v>
      </c>
      <c r="AP135">
        <v>4</v>
      </c>
      <c r="AQ135">
        <v>0</v>
      </c>
      <c r="AR135">
        <v>0</v>
      </c>
      <c r="AS135">
        <v>0</v>
      </c>
      <c r="AT135">
        <v>1</v>
      </c>
      <c r="AU135">
        <v>0</v>
      </c>
      <c r="AW135" t="str">
        <v>SN32</v>
      </c>
      <c r="AX135" t="str">
        <v>Short Story Writing Arabic</v>
      </c>
      <c r="AY135" t="str">
        <v>SENIOR</v>
      </c>
      <c r="AZ135" t="str">
        <v>Single</v>
      </c>
      <c r="BA135" t="str">
        <v>Stage</v>
      </c>
      <c r="BB135">
        <v>3</v>
      </c>
      <c r="BC135" t="str">
        <v>Individual</v>
      </c>
      <c r="BD135" t="str">
        <v>Individual</v>
      </c>
      <c r="BE135">
        <v>0</v>
      </c>
      <c r="BF135" t="str">
        <v>NOT ENTERED</v>
      </c>
    </row>
    <row r="136" spans="38:58" x14ac:dyDescent="0.45">
      <c r="AL136" t="str">
        <v>B157</v>
      </c>
      <c r="AM136" t="str">
        <v>MUHAMMED MIHRAZ</v>
      </c>
      <c r="AN136" t="str">
        <v>A</v>
      </c>
      <c r="AO136" t="str">
        <v>JUNIOR</v>
      </c>
      <c r="AP136">
        <v>4</v>
      </c>
      <c r="AQ136">
        <v>0</v>
      </c>
      <c r="AR136">
        <v>0</v>
      </c>
      <c r="AS136">
        <v>0</v>
      </c>
      <c r="AT136">
        <v>1</v>
      </c>
      <c r="AU136">
        <v>0</v>
      </c>
      <c r="AW136" t="str">
        <v>SN33</v>
      </c>
      <c r="AX136" t="str">
        <v>Short Story Writing Urdu</v>
      </c>
      <c r="AY136" t="str">
        <v>SENIOR</v>
      </c>
      <c r="AZ136" t="str">
        <v>Single</v>
      </c>
      <c r="BA136" t="str">
        <v>Non-Stg</v>
      </c>
      <c r="BB136">
        <v>3</v>
      </c>
      <c r="BC136" t="str">
        <v>Individual</v>
      </c>
      <c r="BD136" t="str">
        <v>Individual</v>
      </c>
      <c r="BE136">
        <v>0</v>
      </c>
      <c r="BF136" t="str">
        <v>NOT ENTERED</v>
      </c>
    </row>
    <row r="137" spans="38:58" x14ac:dyDescent="0.45">
      <c r="AL137" t="str">
        <v>B158</v>
      </c>
      <c r="AM137" t="str">
        <v>FADIL MOHAMMED K M</v>
      </c>
      <c r="AN137" t="str">
        <v>B</v>
      </c>
      <c r="AO137" t="str">
        <v>JUNIOR</v>
      </c>
      <c r="AP137">
        <v>4</v>
      </c>
      <c r="AQ137">
        <v>0</v>
      </c>
      <c r="AR137">
        <v>0</v>
      </c>
      <c r="AS137">
        <v>0</v>
      </c>
      <c r="AT137">
        <v>1</v>
      </c>
      <c r="AU137">
        <v>0</v>
      </c>
      <c r="AW137" t="str">
        <v>SN34</v>
      </c>
      <c r="AX137" t="str">
        <v>Short story Writing Malayalam</v>
      </c>
      <c r="AY137" t="str">
        <v>SENIOR</v>
      </c>
      <c r="AZ137" t="str">
        <v>Single</v>
      </c>
      <c r="BA137" t="str">
        <v>Stage</v>
      </c>
      <c r="BB137">
        <v>3</v>
      </c>
      <c r="BC137" t="str">
        <v>Individual</v>
      </c>
      <c r="BD137" t="str">
        <v>Individual</v>
      </c>
      <c r="BE137">
        <v>0</v>
      </c>
      <c r="BF137" t="str">
        <v>NOT ENTERED</v>
      </c>
    </row>
    <row r="138" spans="38:58" x14ac:dyDescent="0.45">
      <c r="AL138" t="str">
        <v>B159</v>
      </c>
      <c r="AM138" t="str">
        <v>AJMAL AHMED MT</v>
      </c>
      <c r="AN138" t="str">
        <v>B</v>
      </c>
      <c r="AO138" t="str">
        <v>JUNIOR</v>
      </c>
      <c r="AP138">
        <v>4</v>
      </c>
      <c r="AQ138">
        <v>0</v>
      </c>
      <c r="AR138">
        <v>0</v>
      </c>
      <c r="AS138">
        <v>0</v>
      </c>
      <c r="AT138">
        <v>1</v>
      </c>
      <c r="AU138">
        <v>0</v>
      </c>
      <c r="AW138" t="str">
        <v>SN35</v>
      </c>
      <c r="AX138" t="str">
        <v>Short Story Writing English</v>
      </c>
      <c r="AY138" t="str">
        <v>SENIOR</v>
      </c>
      <c r="AZ138" t="str">
        <v>Single</v>
      </c>
      <c r="BA138" t="str">
        <v>Non-Stg</v>
      </c>
      <c r="BB138">
        <v>3</v>
      </c>
      <c r="BC138" t="str">
        <v>Individual</v>
      </c>
      <c r="BD138" t="str">
        <v>Individual</v>
      </c>
      <c r="BE138">
        <v>0</v>
      </c>
      <c r="BF138" t="str">
        <v>NOT ENTERED</v>
      </c>
    </row>
    <row r="139" spans="38:58" x14ac:dyDescent="0.45">
      <c r="AL139" t="str">
        <v>B160</v>
      </c>
      <c r="AM139" t="str">
        <v>MOHAMMED DAWOOD K</v>
      </c>
      <c r="AN139" t="str">
        <v>D</v>
      </c>
      <c r="AO139" t="str">
        <v>JUNIOR</v>
      </c>
      <c r="AP139">
        <v>4</v>
      </c>
      <c r="AQ139">
        <v>0</v>
      </c>
      <c r="AR139">
        <v>0</v>
      </c>
      <c r="AS139">
        <v>0</v>
      </c>
      <c r="AT139">
        <v>1</v>
      </c>
      <c r="AU139">
        <v>0</v>
      </c>
      <c r="AW139" t="str">
        <v>SN36</v>
      </c>
      <c r="AX139" t="str">
        <v>Poem Writing Arabic</v>
      </c>
      <c r="AY139" t="str">
        <v>SENIOR</v>
      </c>
      <c r="AZ139" t="str">
        <v>Single</v>
      </c>
      <c r="BA139" t="str">
        <v>Stage</v>
      </c>
      <c r="BB139">
        <v>3</v>
      </c>
      <c r="BC139" t="str">
        <v>Individual</v>
      </c>
      <c r="BD139" t="str">
        <v>Individual</v>
      </c>
      <c r="BE139">
        <v>0</v>
      </c>
      <c r="BF139" t="str">
        <v>NOT ENTERED</v>
      </c>
    </row>
    <row r="140" spans="38:58" x14ac:dyDescent="0.45">
      <c r="AL140" t="str">
        <v>B161</v>
      </c>
      <c r="AM140" t="str">
        <v>MUHAMMED RAZI TM</v>
      </c>
      <c r="AN140" t="str">
        <v>B</v>
      </c>
      <c r="AO140" t="str">
        <v>JUNIOR</v>
      </c>
      <c r="AP140">
        <v>4</v>
      </c>
      <c r="AQ140">
        <v>0</v>
      </c>
      <c r="AR140">
        <v>0</v>
      </c>
      <c r="AS140">
        <v>0</v>
      </c>
      <c r="AT140">
        <v>1</v>
      </c>
      <c r="AU140">
        <v>0</v>
      </c>
      <c r="AW140" t="str">
        <v>SN37</v>
      </c>
      <c r="AX140" t="str">
        <v>Poem writing Urdu</v>
      </c>
      <c r="AY140" t="str">
        <v>SENIOR</v>
      </c>
      <c r="AZ140" t="str">
        <v>Single</v>
      </c>
      <c r="BA140" t="str">
        <v>Non-Stg</v>
      </c>
      <c r="BB140">
        <v>3</v>
      </c>
      <c r="BC140" t="str">
        <v>Individual</v>
      </c>
      <c r="BD140" t="str">
        <v>Individual</v>
      </c>
      <c r="BE140">
        <v>0</v>
      </c>
      <c r="BF140" t="str">
        <v>NOT ENTERED</v>
      </c>
    </row>
    <row r="141" spans="38:58" x14ac:dyDescent="0.45">
      <c r="AL141" t="str">
        <v>B162</v>
      </c>
      <c r="AM141" t="str">
        <v>RAYHAN PH</v>
      </c>
      <c r="AN141" t="str">
        <v>D</v>
      </c>
      <c r="AO141" t="str">
        <v>JUNIOR</v>
      </c>
      <c r="AP141">
        <v>4</v>
      </c>
      <c r="AQ141">
        <v>0</v>
      </c>
      <c r="AR141">
        <v>0</v>
      </c>
      <c r="AS141">
        <v>0</v>
      </c>
      <c r="AT141">
        <v>1</v>
      </c>
      <c r="AU141">
        <v>0</v>
      </c>
      <c r="AW141" t="str">
        <v>SN38</v>
      </c>
      <c r="AX141" t="str">
        <v>Poem Writing English</v>
      </c>
      <c r="AY141" t="str">
        <v>SENIOR</v>
      </c>
      <c r="AZ141" t="str">
        <v>Single</v>
      </c>
      <c r="BA141" t="str">
        <v>Stage</v>
      </c>
      <c r="BB141">
        <v>3</v>
      </c>
      <c r="BC141" t="str">
        <v>Individual</v>
      </c>
      <c r="BD141" t="str">
        <v>Individual</v>
      </c>
      <c r="BE141">
        <v>0</v>
      </c>
      <c r="BF141" t="str">
        <v>NOT ENTERED</v>
      </c>
    </row>
    <row r="142" spans="38:58" x14ac:dyDescent="0.45">
      <c r="AL142" t="str">
        <v>B163</v>
      </c>
      <c r="AM142" t="str">
        <v>MOHAMMED YOUNUS</v>
      </c>
      <c r="AN142" t="str">
        <v>D</v>
      </c>
      <c r="AO142" t="str">
        <v>JUNIOR</v>
      </c>
      <c r="AP142">
        <v>4</v>
      </c>
      <c r="AQ142">
        <v>0</v>
      </c>
      <c r="AR142">
        <v>0</v>
      </c>
      <c r="AS142">
        <v>0</v>
      </c>
      <c r="AT142">
        <v>1</v>
      </c>
      <c r="AU142">
        <v>0</v>
      </c>
      <c r="AW142" t="str">
        <v>SN39</v>
      </c>
      <c r="AX142" t="str">
        <v>Poem Writing Malayalam</v>
      </c>
      <c r="AY142" t="str">
        <v>SENIOR</v>
      </c>
      <c r="AZ142" t="str">
        <v>Single</v>
      </c>
      <c r="BA142" t="str">
        <v>Non-Stg</v>
      </c>
      <c r="BB142">
        <v>3</v>
      </c>
      <c r="BC142" t="str">
        <v>Individual</v>
      </c>
      <c r="BD142" t="str">
        <v>Individual</v>
      </c>
      <c r="BE142">
        <v>0</v>
      </c>
      <c r="BF142" t="str">
        <v>NOT ENTERED</v>
      </c>
    </row>
    <row r="143" spans="38:58" x14ac:dyDescent="0.45">
      <c r="AL143" t="str">
        <v>B164</v>
      </c>
      <c r="AM143" t="str">
        <v>RASALUL AMEEN T</v>
      </c>
      <c r="AN143" t="str">
        <v>C</v>
      </c>
      <c r="AO143" t="str">
        <v>JUNIOR</v>
      </c>
      <c r="AP143">
        <v>4</v>
      </c>
      <c r="AQ143">
        <v>0</v>
      </c>
      <c r="AR143">
        <v>0</v>
      </c>
      <c r="AS143">
        <v>0</v>
      </c>
      <c r="AT143">
        <v>1</v>
      </c>
      <c r="AU143">
        <v>0</v>
      </c>
      <c r="AW143" t="str">
        <v>SN40</v>
      </c>
      <c r="AX143" t="str">
        <v>Vocabulary</v>
      </c>
      <c r="AY143" t="str">
        <v>SENIOR</v>
      </c>
      <c r="AZ143" t="str">
        <v>Single</v>
      </c>
      <c r="BA143" t="str">
        <v>Stage</v>
      </c>
      <c r="BB143">
        <v>3</v>
      </c>
      <c r="BC143" t="str">
        <v>Individual</v>
      </c>
      <c r="BD143" t="str">
        <v>Individual</v>
      </c>
      <c r="BE143">
        <v>0</v>
      </c>
      <c r="BF143" t="str">
        <v>NOT ENTERED</v>
      </c>
    </row>
    <row r="144" spans="38:58" x14ac:dyDescent="0.45">
      <c r="AL144" t="str">
        <v>C100</v>
      </c>
      <c r="AM144" t="str">
        <v>IBRAHIM AFIL</v>
      </c>
      <c r="AN144" t="str">
        <v>B</v>
      </c>
      <c r="AO144" t="str">
        <v>SENIOR</v>
      </c>
      <c r="AP144">
        <v>5</v>
      </c>
      <c r="AQ144">
        <v>0</v>
      </c>
      <c r="AR144">
        <v>0</v>
      </c>
      <c r="AS144">
        <v>0</v>
      </c>
      <c r="AT144">
        <v>1</v>
      </c>
      <c r="AU144">
        <v>0</v>
      </c>
      <c r="AW144" t="str">
        <v>SN41</v>
      </c>
      <c r="AX144" t="str">
        <v>Poster Designing Digital</v>
      </c>
      <c r="AY144" t="str">
        <v>SENIOR</v>
      </c>
      <c r="AZ144" t="str">
        <v>Single</v>
      </c>
      <c r="BA144" t="str">
        <v>Non-Stg</v>
      </c>
      <c r="BB144">
        <v>3</v>
      </c>
      <c r="BC144" t="str">
        <v>Individual</v>
      </c>
      <c r="BD144" t="str">
        <v>Individual</v>
      </c>
      <c r="BE144">
        <v>0</v>
      </c>
      <c r="BF144" t="str">
        <v>NOT ENTERED</v>
      </c>
    </row>
    <row r="145" spans="38:58" x14ac:dyDescent="0.45">
      <c r="AL145" t="str">
        <v>C101</v>
      </c>
      <c r="AM145" t="str">
        <v>MUHAMMED KASHIF</v>
      </c>
      <c r="AN145" t="str">
        <v>A</v>
      </c>
      <c r="AO145" t="str">
        <v>SENIOR</v>
      </c>
      <c r="AP145">
        <v>5</v>
      </c>
      <c r="AQ145">
        <v>0</v>
      </c>
      <c r="AR145">
        <v>0</v>
      </c>
      <c r="AS145">
        <v>0</v>
      </c>
      <c r="AT145">
        <v>1</v>
      </c>
      <c r="AU145">
        <v>0</v>
      </c>
      <c r="AW145" t="str">
        <v>SN42</v>
      </c>
      <c r="AX145" t="str">
        <v>Poster Designing</v>
      </c>
      <c r="AY145" t="str">
        <v>SENIOR</v>
      </c>
      <c r="AZ145" t="str">
        <v>Single</v>
      </c>
      <c r="BA145" t="str">
        <v>Stage</v>
      </c>
      <c r="BB145">
        <v>3</v>
      </c>
      <c r="BC145" t="str">
        <v>Individual</v>
      </c>
      <c r="BD145" t="str">
        <v>Individual</v>
      </c>
      <c r="BE145">
        <v>0</v>
      </c>
      <c r="BF145" t="str">
        <v>NOT ENTERED</v>
      </c>
    </row>
    <row r="146" spans="38:58" x14ac:dyDescent="0.45">
      <c r="AL146" t="str">
        <v>C102</v>
      </c>
      <c r="AM146" t="str">
        <v>AHAMMED MAHSHOOK M.B</v>
      </c>
      <c r="AN146" t="str">
        <v>B</v>
      </c>
      <c r="AO146" t="str">
        <v>SENIOR</v>
      </c>
      <c r="AP146">
        <v>5</v>
      </c>
      <c r="AQ146">
        <v>0</v>
      </c>
      <c r="AR146">
        <v>0</v>
      </c>
      <c r="AS146">
        <v>0</v>
      </c>
      <c r="AT146">
        <v>1</v>
      </c>
      <c r="AU146">
        <v>0</v>
      </c>
      <c r="AW146" t="str">
        <v>SN43</v>
      </c>
      <c r="AX146" t="str">
        <v>Dictionary Making Arabic</v>
      </c>
      <c r="AY146" t="str">
        <v>SENIOR</v>
      </c>
      <c r="AZ146" t="str">
        <v>Single</v>
      </c>
      <c r="BA146" t="str">
        <v>Non-Stg</v>
      </c>
      <c r="BB146">
        <v>3</v>
      </c>
      <c r="BC146" t="str">
        <v>Individual</v>
      </c>
      <c r="BD146" t="str">
        <v>Individual</v>
      </c>
      <c r="BE146">
        <v>0</v>
      </c>
      <c r="BF146" t="str">
        <v>NOT ENTERED</v>
      </c>
    </row>
    <row r="147" spans="38:58" x14ac:dyDescent="0.45">
      <c r="AL147" t="str">
        <v>C103</v>
      </c>
      <c r="AM147" t="str">
        <v>MUHAMMED ABDUL KADER</v>
      </c>
      <c r="AN147" t="str">
        <v>C</v>
      </c>
      <c r="AO147" t="str">
        <v>SENIOR</v>
      </c>
      <c r="AP147">
        <v>5</v>
      </c>
      <c r="AQ147">
        <v>0</v>
      </c>
      <c r="AR147">
        <v>0</v>
      </c>
      <c r="AS147">
        <v>0</v>
      </c>
      <c r="AT147">
        <v>1</v>
      </c>
      <c r="AU147">
        <v>0</v>
      </c>
      <c r="AW147" t="str">
        <v>SN44</v>
      </c>
      <c r="AX147" t="str">
        <v>Pencil Drawing</v>
      </c>
      <c r="AY147" t="str">
        <v>SENIOR</v>
      </c>
      <c r="AZ147" t="str">
        <v>Single</v>
      </c>
      <c r="BA147" t="str">
        <v>Stage</v>
      </c>
      <c r="BB147">
        <v>3</v>
      </c>
      <c r="BC147" t="str">
        <v>Individual</v>
      </c>
      <c r="BD147" t="str">
        <v>Individual</v>
      </c>
      <c r="BE147">
        <v>0</v>
      </c>
      <c r="BF147" t="str">
        <v>NOT ENTERED</v>
      </c>
    </row>
    <row r="148" spans="38:58" x14ac:dyDescent="0.45">
      <c r="AL148" t="str">
        <v>C104</v>
      </c>
      <c r="AM148" t="str">
        <v>HADIL RIJAS</v>
      </c>
      <c r="AN148" t="str">
        <v>C</v>
      </c>
      <c r="AO148" t="str">
        <v>SENIOR</v>
      </c>
      <c r="AP148">
        <v>5</v>
      </c>
      <c r="AQ148">
        <v>0</v>
      </c>
      <c r="AR148">
        <v>0</v>
      </c>
      <c r="AS148">
        <v>0</v>
      </c>
      <c r="AT148">
        <v>1</v>
      </c>
      <c r="AU148">
        <v>0</v>
      </c>
      <c r="AW148" t="str">
        <v>SN45</v>
      </c>
      <c r="AX148" t="str">
        <v>Water Painting</v>
      </c>
      <c r="AY148" t="str">
        <v>SENIOR</v>
      </c>
      <c r="AZ148" t="str">
        <v>Single</v>
      </c>
      <c r="BA148" t="str">
        <v>Non-Stg</v>
      </c>
      <c r="BB148">
        <v>3</v>
      </c>
      <c r="BC148" t="str">
        <v>Individual</v>
      </c>
      <c r="BD148" t="str">
        <v>Individual</v>
      </c>
      <c r="BE148">
        <v>0</v>
      </c>
      <c r="BF148" t="str">
        <v>NOT ENTERED</v>
      </c>
    </row>
    <row r="149" spans="38:58" x14ac:dyDescent="0.45">
      <c r="AL149" t="str">
        <v>C105</v>
      </c>
      <c r="AM149" t="str">
        <v>AHMAD MANAL KUDINGILA</v>
      </c>
      <c r="AN149" t="str">
        <v>D</v>
      </c>
      <c r="AO149" t="str">
        <v>SENIOR</v>
      </c>
      <c r="AP149">
        <v>5</v>
      </c>
      <c r="AQ149">
        <v>0</v>
      </c>
      <c r="AR149">
        <v>0</v>
      </c>
      <c r="AS149">
        <v>0</v>
      </c>
      <c r="AT149">
        <v>1</v>
      </c>
      <c r="AU149">
        <v>0</v>
      </c>
      <c r="AW149" t="str">
        <v>SN46</v>
      </c>
      <c r="AX149" t="str">
        <v>Translation ( Tri-Lingual )</v>
      </c>
      <c r="AY149" t="str">
        <v>SENIOR</v>
      </c>
      <c r="AZ149" t="str">
        <v>Single</v>
      </c>
      <c r="BA149" t="str">
        <v>Stage</v>
      </c>
      <c r="BB149">
        <v>3</v>
      </c>
      <c r="BC149" t="str">
        <v>Individual</v>
      </c>
      <c r="BD149" t="str">
        <v>Individual</v>
      </c>
      <c r="BE149">
        <v>0</v>
      </c>
      <c r="BF149" t="str">
        <v>NOT ENTERED</v>
      </c>
    </row>
    <row r="150" spans="38:58" x14ac:dyDescent="0.45">
      <c r="AL150" t="str">
        <v>C106</v>
      </c>
      <c r="AM150" t="str">
        <v>ABDUL RAHMAN ANFHAL M I</v>
      </c>
      <c r="AN150" t="str">
        <v>C</v>
      </c>
      <c r="AO150" t="str">
        <v>SENIOR</v>
      </c>
      <c r="AP150">
        <v>5</v>
      </c>
      <c r="AQ150">
        <v>0</v>
      </c>
      <c r="AR150">
        <v>0</v>
      </c>
      <c r="AS150">
        <v>0</v>
      </c>
      <c r="AT150">
        <v>1</v>
      </c>
      <c r="AU150">
        <v>0</v>
      </c>
      <c r="AW150" t="str">
        <v>SN47</v>
      </c>
      <c r="AX150" t="str">
        <v>Su Do Ku</v>
      </c>
      <c r="AY150" t="str">
        <v>SENIOR</v>
      </c>
      <c r="AZ150" t="str">
        <v>Single</v>
      </c>
      <c r="BA150" t="str">
        <v>Non-Stg</v>
      </c>
      <c r="BB150">
        <v>3</v>
      </c>
      <c r="BC150" t="str">
        <v>Individual</v>
      </c>
      <c r="BD150" t="str">
        <v>Individual</v>
      </c>
      <c r="BE150">
        <v>0</v>
      </c>
      <c r="BF150" t="str">
        <v>NOT ENTERED</v>
      </c>
    </row>
    <row r="151" spans="38:58" x14ac:dyDescent="0.45">
      <c r="AL151" t="str">
        <v>C107</v>
      </c>
      <c r="AM151" t="str">
        <v>ADIL ABDULLA A</v>
      </c>
      <c r="AN151" t="str">
        <v>B</v>
      </c>
      <c r="AO151" t="str">
        <v>SENIOR</v>
      </c>
      <c r="AP151">
        <v>5</v>
      </c>
      <c r="AQ151">
        <v>0</v>
      </c>
      <c r="AR151">
        <v>0</v>
      </c>
      <c r="AS151">
        <v>0</v>
      </c>
      <c r="AT151">
        <v>1</v>
      </c>
      <c r="AU151">
        <v>0</v>
      </c>
      <c r="AW151" t="str">
        <v>SN48</v>
      </c>
      <c r="AX151" t="str">
        <v>Typing ( Tri-Lingual )</v>
      </c>
      <c r="AY151" t="str">
        <v>SENIOR</v>
      </c>
      <c r="AZ151" t="str">
        <v>Single</v>
      </c>
      <c r="BA151" t="str">
        <v>Stage</v>
      </c>
      <c r="BB151">
        <v>3</v>
      </c>
      <c r="BC151" t="str">
        <v>Individual</v>
      </c>
      <c r="BD151" t="str">
        <v>Individual</v>
      </c>
      <c r="BE151">
        <v>0</v>
      </c>
      <c r="BF151" t="str">
        <v>NOT ENTERED</v>
      </c>
    </row>
    <row r="152" spans="38:58" x14ac:dyDescent="0.45">
      <c r="AL152" t="str">
        <v>C108</v>
      </c>
      <c r="AM152" t="str">
        <v>ABDULLA SALMAN FARIS M</v>
      </c>
      <c r="AN152" t="str">
        <v>A</v>
      </c>
      <c r="AO152" t="str">
        <v>SENIOR</v>
      </c>
      <c r="AP152">
        <v>5</v>
      </c>
      <c r="AQ152">
        <v>0</v>
      </c>
      <c r="AR152">
        <v>0</v>
      </c>
      <c r="AS152">
        <v>0</v>
      </c>
      <c r="AT152">
        <v>1</v>
      </c>
      <c r="AU152">
        <v>0</v>
      </c>
      <c r="AW152" t="str">
        <v>SN49</v>
      </c>
      <c r="AX152" t="str">
        <v>Video Making</v>
      </c>
      <c r="AY152" t="str">
        <v>SENIOR</v>
      </c>
      <c r="AZ152" t="str">
        <v>Single</v>
      </c>
      <c r="BA152" t="str">
        <v>Non-Stg</v>
      </c>
      <c r="BB152">
        <v>3</v>
      </c>
      <c r="BC152" t="str">
        <v>Individual</v>
      </c>
      <c r="BD152" t="str">
        <v>Individual</v>
      </c>
      <c r="BE152">
        <v>0</v>
      </c>
      <c r="BF152" t="str">
        <v>NOT ENTERED</v>
      </c>
    </row>
    <row r="153" spans="38:58" x14ac:dyDescent="0.45">
      <c r="AL153" t="str">
        <v>C109</v>
      </c>
      <c r="AM153" t="str">
        <v>ABDULLA FARHAN M</v>
      </c>
      <c r="AN153" t="str">
        <v>C</v>
      </c>
      <c r="AO153" t="str">
        <v>SENIOR</v>
      </c>
      <c r="AP153">
        <v>5</v>
      </c>
      <c r="AQ153">
        <v>0</v>
      </c>
      <c r="AR153">
        <v>0</v>
      </c>
      <c r="AS153">
        <v>0</v>
      </c>
      <c r="AT153">
        <v>1</v>
      </c>
      <c r="AU153">
        <v>0</v>
      </c>
      <c r="AW153" t="str">
        <v>SN50</v>
      </c>
      <c r="AX153" t="str">
        <v>Cartoon</v>
      </c>
      <c r="AY153" t="str">
        <v>SENIOR</v>
      </c>
      <c r="AZ153" t="str">
        <v>Single</v>
      </c>
      <c r="BA153" t="str">
        <v>Stage</v>
      </c>
      <c r="BB153">
        <v>3</v>
      </c>
      <c r="BC153" t="str">
        <v>Individual</v>
      </c>
      <c r="BD153" t="str">
        <v>Individual</v>
      </c>
      <c r="BE153">
        <v>0</v>
      </c>
      <c r="BF153" t="str">
        <v>NOT ENTERED</v>
      </c>
    </row>
    <row r="154" spans="38:58" x14ac:dyDescent="0.45">
      <c r="AL154" t="str">
        <v>C110</v>
      </c>
      <c r="AM154" t="str">
        <v>SHADIL AHAMED</v>
      </c>
      <c r="AN154" t="str">
        <v>B</v>
      </c>
      <c r="AO154" t="str">
        <v>SENIOR</v>
      </c>
      <c r="AP154">
        <v>5</v>
      </c>
      <c r="AQ154">
        <v>0</v>
      </c>
      <c r="AR154">
        <v>0</v>
      </c>
      <c r="AS154">
        <v>0</v>
      </c>
      <c r="AT154">
        <v>1</v>
      </c>
      <c r="AU154">
        <v>0</v>
      </c>
      <c r="AW154" t="str">
        <v>SN51</v>
      </c>
      <c r="AX154" t="str">
        <v>News Writing ARB</v>
      </c>
      <c r="AY154" t="str">
        <v>SENIOR</v>
      </c>
      <c r="AZ154" t="str">
        <v>Single</v>
      </c>
      <c r="BA154" t="str">
        <v>Non-Stg</v>
      </c>
      <c r="BB154">
        <v>3</v>
      </c>
      <c r="BC154" t="str">
        <v>Individual</v>
      </c>
      <c r="BD154" t="str">
        <v>Individual</v>
      </c>
      <c r="BE154">
        <v>0</v>
      </c>
      <c r="BF154" t="str">
        <v>NOT ENTERED</v>
      </c>
    </row>
    <row r="155" spans="38:58" x14ac:dyDescent="0.45">
      <c r="AL155" t="str">
        <v>C111</v>
      </c>
      <c r="AM155" t="str">
        <v>MUHAMMAD ISMAIL HAMDULLA V K</v>
      </c>
      <c r="AN155" t="str">
        <v>D</v>
      </c>
      <c r="AO155" t="str">
        <v>SENIOR</v>
      </c>
      <c r="AP155">
        <v>5</v>
      </c>
      <c r="AQ155">
        <v>0</v>
      </c>
      <c r="AR155">
        <v>0</v>
      </c>
      <c r="AS155">
        <v>0</v>
      </c>
      <c r="AT155">
        <v>1</v>
      </c>
      <c r="AU155">
        <v>0</v>
      </c>
      <c r="AW155" t="str">
        <v>SN52</v>
      </c>
      <c r="AX155" t="str">
        <v>News Writing ENG</v>
      </c>
      <c r="AY155" t="str">
        <v>SENIOR</v>
      </c>
      <c r="AZ155" t="str">
        <v>Single</v>
      </c>
      <c r="BA155" t="str">
        <v>Stage</v>
      </c>
      <c r="BB155">
        <v>3</v>
      </c>
      <c r="BC155" t="str">
        <v>Individual</v>
      </c>
      <c r="BD155" t="str">
        <v>Individual</v>
      </c>
      <c r="BE155">
        <v>0</v>
      </c>
      <c r="BF155" t="str">
        <v>NOT ENTERED</v>
      </c>
    </row>
    <row r="156" spans="38:58" x14ac:dyDescent="0.45">
      <c r="AL156" t="str">
        <v>C112</v>
      </c>
      <c r="AM156" t="str">
        <v>MOHAMMED SA'DUDDEEN K</v>
      </c>
      <c r="AN156" t="str">
        <v>A</v>
      </c>
      <c r="AO156" t="str">
        <v>SENIOR</v>
      </c>
      <c r="AP156">
        <v>5</v>
      </c>
      <c r="AQ156">
        <v>0</v>
      </c>
      <c r="AR156">
        <v>0</v>
      </c>
      <c r="AS156">
        <v>0</v>
      </c>
      <c r="AT156">
        <v>1</v>
      </c>
      <c r="AU156">
        <v>0</v>
      </c>
      <c r="AW156" t="str">
        <v>SN53</v>
      </c>
      <c r="AX156" t="str">
        <v>Photography</v>
      </c>
      <c r="AY156" t="str">
        <v>SENIOR</v>
      </c>
      <c r="AZ156" t="str">
        <v>Single</v>
      </c>
      <c r="BA156" t="str">
        <v>Non-Stg</v>
      </c>
      <c r="BB156">
        <v>3</v>
      </c>
      <c r="BC156" t="str">
        <v>Individual</v>
      </c>
      <c r="BD156" t="str">
        <v>Individual</v>
      </c>
      <c r="BE156">
        <v>0</v>
      </c>
      <c r="BF156" t="str">
        <v>NOT ENTERED</v>
      </c>
    </row>
    <row r="157" spans="38:58" x14ac:dyDescent="0.45">
      <c r="AL157" t="str">
        <v>C113</v>
      </c>
      <c r="AM157" t="str">
        <v>SEYYAD MUHAMMED FAHMAN</v>
      </c>
      <c r="AN157" t="str">
        <v>D</v>
      </c>
      <c r="AO157" t="str">
        <v>SENIOR</v>
      </c>
      <c r="AP157">
        <v>5</v>
      </c>
      <c r="AQ157">
        <v>0</v>
      </c>
      <c r="AR157">
        <v>0</v>
      </c>
      <c r="AS157">
        <v>0</v>
      </c>
      <c r="AT157">
        <v>1</v>
      </c>
      <c r="AU157">
        <v>0</v>
      </c>
      <c r="AW157" t="str">
        <v>SN54</v>
      </c>
      <c r="AX157" t="str">
        <v>Calligraphy</v>
      </c>
      <c r="AY157" t="str">
        <v>SENIOR</v>
      </c>
      <c r="AZ157" t="str">
        <v>Single</v>
      </c>
      <c r="BA157" t="str">
        <v>Stage</v>
      </c>
      <c r="BB157">
        <v>3</v>
      </c>
      <c r="BC157" t="str">
        <v>Individual</v>
      </c>
      <c r="BD157" t="str">
        <v>Individual</v>
      </c>
      <c r="BE157">
        <v>0</v>
      </c>
      <c r="BF157" t="str">
        <v>NOT ENTERED</v>
      </c>
    </row>
    <row r="158" spans="38:58" x14ac:dyDescent="0.45">
      <c r="AL158" t="str">
        <v>C114</v>
      </c>
      <c r="AM158" t="str">
        <v>AJMAL RUWAIS</v>
      </c>
      <c r="AN158" t="str">
        <v>C</v>
      </c>
      <c r="AO158" t="str">
        <v>SENIOR</v>
      </c>
      <c r="AP158">
        <v>5</v>
      </c>
      <c r="AQ158">
        <v>0</v>
      </c>
      <c r="AR158">
        <v>0</v>
      </c>
      <c r="AS158">
        <v>0</v>
      </c>
      <c r="AT158">
        <v>1</v>
      </c>
      <c r="AU158">
        <v>0</v>
      </c>
      <c r="AW158" t="str">
        <v>SN55</v>
      </c>
      <c r="AX158" t="str">
        <v>Proof Reading ENG</v>
      </c>
      <c r="AY158" t="str">
        <v>SENIOR</v>
      </c>
      <c r="AZ158" t="str">
        <v>Single</v>
      </c>
      <c r="BA158" t="str">
        <v>Non-Stg</v>
      </c>
      <c r="BB158">
        <v>3</v>
      </c>
      <c r="BC158" t="str">
        <v>Individual</v>
      </c>
      <c r="BD158" t="str">
        <v>Individual</v>
      </c>
      <c r="BE158">
        <v>0</v>
      </c>
      <c r="BF158" t="str">
        <v>NOT ENTERED</v>
      </c>
    </row>
    <row r="159" spans="38:58" x14ac:dyDescent="0.45">
      <c r="AL159" t="str">
        <v>C115</v>
      </c>
      <c r="AM159" t="str">
        <v>MOHAMMED ABDUL KHADER K</v>
      </c>
      <c r="AN159" t="str">
        <v>A</v>
      </c>
      <c r="AO159" t="str">
        <v>SENIOR</v>
      </c>
      <c r="AP159">
        <v>5</v>
      </c>
      <c r="AQ159">
        <v>0</v>
      </c>
      <c r="AR159">
        <v>0</v>
      </c>
      <c r="AS159">
        <v>0</v>
      </c>
      <c r="AT159">
        <v>1</v>
      </c>
      <c r="AU159">
        <v>0</v>
      </c>
      <c r="AW159" t="str">
        <v>SN56</v>
      </c>
      <c r="AX159" t="str">
        <v>Proof Reading MLM</v>
      </c>
      <c r="AY159" t="str">
        <v>SENIOR</v>
      </c>
      <c r="AZ159" t="str">
        <v>Single</v>
      </c>
      <c r="BA159" t="str">
        <v>Stage</v>
      </c>
      <c r="BB159">
        <v>3</v>
      </c>
      <c r="BC159" t="str">
        <v>Individual</v>
      </c>
      <c r="BD159" t="str">
        <v>Individual</v>
      </c>
      <c r="BE159">
        <v>0</v>
      </c>
      <c r="BF159" t="str">
        <v>NOT ENTERED</v>
      </c>
    </row>
    <row r="160" spans="38:58" x14ac:dyDescent="0.45">
      <c r="AL160" t="str">
        <v>C116</v>
      </c>
      <c r="AM160" t="str">
        <v>MUAHMMED ANAS P A</v>
      </c>
      <c r="AN160" t="str">
        <v>D</v>
      </c>
      <c r="AO160" t="str">
        <v>SENIOR</v>
      </c>
      <c r="AP160">
        <v>5</v>
      </c>
      <c r="AQ160">
        <v>0</v>
      </c>
      <c r="AR160">
        <v>0</v>
      </c>
      <c r="AS160">
        <v>0</v>
      </c>
      <c r="AT160">
        <v>1</v>
      </c>
      <c r="AU160">
        <v>0</v>
      </c>
      <c r="AW160" t="str">
        <v>SN57</v>
      </c>
      <c r="AX160" t="str">
        <v>Thashkeel</v>
      </c>
      <c r="AY160" t="str">
        <v>SENIOR</v>
      </c>
      <c r="AZ160" t="str">
        <v>Single</v>
      </c>
      <c r="BA160" t="str">
        <v>Non-Stg</v>
      </c>
      <c r="BB160">
        <v>3</v>
      </c>
      <c r="BC160" t="str">
        <v>Individual</v>
      </c>
      <c r="BD160" t="str">
        <v>Individual</v>
      </c>
      <c r="BE160">
        <v>0</v>
      </c>
      <c r="BF160" t="str">
        <v>NOT ENTERED</v>
      </c>
    </row>
    <row r="161" spans="38:58" x14ac:dyDescent="0.45">
      <c r="AL161" t="str">
        <v>C117</v>
      </c>
      <c r="AM161" t="str">
        <v>Muhammed fahiz A K</v>
      </c>
      <c r="AN161" t="str">
        <v>B</v>
      </c>
      <c r="AO161" t="str">
        <v>SENIOR</v>
      </c>
      <c r="AP161">
        <v>5</v>
      </c>
      <c r="AQ161">
        <v>0</v>
      </c>
      <c r="AR161">
        <v>0</v>
      </c>
      <c r="AS161">
        <v>0</v>
      </c>
      <c r="AT161">
        <v>1</v>
      </c>
      <c r="AU161">
        <v>0</v>
      </c>
      <c r="AW161" t="str">
        <v>SN58</v>
      </c>
      <c r="AX161" t="str">
        <v>Slogan Making</v>
      </c>
      <c r="AY161" t="str">
        <v>SENIOR</v>
      </c>
      <c r="AZ161" t="str">
        <v>Single</v>
      </c>
      <c r="BA161" t="str">
        <v>Stage</v>
      </c>
      <c r="BB161">
        <v>3</v>
      </c>
      <c r="BC161" t="str">
        <v>Individual</v>
      </c>
      <c r="BD161" t="str">
        <v>Individual</v>
      </c>
      <c r="BE161">
        <v>0</v>
      </c>
      <c r="BF161" t="str">
        <v>NOT ENTERED</v>
      </c>
    </row>
    <row r="162" spans="38:58" x14ac:dyDescent="0.45">
      <c r="AL162" t="str">
        <v>C118</v>
      </c>
      <c r="AM162" t="str">
        <v>MUHAMMAD SHAMMAS</v>
      </c>
      <c r="AN162" t="str">
        <v>A</v>
      </c>
      <c r="AO162" t="str">
        <v>SENIOR</v>
      </c>
      <c r="AP162">
        <v>5</v>
      </c>
      <c r="AQ162">
        <v>0</v>
      </c>
      <c r="AR162">
        <v>0</v>
      </c>
      <c r="AS162">
        <v>0</v>
      </c>
      <c r="AT162">
        <v>1</v>
      </c>
      <c r="AU162">
        <v>0</v>
      </c>
      <c r="AW162" t="str">
        <v>SN59</v>
      </c>
      <c r="AX162" t="str">
        <v>Instant Magazine (ENG )</v>
      </c>
      <c r="AY162" t="str">
        <v>SENIOR</v>
      </c>
      <c r="AZ162" t="str">
        <v>Group</v>
      </c>
      <c r="BA162" t="str">
        <v>Non-Stg</v>
      </c>
      <c r="BB162">
        <v>3</v>
      </c>
      <c r="BC162" t="str">
        <v>GROUP</v>
      </c>
      <c r="BD162" t="str">
        <v>GROUP</v>
      </c>
      <c r="BE162">
        <v>0</v>
      </c>
      <c r="BF162" t="str">
        <v>NOT ENTERED</v>
      </c>
    </row>
    <row r="163" spans="38:58" x14ac:dyDescent="0.45">
      <c r="AL163" t="str">
        <v>C119</v>
      </c>
      <c r="AM163" t="str">
        <v>ARIFUDEEN ABBAS A</v>
      </c>
      <c r="AN163" t="str">
        <v>D</v>
      </c>
      <c r="AO163" t="str">
        <v>SENIOR</v>
      </c>
      <c r="AP163">
        <v>5</v>
      </c>
      <c r="AQ163">
        <v>0</v>
      </c>
      <c r="AR163">
        <v>0</v>
      </c>
      <c r="AS163">
        <v>0</v>
      </c>
      <c r="AT163">
        <v>1</v>
      </c>
      <c r="AU163">
        <v>0</v>
      </c>
      <c r="AW163" t="str">
        <v>SN60</v>
      </c>
      <c r="AX163" t="str">
        <v>Instant Newspaper  MLM</v>
      </c>
      <c r="AY163" t="str">
        <v>SENIOR</v>
      </c>
      <c r="AZ163" t="str">
        <v>Group</v>
      </c>
      <c r="BA163" t="str">
        <v>Stage</v>
      </c>
      <c r="BB163">
        <v>3</v>
      </c>
      <c r="BC163" t="str">
        <v>GROUP</v>
      </c>
      <c r="BD163" t="str">
        <v>GROUP</v>
      </c>
      <c r="BE163">
        <v>0</v>
      </c>
      <c r="BF163" t="str">
        <v>NOT ENTERED</v>
      </c>
    </row>
    <row r="164" spans="38:58" x14ac:dyDescent="0.45">
      <c r="AL164" t="str">
        <v>C120</v>
      </c>
      <c r="AM164" t="str">
        <v>MAJID MUHAMMED M</v>
      </c>
      <c r="AN164" t="str">
        <v>B</v>
      </c>
      <c r="AO164" t="str">
        <v>SENIOR</v>
      </c>
      <c r="AP164">
        <v>5</v>
      </c>
      <c r="AQ164">
        <v>0</v>
      </c>
      <c r="AR164">
        <v>0</v>
      </c>
      <c r="AS164">
        <v>0</v>
      </c>
      <c r="AT164">
        <v>1</v>
      </c>
      <c r="AU164">
        <v>0</v>
      </c>
      <c r="AW164" t="str">
        <v>SP01</v>
      </c>
      <c r="AX164" t="str">
        <v>Quira'ath with Thajveed</v>
      </c>
      <c r="AY164" t="str">
        <v>SUPER SENIOR</v>
      </c>
      <c r="AZ164" t="str">
        <v>Single</v>
      </c>
      <c r="BA164" t="str">
        <v>Non-Stg</v>
      </c>
      <c r="BB164">
        <v>3</v>
      </c>
      <c r="BC164" t="str">
        <v>Individual</v>
      </c>
      <c r="BD164" t="str">
        <v>Individual</v>
      </c>
      <c r="BE164">
        <v>0</v>
      </c>
      <c r="BF164" t="str">
        <v>NOT ENTERED</v>
      </c>
    </row>
    <row r="165" spans="38:58" x14ac:dyDescent="0.45">
      <c r="AL165" t="str">
        <v>C121</v>
      </c>
      <c r="AM165" t="str">
        <v>ABDUL SALAM ARIF</v>
      </c>
      <c r="AN165" t="str">
        <v>D</v>
      </c>
      <c r="AO165" t="str">
        <v>SENIOR</v>
      </c>
      <c r="AP165">
        <v>5</v>
      </c>
      <c r="AQ165">
        <v>0</v>
      </c>
      <c r="AR165">
        <v>0</v>
      </c>
      <c r="AS165">
        <v>0</v>
      </c>
      <c r="AT165">
        <v>1</v>
      </c>
      <c r="AU165">
        <v>0</v>
      </c>
      <c r="AW165" t="str">
        <v>SP02</v>
      </c>
      <c r="AX165" t="str">
        <v>Hifz</v>
      </c>
      <c r="AY165" t="str">
        <v>SUPER SENIOR</v>
      </c>
      <c r="AZ165" t="str">
        <v>Single</v>
      </c>
      <c r="BA165" t="str">
        <v>Stage</v>
      </c>
      <c r="BB165">
        <v>3</v>
      </c>
      <c r="BC165" t="str">
        <v>Individual</v>
      </c>
      <c r="BD165" t="str">
        <v>Individual</v>
      </c>
      <c r="BE165">
        <v>0</v>
      </c>
      <c r="BF165" t="str">
        <v>NOT ENTERED</v>
      </c>
    </row>
    <row r="166" spans="38:58" x14ac:dyDescent="0.45">
      <c r="AL166" t="str">
        <v>C122</v>
      </c>
      <c r="AM166" t="str">
        <v>MOHAMMED K H</v>
      </c>
      <c r="AN166" t="str">
        <v>C</v>
      </c>
      <c r="AO166" t="str">
        <v>SENIOR</v>
      </c>
      <c r="AP166">
        <v>5</v>
      </c>
      <c r="AQ166">
        <v>0</v>
      </c>
      <c r="AR166">
        <v>0</v>
      </c>
      <c r="AS166">
        <v>0</v>
      </c>
      <c r="AT166">
        <v>1</v>
      </c>
      <c r="AU166">
        <v>0</v>
      </c>
      <c r="AW166" t="str">
        <v>SP03</v>
      </c>
      <c r="AX166" t="str">
        <v>Va'az</v>
      </c>
      <c r="AY166" t="str">
        <v>SUPER SENIOR</v>
      </c>
      <c r="AZ166" t="str">
        <v>Single</v>
      </c>
      <c r="BA166" t="str">
        <v>Non-Stg</v>
      </c>
      <c r="BB166">
        <v>3</v>
      </c>
      <c r="BC166" t="str">
        <v>Individual</v>
      </c>
      <c r="BD166" t="str">
        <v>Individual</v>
      </c>
      <c r="BE166">
        <v>0</v>
      </c>
      <c r="BF166" t="str">
        <v>NOT ENTERED</v>
      </c>
    </row>
    <row r="167" spans="38:58" x14ac:dyDescent="0.45">
      <c r="AL167" t="str">
        <v>C123</v>
      </c>
      <c r="AM167" t="str">
        <v>MOHAMMED FAQRUDDEEN RAZI</v>
      </c>
      <c r="AN167" t="str">
        <v>C</v>
      </c>
      <c r="AO167" t="str">
        <v>SENIOR</v>
      </c>
      <c r="AP167">
        <v>5</v>
      </c>
      <c r="AQ167">
        <v>0</v>
      </c>
      <c r="AR167">
        <v>0</v>
      </c>
      <c r="AS167">
        <v>0</v>
      </c>
      <c r="AT167">
        <v>1</v>
      </c>
      <c r="AU167">
        <v>0</v>
      </c>
      <c r="AW167" t="str">
        <v>SP04</v>
      </c>
      <c r="AX167" t="str">
        <v>Thadrees</v>
      </c>
      <c r="AY167" t="str">
        <v>SUPER SENIOR</v>
      </c>
      <c r="AZ167" t="str">
        <v>Single</v>
      </c>
      <c r="BA167" t="str">
        <v>Stage</v>
      </c>
      <c r="BB167">
        <v>3</v>
      </c>
      <c r="BC167" t="str">
        <v>Individual</v>
      </c>
      <c r="BD167" t="str">
        <v>Individual</v>
      </c>
      <c r="BE167">
        <v>0</v>
      </c>
      <c r="BF167" t="str">
        <v>NOT ENTERED</v>
      </c>
    </row>
    <row r="168" spans="38:58" x14ac:dyDescent="0.45">
      <c r="AL168" t="str">
        <v>C124</v>
      </c>
      <c r="AM168" t="str">
        <v>MOHAMMED MUBASHIR</v>
      </c>
      <c r="AN168" t="str">
        <v>C</v>
      </c>
      <c r="AO168" t="str">
        <v>SENIOR</v>
      </c>
      <c r="AP168">
        <v>5</v>
      </c>
      <c r="AQ168">
        <v>0</v>
      </c>
      <c r="AR168">
        <v>0</v>
      </c>
      <c r="AS168">
        <v>0</v>
      </c>
      <c r="AT168">
        <v>1</v>
      </c>
      <c r="AU168">
        <v>0</v>
      </c>
      <c r="AW168" t="str">
        <v>SP05</v>
      </c>
      <c r="AX168" t="str">
        <v>Kuthuba</v>
      </c>
      <c r="AY168" t="str">
        <v>SUPER SENIOR</v>
      </c>
      <c r="AZ168" t="str">
        <v>Single</v>
      </c>
      <c r="BA168" t="str">
        <v>Non-Stg</v>
      </c>
      <c r="BB168">
        <v>3</v>
      </c>
      <c r="BC168" t="str">
        <v>Individual</v>
      </c>
      <c r="BD168" t="str">
        <v>Individual</v>
      </c>
      <c r="BE168">
        <v>0</v>
      </c>
      <c r="BF168" t="str">
        <v>NOT ENTERED</v>
      </c>
    </row>
    <row r="169" spans="38:58" x14ac:dyDescent="0.45">
      <c r="AL169" t="str">
        <v>C125</v>
      </c>
      <c r="AM169" t="str">
        <v>AHAMMED MINHAJ E M</v>
      </c>
      <c r="AN169" t="str">
        <v>A</v>
      </c>
      <c r="AO169" t="str">
        <v>SENIOR</v>
      </c>
      <c r="AP169">
        <v>5</v>
      </c>
      <c r="AQ169">
        <v>0</v>
      </c>
      <c r="AR169">
        <v>0</v>
      </c>
      <c r="AS169">
        <v>0</v>
      </c>
      <c r="AT169">
        <v>1</v>
      </c>
      <c r="AU169">
        <v>0</v>
      </c>
      <c r="AW169" t="str">
        <v>SP06</v>
      </c>
      <c r="AX169" t="str">
        <v>Ghazal Urdu</v>
      </c>
      <c r="AY169" t="str">
        <v>SUPER SENIOR</v>
      </c>
      <c r="AZ169" t="str">
        <v>Single</v>
      </c>
      <c r="BA169" t="str">
        <v>Stage</v>
      </c>
      <c r="BB169">
        <v>3</v>
      </c>
      <c r="BC169" t="str">
        <v>Individual</v>
      </c>
      <c r="BD169" t="str">
        <v>Individual</v>
      </c>
      <c r="BE169">
        <v>0</v>
      </c>
      <c r="BF169" t="str">
        <v>NOT ENTERED</v>
      </c>
    </row>
    <row r="170" spans="38:58" x14ac:dyDescent="0.45">
      <c r="AL170" t="str">
        <v>C126</v>
      </c>
      <c r="AM170" t="str">
        <v>ADNAN ABDULLAH B A</v>
      </c>
      <c r="AN170" t="str">
        <v>D</v>
      </c>
      <c r="AO170" t="str">
        <v>SENIOR</v>
      </c>
      <c r="AP170">
        <v>5</v>
      </c>
      <c r="AQ170">
        <v>0</v>
      </c>
      <c r="AR170">
        <v>0</v>
      </c>
      <c r="AS170">
        <v>0</v>
      </c>
      <c r="AT170">
        <v>1</v>
      </c>
      <c r="AU170">
        <v>0</v>
      </c>
      <c r="AW170" t="str">
        <v>SP07</v>
      </c>
      <c r="AX170" t="str">
        <v>Kaviyarang</v>
      </c>
      <c r="AY170" t="str">
        <v>SUPER SENIOR</v>
      </c>
      <c r="AZ170" t="str">
        <v>Single</v>
      </c>
      <c r="BA170" t="str">
        <v>Non-Stg</v>
      </c>
      <c r="BB170">
        <v>3</v>
      </c>
      <c r="BC170" t="str">
        <v>Individual</v>
      </c>
      <c r="BD170" t="str">
        <v>Individual</v>
      </c>
      <c r="BE170">
        <v>0</v>
      </c>
      <c r="BF170" t="str">
        <v>NOT ENTERED</v>
      </c>
    </row>
    <row r="171" spans="38:58" x14ac:dyDescent="0.45">
      <c r="AL171" t="str">
        <v>C127</v>
      </c>
      <c r="AM171" t="str">
        <v>SHAMMAZ P A</v>
      </c>
      <c r="AN171" t="str">
        <v>A</v>
      </c>
      <c r="AO171" t="str">
        <v>SENIOR</v>
      </c>
      <c r="AP171">
        <v>5</v>
      </c>
      <c r="AQ171">
        <v>0</v>
      </c>
      <c r="AR171">
        <v>0</v>
      </c>
      <c r="AS171">
        <v>0</v>
      </c>
      <c r="AT171">
        <v>1</v>
      </c>
      <c r="AU171">
        <v>0</v>
      </c>
      <c r="AW171" t="str">
        <v>SP08</v>
      </c>
      <c r="AX171" t="str">
        <v>Project Presentation ENG</v>
      </c>
      <c r="AY171" t="str">
        <v>SUPER SENIOR</v>
      </c>
      <c r="AZ171" t="str">
        <v>Single</v>
      </c>
      <c r="BA171" t="str">
        <v>Stage</v>
      </c>
      <c r="BB171">
        <v>3</v>
      </c>
      <c r="BC171" t="str">
        <v>Individual</v>
      </c>
      <c r="BD171" t="str">
        <v>Individual</v>
      </c>
      <c r="BE171">
        <v>0</v>
      </c>
      <c r="BF171" t="str">
        <v>NOT ENTERED</v>
      </c>
    </row>
    <row r="172" spans="38:58" x14ac:dyDescent="0.45">
      <c r="AL172" t="str">
        <v>C128</v>
      </c>
      <c r="AM172" t="str">
        <v>MAHIN SINAN</v>
      </c>
      <c r="AN172" t="str">
        <v>B</v>
      </c>
      <c r="AO172" t="str">
        <v>SENIOR</v>
      </c>
      <c r="AP172">
        <v>5</v>
      </c>
      <c r="AQ172">
        <v>0</v>
      </c>
      <c r="AR172">
        <v>0</v>
      </c>
      <c r="AS172">
        <v>0</v>
      </c>
      <c r="AT172">
        <v>1</v>
      </c>
      <c r="AU172">
        <v>0</v>
      </c>
      <c r="AW172" t="str">
        <v>SP09</v>
      </c>
      <c r="AX172" t="str">
        <v>News Writing &amp; Reading ENG</v>
      </c>
      <c r="AY172" t="str">
        <v>SUPER SENIOR</v>
      </c>
      <c r="AZ172" t="str">
        <v>Single</v>
      </c>
      <c r="BA172" t="str">
        <v>Non-Stg</v>
      </c>
      <c r="BB172">
        <v>3</v>
      </c>
      <c r="BC172" t="str">
        <v>Individual</v>
      </c>
      <c r="BD172" t="str">
        <v>Individual</v>
      </c>
      <c r="BE172">
        <v>0</v>
      </c>
      <c r="BF172" t="str">
        <v>NOT ENTERED</v>
      </c>
    </row>
    <row r="173" spans="38:58" x14ac:dyDescent="0.45">
      <c r="AL173" t="str">
        <v>C129</v>
      </c>
      <c r="AM173" t="str">
        <v>P K ZAMEEL AHMED</v>
      </c>
      <c r="AN173" t="str">
        <v>C</v>
      </c>
      <c r="AO173" t="str">
        <v>SENIOR</v>
      </c>
      <c r="AP173">
        <v>5</v>
      </c>
      <c r="AQ173">
        <v>0</v>
      </c>
      <c r="AR173">
        <v>0</v>
      </c>
      <c r="AS173">
        <v>0</v>
      </c>
      <c r="AT173">
        <v>1</v>
      </c>
      <c r="AU173">
        <v>0</v>
      </c>
      <c r="AW173" t="str">
        <v>SP10</v>
      </c>
      <c r="AX173" t="str">
        <v>News Writing &amp; Reading ARB</v>
      </c>
      <c r="AY173" t="str">
        <v>SUPER SENIOR</v>
      </c>
      <c r="AZ173" t="str">
        <v>Single</v>
      </c>
      <c r="BA173" t="str">
        <v>Stage</v>
      </c>
      <c r="BB173">
        <v>3</v>
      </c>
      <c r="BC173" t="str">
        <v>Individual</v>
      </c>
      <c r="BD173" t="str">
        <v>Individual</v>
      </c>
      <c r="BE173">
        <v>0</v>
      </c>
      <c r="BF173" t="str">
        <v>NOT ENTERED</v>
      </c>
    </row>
    <row r="174" spans="38:58" x14ac:dyDescent="0.45">
      <c r="AL174" t="str">
        <v>C130</v>
      </c>
      <c r="AM174" t="str">
        <v>MOHAMMED HISHAM</v>
      </c>
      <c r="AN174" t="str">
        <v>B</v>
      </c>
      <c r="AO174" t="str">
        <v>SENIOR</v>
      </c>
      <c r="AP174">
        <v>5</v>
      </c>
      <c r="AQ174">
        <v>0</v>
      </c>
      <c r="AR174">
        <v>0</v>
      </c>
      <c r="AS174">
        <v>0</v>
      </c>
      <c r="AT174">
        <v>1</v>
      </c>
      <c r="AU174">
        <v>0</v>
      </c>
      <c r="AW174" t="str">
        <v>SP11</v>
      </c>
      <c r="AX174" t="str">
        <v>Junction Speech</v>
      </c>
      <c r="AY174" t="str">
        <v>SUPER SENIOR</v>
      </c>
      <c r="AZ174" t="str">
        <v>Single</v>
      </c>
      <c r="BA174" t="str">
        <v>Non-Stg</v>
      </c>
      <c r="BB174">
        <v>3</v>
      </c>
      <c r="BC174" t="str">
        <v>Individual</v>
      </c>
      <c r="BD174" t="str">
        <v>Individual</v>
      </c>
      <c r="BE174">
        <v>0</v>
      </c>
      <c r="BF174" t="str">
        <v>NOT ENTERED</v>
      </c>
    </row>
    <row r="175" spans="38:58" x14ac:dyDescent="0.45">
      <c r="AL175" t="str">
        <v>C131</v>
      </c>
      <c r="AM175" t="str">
        <v>IBRAHIM AHRAZ</v>
      </c>
      <c r="AN175" t="str">
        <v>A</v>
      </c>
      <c r="AO175" t="str">
        <v>SENIOR</v>
      </c>
      <c r="AP175">
        <v>6</v>
      </c>
      <c r="AQ175">
        <v>0</v>
      </c>
      <c r="AR175">
        <v>0</v>
      </c>
      <c r="AS175">
        <v>0</v>
      </c>
      <c r="AT175">
        <v>1</v>
      </c>
      <c r="AU175">
        <v>0</v>
      </c>
      <c r="AW175" t="str">
        <v>SP12</v>
      </c>
      <c r="AX175" t="str">
        <v>Extempore Speech ARB</v>
      </c>
      <c r="AY175" t="str">
        <v>SUPER SENIOR</v>
      </c>
      <c r="AZ175" t="str">
        <v>Single</v>
      </c>
      <c r="BA175" t="str">
        <v>Stage</v>
      </c>
      <c r="BB175">
        <v>3</v>
      </c>
      <c r="BC175" t="str">
        <v>Individual</v>
      </c>
      <c r="BD175" t="str">
        <v>Individual</v>
      </c>
      <c r="BE175">
        <v>0</v>
      </c>
      <c r="BF175" t="str">
        <v>NOT ENTERED</v>
      </c>
    </row>
    <row r="176" spans="38:58" x14ac:dyDescent="0.45">
      <c r="AL176" t="str">
        <v>C132</v>
      </c>
      <c r="AM176" t="str">
        <v>MUHAMMAD SHAZIN</v>
      </c>
      <c r="AN176" t="str">
        <v>C</v>
      </c>
      <c r="AO176" t="str">
        <v>SENIOR</v>
      </c>
      <c r="AP176">
        <v>6</v>
      </c>
      <c r="AQ176">
        <v>0</v>
      </c>
      <c r="AR176">
        <v>0</v>
      </c>
      <c r="AS176">
        <v>0</v>
      </c>
      <c r="AT176">
        <v>1</v>
      </c>
      <c r="AU176">
        <v>0</v>
      </c>
      <c r="AW176" t="str">
        <v>SP13</v>
      </c>
      <c r="AX176" t="str">
        <v>Extempore Speech ENG</v>
      </c>
      <c r="AY176" t="str">
        <v>SUPER SENIOR</v>
      </c>
      <c r="AZ176" t="str">
        <v>Single</v>
      </c>
      <c r="BA176" t="str">
        <v>Non-Stg</v>
      </c>
      <c r="BB176">
        <v>3</v>
      </c>
      <c r="BC176" t="str">
        <v>Individual</v>
      </c>
      <c r="BD176" t="str">
        <v>Individual</v>
      </c>
      <c r="BE176">
        <v>0</v>
      </c>
      <c r="BF176" t="str">
        <v>NOT ENTERED</v>
      </c>
    </row>
    <row r="177" spans="38:58" x14ac:dyDescent="0.45">
      <c r="AL177" t="str">
        <v>C133</v>
      </c>
      <c r="AM177" t="str">
        <v>SALMANUL FARIS</v>
      </c>
      <c r="AN177" t="str">
        <v>B</v>
      </c>
      <c r="AO177" t="str">
        <v>SENIOR</v>
      </c>
      <c r="AP177">
        <v>6</v>
      </c>
      <c r="AQ177">
        <v>0</v>
      </c>
      <c r="AR177">
        <v>0</v>
      </c>
      <c r="AS177">
        <v>0</v>
      </c>
      <c r="AT177">
        <v>1</v>
      </c>
      <c r="AU177">
        <v>0</v>
      </c>
      <c r="AW177" t="str">
        <v>SP14</v>
      </c>
      <c r="AX177" t="str">
        <v>Extempore Speech URD</v>
      </c>
      <c r="AY177" t="str">
        <v>SUPER SENIOR</v>
      </c>
      <c r="AZ177" t="str">
        <v>Single</v>
      </c>
      <c r="BA177" t="str">
        <v>Stage</v>
      </c>
      <c r="BB177">
        <v>3</v>
      </c>
      <c r="BC177" t="str">
        <v>Individual</v>
      </c>
      <c r="BD177" t="str">
        <v>Individual</v>
      </c>
      <c r="BE177">
        <v>0</v>
      </c>
      <c r="BF177" t="str">
        <v>NOT ENTERED</v>
      </c>
    </row>
    <row r="178" spans="38:58" x14ac:dyDescent="0.45">
      <c r="AL178" t="str">
        <v>C134</v>
      </c>
      <c r="AM178" t="str">
        <v>MUHAMMED ABDUL NASIF P.A</v>
      </c>
      <c r="AN178" t="str">
        <v>A</v>
      </c>
      <c r="AO178" t="str">
        <v>SENIOR</v>
      </c>
      <c r="AP178">
        <v>6</v>
      </c>
      <c r="AQ178">
        <v>0</v>
      </c>
      <c r="AR178">
        <v>0</v>
      </c>
      <c r="AS178">
        <v>0</v>
      </c>
      <c r="AT178">
        <v>1</v>
      </c>
      <c r="AU178">
        <v>0</v>
      </c>
      <c r="AW178" t="str">
        <v>SP15</v>
      </c>
      <c r="AX178" t="str">
        <v>Ashwamedham</v>
      </c>
      <c r="AY178" t="str">
        <v>SUPER SENIOR</v>
      </c>
      <c r="AZ178" t="str">
        <v>Single</v>
      </c>
      <c r="BA178" t="str">
        <v>Non-Stg</v>
      </c>
      <c r="BB178">
        <v>3</v>
      </c>
      <c r="BC178" t="str">
        <v>Individual</v>
      </c>
      <c r="BD178" t="str">
        <v>Individual</v>
      </c>
      <c r="BE178">
        <v>0</v>
      </c>
      <c r="BF178" t="str">
        <v>NOT ENTERED</v>
      </c>
    </row>
    <row r="179" spans="38:58" x14ac:dyDescent="0.45">
      <c r="AL179" t="str">
        <v>C135</v>
      </c>
      <c r="AM179" t="str">
        <v>AHAMAD SHABAB P A</v>
      </c>
      <c r="AN179" t="str">
        <v>D</v>
      </c>
      <c r="AO179" t="str">
        <v>SENIOR</v>
      </c>
      <c r="AP179">
        <v>6</v>
      </c>
      <c r="AQ179">
        <v>0</v>
      </c>
      <c r="AR179">
        <v>0</v>
      </c>
      <c r="AS179">
        <v>0</v>
      </c>
      <c r="AT179">
        <v>1</v>
      </c>
      <c r="AU179">
        <v>0</v>
      </c>
      <c r="AW179" t="str">
        <v>SP16</v>
      </c>
      <c r="AX179" t="str">
        <v>Announcement Malayalam</v>
      </c>
      <c r="AY179" t="str">
        <v>SUPER SENIOR</v>
      </c>
      <c r="AZ179" t="str">
        <v>Single</v>
      </c>
      <c r="BA179" t="str">
        <v>Stage</v>
      </c>
      <c r="BB179">
        <v>3</v>
      </c>
      <c r="BC179" t="str">
        <v>Individual</v>
      </c>
      <c r="BD179" t="str">
        <v>Individual</v>
      </c>
      <c r="BE179">
        <v>0</v>
      </c>
      <c r="BF179" t="str">
        <v>NOT ENTERED</v>
      </c>
    </row>
    <row r="180" spans="38:58" x14ac:dyDescent="0.45">
      <c r="AL180" t="str">
        <v>C136</v>
      </c>
      <c r="AM180" t="str">
        <v>MOHAMMED SHAKIR HUSSAIN K.Y</v>
      </c>
      <c r="AN180" t="str">
        <v>B</v>
      </c>
      <c r="AO180" t="str">
        <v>SENIOR</v>
      </c>
      <c r="AP180">
        <v>6</v>
      </c>
      <c r="AQ180">
        <v>0</v>
      </c>
      <c r="AR180">
        <v>0</v>
      </c>
      <c r="AS180">
        <v>0</v>
      </c>
      <c r="AT180">
        <v>1</v>
      </c>
      <c r="AU180">
        <v>0</v>
      </c>
      <c r="AW180" t="str">
        <v>SP17</v>
      </c>
      <c r="AX180" t="str">
        <v xml:space="preserve">Padappattu </v>
      </c>
      <c r="AY180" t="str">
        <v>SUPER SENIOR</v>
      </c>
      <c r="AZ180" t="str">
        <v>Single</v>
      </c>
      <c r="BA180" t="str">
        <v>Non-Stg</v>
      </c>
      <c r="BB180">
        <v>3</v>
      </c>
      <c r="BC180" t="str">
        <v>Individual</v>
      </c>
      <c r="BD180" t="str">
        <v>Individual</v>
      </c>
      <c r="BE180">
        <v>0</v>
      </c>
      <c r="BF180" t="str">
        <v>NOT ENTERED</v>
      </c>
    </row>
    <row r="181" spans="38:58" x14ac:dyDescent="0.45">
      <c r="AL181" t="str">
        <v>C137</v>
      </c>
      <c r="AM181" t="str">
        <v>MUHAMMED SHUHAIB S</v>
      </c>
      <c r="AN181" t="str">
        <v>A</v>
      </c>
      <c r="AO181" t="str">
        <v>SENIOR</v>
      </c>
      <c r="AP181">
        <v>6</v>
      </c>
      <c r="AQ181">
        <v>0</v>
      </c>
      <c r="AR181">
        <v>0</v>
      </c>
      <c r="AS181">
        <v>0</v>
      </c>
      <c r="AT181">
        <v>1</v>
      </c>
      <c r="AU181">
        <v>0</v>
      </c>
      <c r="AW181" t="str">
        <v>SP18</v>
      </c>
      <c r="AX181" t="str">
        <v>Nasheed Arabic</v>
      </c>
      <c r="AY181" t="str">
        <v>SUPER SENIOR</v>
      </c>
      <c r="AZ181" t="str">
        <v>Single</v>
      </c>
      <c r="BA181" t="str">
        <v>Stage</v>
      </c>
      <c r="BB181">
        <v>3</v>
      </c>
      <c r="BC181" t="str">
        <v>Individual</v>
      </c>
      <c r="BD181" t="str">
        <v>Individual</v>
      </c>
      <c r="BE181">
        <v>0</v>
      </c>
      <c r="BF181" t="str">
        <v>NOT ENTERED</v>
      </c>
    </row>
    <row r="182" spans="38:58" x14ac:dyDescent="0.45">
      <c r="AL182" t="str">
        <v>C138</v>
      </c>
      <c r="AM182" t="str">
        <v>MOHAMMED MOINUDDEEN CHISTY</v>
      </c>
      <c r="AN182" t="str">
        <v>A</v>
      </c>
      <c r="AO182" t="str">
        <v>SENIOR</v>
      </c>
      <c r="AP182">
        <v>6</v>
      </c>
      <c r="AQ182">
        <v>0</v>
      </c>
      <c r="AR182">
        <v>0</v>
      </c>
      <c r="AS182">
        <v>0</v>
      </c>
      <c r="AT182">
        <v>1</v>
      </c>
      <c r="AU182">
        <v>0</v>
      </c>
      <c r="AW182" t="str">
        <v>SP19</v>
      </c>
      <c r="AX182" t="str">
        <v>Arabic Commentary</v>
      </c>
      <c r="AY182" t="str">
        <v>SUPER SENIOR</v>
      </c>
      <c r="AZ182" t="str">
        <v>Single</v>
      </c>
      <c r="BA182" t="str">
        <v>Non-Stg</v>
      </c>
      <c r="BB182">
        <v>3</v>
      </c>
      <c r="BC182" t="str">
        <v>Individual</v>
      </c>
      <c r="BD182" t="str">
        <v>Individual</v>
      </c>
      <c r="BE182">
        <v>0</v>
      </c>
      <c r="BF182" t="str">
        <v>NOT ENTERED</v>
      </c>
    </row>
    <row r="183" spans="38:58" x14ac:dyDescent="0.45">
      <c r="AL183" t="str">
        <v>C139</v>
      </c>
      <c r="AM183" t="str">
        <v>SULAIMAN FAHAD AP</v>
      </c>
      <c r="AN183" t="str">
        <v>C</v>
      </c>
      <c r="AO183" t="str">
        <v>SENIOR</v>
      </c>
      <c r="AP183">
        <v>6</v>
      </c>
      <c r="AQ183">
        <v>0</v>
      </c>
      <c r="AR183">
        <v>0</v>
      </c>
      <c r="AS183">
        <v>0</v>
      </c>
      <c r="AT183">
        <v>1</v>
      </c>
      <c r="AU183">
        <v>0</v>
      </c>
      <c r="AW183" t="str">
        <v>SP20</v>
      </c>
      <c r="AX183" t="str">
        <v>Al Faqeeh</v>
      </c>
      <c r="AY183" t="str">
        <v>SUPER SENIOR</v>
      </c>
      <c r="AZ183" t="str">
        <v>Single</v>
      </c>
      <c r="BA183" t="str">
        <v>Stage</v>
      </c>
      <c r="BB183">
        <v>3</v>
      </c>
      <c r="BC183" t="str">
        <v>Individual</v>
      </c>
      <c r="BD183" t="str">
        <v>Individual</v>
      </c>
      <c r="BE183">
        <v>0</v>
      </c>
      <c r="BF183" t="str">
        <v>NOT ENTERED</v>
      </c>
    </row>
    <row r="184" spans="38:58" x14ac:dyDescent="0.45">
      <c r="AL184" t="str">
        <v>C140</v>
      </c>
      <c r="AM184" t="str">
        <v>IJAS EBRAHIM</v>
      </c>
      <c r="AN184" t="str">
        <v>D</v>
      </c>
      <c r="AO184" t="str">
        <v>SENIOR</v>
      </c>
      <c r="AP184">
        <v>6</v>
      </c>
      <c r="AQ184">
        <v>0</v>
      </c>
      <c r="AR184">
        <v>0</v>
      </c>
      <c r="AS184">
        <v>0</v>
      </c>
      <c r="AT184">
        <v>1</v>
      </c>
      <c r="AU184">
        <v>0</v>
      </c>
      <c r="AW184" t="str">
        <v>SP21</v>
      </c>
      <c r="AX184" t="str">
        <v>Hija'unnahla</v>
      </c>
      <c r="AY184" t="str">
        <v>SUPER SENIOR</v>
      </c>
      <c r="AZ184" t="str">
        <v>Single</v>
      </c>
      <c r="BA184" t="str">
        <v>Non-Stg</v>
      </c>
      <c r="BB184">
        <v>3</v>
      </c>
      <c r="BC184" t="str">
        <v>Individual</v>
      </c>
      <c r="BD184" t="str">
        <v>Individual</v>
      </c>
      <c r="BE184">
        <v>0</v>
      </c>
      <c r="BF184" t="str">
        <v>NOT ENTERED</v>
      </c>
    </row>
    <row r="185" spans="38:58" x14ac:dyDescent="0.45">
      <c r="AL185" t="str">
        <v>C141</v>
      </c>
      <c r="AM185" t="str">
        <v>AHMAD MINHAJ</v>
      </c>
      <c r="AN185" t="str">
        <v>C</v>
      </c>
      <c r="AO185" t="str">
        <v>SENIOR</v>
      </c>
      <c r="AP185">
        <v>6</v>
      </c>
      <c r="AQ185">
        <v>0</v>
      </c>
      <c r="AR185">
        <v>0</v>
      </c>
      <c r="AS185">
        <v>0</v>
      </c>
      <c r="AT185">
        <v>1</v>
      </c>
      <c r="AU185">
        <v>0</v>
      </c>
      <c r="AW185" t="str">
        <v>SP22</v>
      </c>
      <c r="AX185" t="str">
        <v>TV News Reading ENG</v>
      </c>
      <c r="AY185" t="str">
        <v>SUPER SENIOR</v>
      </c>
      <c r="AZ185" t="str">
        <v>Group</v>
      </c>
      <c r="BA185" t="str">
        <v>Stage</v>
      </c>
      <c r="BB185">
        <v>3</v>
      </c>
      <c r="BC185" t="str">
        <v>GROUP</v>
      </c>
      <c r="BD185" t="str">
        <v>GROUP</v>
      </c>
      <c r="BE185">
        <v>0</v>
      </c>
      <c r="BF185" t="str">
        <v>NOT ENTERED</v>
      </c>
    </row>
    <row r="186" spans="38:58" x14ac:dyDescent="0.45">
      <c r="AL186" t="str">
        <v>C142</v>
      </c>
      <c r="AM186" t="str">
        <v>AHMAD AMEEN T S</v>
      </c>
      <c r="AN186" t="str">
        <v>A</v>
      </c>
      <c r="AO186" t="str">
        <v>SENIOR</v>
      </c>
      <c r="AP186">
        <v>6</v>
      </c>
      <c r="AQ186">
        <v>0</v>
      </c>
      <c r="AR186">
        <v>0</v>
      </c>
      <c r="AS186">
        <v>0</v>
      </c>
      <c r="AT186">
        <v>1</v>
      </c>
      <c r="AU186">
        <v>0</v>
      </c>
      <c r="AW186" t="str">
        <v>SP23</v>
      </c>
      <c r="AX186" t="str">
        <v>Mashup</v>
      </c>
      <c r="AY186" t="str">
        <v>SUPER SENIOR</v>
      </c>
      <c r="AZ186" t="str">
        <v>Group</v>
      </c>
      <c r="BA186" t="str">
        <v>Non-Stg</v>
      </c>
      <c r="BB186">
        <v>3</v>
      </c>
      <c r="BC186" t="str">
        <v>GROUP 3</v>
      </c>
      <c r="BD186" t="str">
        <v>GROUP 3</v>
      </c>
      <c r="BE186">
        <v>0</v>
      </c>
      <c r="BF186" t="str">
        <v>NOT ENTERED</v>
      </c>
    </row>
    <row r="187" spans="38:58" x14ac:dyDescent="0.45">
      <c r="AL187" t="str">
        <v>C143</v>
      </c>
      <c r="AM187" t="str">
        <v>MUHAMMED SINAN M</v>
      </c>
      <c r="AN187" t="str">
        <v>D</v>
      </c>
      <c r="AO187" t="str">
        <v>SENIOR</v>
      </c>
      <c r="AP187">
        <v>6</v>
      </c>
      <c r="AQ187">
        <v>0</v>
      </c>
      <c r="AR187">
        <v>0</v>
      </c>
      <c r="AS187">
        <v>0</v>
      </c>
      <c r="AT187">
        <v>1</v>
      </c>
      <c r="AU187">
        <v>0</v>
      </c>
      <c r="AW187" t="str">
        <v>SP24</v>
      </c>
      <c r="AX187" t="str">
        <v>Poem writing Arabic</v>
      </c>
      <c r="AY187" t="str">
        <v>SUPER SENIOR</v>
      </c>
      <c r="AZ187" t="str">
        <v>Single</v>
      </c>
      <c r="BA187" t="str">
        <v>Stage</v>
      </c>
      <c r="BB187">
        <v>3</v>
      </c>
      <c r="BC187" t="str">
        <v>Individual</v>
      </c>
      <c r="BD187" t="str">
        <v>Individual</v>
      </c>
      <c r="BE187">
        <v>0</v>
      </c>
      <c r="BF187" t="str">
        <v>NOT ENTERED</v>
      </c>
    </row>
    <row r="188" spans="38:58" x14ac:dyDescent="0.45">
      <c r="AL188" t="str">
        <v>C144</v>
      </c>
      <c r="AM188" t="str">
        <v>MUHAMMED ASHKKAR ALI</v>
      </c>
      <c r="AN188" t="str">
        <v>B</v>
      </c>
      <c r="AO188" t="str">
        <v>SENIOR</v>
      </c>
      <c r="AP188">
        <v>6</v>
      </c>
      <c r="AQ188">
        <v>0</v>
      </c>
      <c r="AR188">
        <v>0</v>
      </c>
      <c r="AS188">
        <v>0</v>
      </c>
      <c r="AT188">
        <v>1</v>
      </c>
      <c r="AU188">
        <v>0</v>
      </c>
      <c r="AW188" t="str">
        <v>SP25</v>
      </c>
      <c r="AX188" t="str">
        <v>Poem writing urdu</v>
      </c>
      <c r="AY188" t="str">
        <v>SUPER SENIOR</v>
      </c>
      <c r="AZ188" t="str">
        <v>Single</v>
      </c>
      <c r="BA188" t="str">
        <v>Non-Stg</v>
      </c>
      <c r="BB188">
        <v>3</v>
      </c>
      <c r="BC188" t="str">
        <v>Individual</v>
      </c>
      <c r="BD188" t="str">
        <v>Individual</v>
      </c>
      <c r="BE188">
        <v>0</v>
      </c>
      <c r="BF188" t="str">
        <v>NOT ENTERED</v>
      </c>
    </row>
    <row r="189" spans="38:58" x14ac:dyDescent="0.45">
      <c r="AL189" t="str">
        <v>C145</v>
      </c>
      <c r="AM189" t="str">
        <v>SHAMEEL AHAMMED P</v>
      </c>
      <c r="AN189" t="str">
        <v>C</v>
      </c>
      <c r="AO189" t="str">
        <v>SENIOR</v>
      </c>
      <c r="AP189">
        <v>6</v>
      </c>
      <c r="AQ189">
        <v>0</v>
      </c>
      <c r="AR189">
        <v>0</v>
      </c>
      <c r="AS189">
        <v>0</v>
      </c>
      <c r="AT189">
        <v>1</v>
      </c>
      <c r="AU189">
        <v>0</v>
      </c>
      <c r="AW189" t="str">
        <v>SP26</v>
      </c>
      <c r="AX189" t="str">
        <v>Poem writing English</v>
      </c>
      <c r="AY189" t="str">
        <v>SUPER SENIOR</v>
      </c>
      <c r="AZ189" t="str">
        <v>Single</v>
      </c>
      <c r="BA189" t="str">
        <v>Stage</v>
      </c>
      <c r="BB189">
        <v>3</v>
      </c>
      <c r="BC189" t="str">
        <v>Individual</v>
      </c>
      <c r="BD189" t="str">
        <v>Individual</v>
      </c>
      <c r="BE189">
        <v>0</v>
      </c>
      <c r="BF189" t="str">
        <v>NOT ENTERED</v>
      </c>
    </row>
    <row r="190" spans="38:58" x14ac:dyDescent="0.45">
      <c r="AL190" t="str">
        <v>C146</v>
      </c>
      <c r="AM190" t="str">
        <v>IMRAN HUSSAIN TI</v>
      </c>
      <c r="AN190" t="str">
        <v>D</v>
      </c>
      <c r="AO190" t="str">
        <v>SENIOR</v>
      </c>
      <c r="AP190">
        <v>6</v>
      </c>
      <c r="AQ190">
        <v>0</v>
      </c>
      <c r="AR190">
        <v>0</v>
      </c>
      <c r="AS190">
        <v>0</v>
      </c>
      <c r="AT190">
        <v>1</v>
      </c>
      <c r="AU190">
        <v>0</v>
      </c>
      <c r="AW190" t="str">
        <v>SP27</v>
      </c>
      <c r="AX190" t="str">
        <v>Poem writing Malayalam</v>
      </c>
      <c r="AY190" t="str">
        <v>SUPER SENIOR</v>
      </c>
      <c r="AZ190" t="str">
        <v>Single</v>
      </c>
      <c r="BA190" t="str">
        <v>Non-Stg</v>
      </c>
      <c r="BB190">
        <v>3</v>
      </c>
      <c r="BC190" t="str">
        <v>Individual</v>
      </c>
      <c r="BD190" t="str">
        <v>Individual</v>
      </c>
      <c r="BE190">
        <v>0</v>
      </c>
      <c r="BF190" t="str">
        <v>NOT ENTERED</v>
      </c>
    </row>
    <row r="191" spans="38:58" x14ac:dyDescent="0.45">
      <c r="AL191" t="str">
        <v>C147</v>
      </c>
      <c r="AM191" t="str">
        <v>AHAMED ZAKI FOUZAN T.Z</v>
      </c>
      <c r="AN191" t="str">
        <v>D</v>
      </c>
      <c r="AO191" t="str">
        <v>SENIOR</v>
      </c>
      <c r="AP191">
        <v>6</v>
      </c>
      <c r="AQ191">
        <v>0</v>
      </c>
      <c r="AR191">
        <v>0</v>
      </c>
      <c r="AS191">
        <v>0</v>
      </c>
      <c r="AT191">
        <v>1</v>
      </c>
      <c r="AU191">
        <v>0</v>
      </c>
      <c r="AW191" t="str">
        <v>SP28</v>
      </c>
      <c r="AX191" t="str">
        <v>Essay Composition Arabic</v>
      </c>
      <c r="AY191" t="str">
        <v>SUPER SENIOR</v>
      </c>
      <c r="AZ191" t="str">
        <v>Single</v>
      </c>
      <c r="BA191" t="str">
        <v>Stage</v>
      </c>
      <c r="BB191">
        <v>3</v>
      </c>
      <c r="BC191" t="str">
        <v>Individual</v>
      </c>
      <c r="BD191" t="str">
        <v>Individual</v>
      </c>
      <c r="BE191">
        <v>0</v>
      </c>
      <c r="BF191" t="str">
        <v>NOT ENTERED</v>
      </c>
    </row>
    <row r="192" spans="38:58" x14ac:dyDescent="0.45">
      <c r="AL192" t="str">
        <v>C148</v>
      </c>
      <c r="AM192" t="str">
        <v>MUHAMMED SHABEEB</v>
      </c>
      <c r="AN192" t="str">
        <v>C</v>
      </c>
      <c r="AO192" t="str">
        <v>SENIOR</v>
      </c>
      <c r="AP192">
        <v>6</v>
      </c>
      <c r="AQ192">
        <v>0</v>
      </c>
      <c r="AR192">
        <v>0</v>
      </c>
      <c r="AS192">
        <v>0</v>
      </c>
      <c r="AT192">
        <v>1</v>
      </c>
      <c r="AU192">
        <v>0</v>
      </c>
      <c r="AW192" t="str">
        <v>SP29</v>
      </c>
      <c r="AX192" t="str">
        <v>Essay Composition Urdu</v>
      </c>
      <c r="AY192" t="str">
        <v>SUPER SENIOR</v>
      </c>
      <c r="AZ192" t="str">
        <v>Single</v>
      </c>
      <c r="BA192" t="str">
        <v>Non-Stg</v>
      </c>
      <c r="BB192">
        <v>3</v>
      </c>
      <c r="BC192" t="str">
        <v>Individual</v>
      </c>
      <c r="BD192" t="str">
        <v>Individual</v>
      </c>
      <c r="BE192">
        <v>0</v>
      </c>
      <c r="BF192" t="str">
        <v>NOT ENTERED</v>
      </c>
    </row>
    <row r="193" spans="38:58" x14ac:dyDescent="0.45">
      <c r="AL193" t="str">
        <v>C149</v>
      </c>
      <c r="AM193" t="str">
        <v>ABDUL BAAIS N.A</v>
      </c>
      <c r="AN193" t="str">
        <v>A</v>
      </c>
      <c r="AO193" t="str">
        <v>SENIOR</v>
      </c>
      <c r="AP193">
        <v>6</v>
      </c>
      <c r="AQ193">
        <v>0</v>
      </c>
      <c r="AR193">
        <v>0</v>
      </c>
      <c r="AS193">
        <v>0</v>
      </c>
      <c r="AT193">
        <v>1</v>
      </c>
      <c r="AU193">
        <v>0</v>
      </c>
      <c r="AW193" t="str">
        <v>SP30</v>
      </c>
      <c r="AX193" t="str">
        <v>Essay Composition English</v>
      </c>
      <c r="AY193" t="str">
        <v>SUPER SENIOR</v>
      </c>
      <c r="AZ193" t="str">
        <v>Single</v>
      </c>
      <c r="BA193" t="str">
        <v>Stage</v>
      </c>
      <c r="BB193">
        <v>3</v>
      </c>
      <c r="BC193" t="str">
        <v>Individual</v>
      </c>
      <c r="BD193" t="str">
        <v>Individual</v>
      </c>
      <c r="BE193">
        <v>0</v>
      </c>
      <c r="BF193" t="str">
        <v>NOT ENTERED</v>
      </c>
    </row>
    <row r="194" spans="38:58" x14ac:dyDescent="0.45">
      <c r="AL194" t="str">
        <v>C150</v>
      </c>
      <c r="AM194" t="str">
        <v>MUHAMMED PK</v>
      </c>
      <c r="AN194" t="str">
        <v>B</v>
      </c>
      <c r="AO194" t="str">
        <v>SENIOR</v>
      </c>
      <c r="AP194">
        <v>6</v>
      </c>
      <c r="AQ194">
        <v>0</v>
      </c>
      <c r="AR194">
        <v>0</v>
      </c>
      <c r="AS194">
        <v>0</v>
      </c>
      <c r="AT194">
        <v>1</v>
      </c>
      <c r="AU194">
        <v>0</v>
      </c>
      <c r="AW194" t="str">
        <v>SP31</v>
      </c>
      <c r="AX194" t="str">
        <v>Essay Composition Malayalam</v>
      </c>
      <c r="AY194" t="str">
        <v>SUPER SENIOR</v>
      </c>
      <c r="AZ194" t="str">
        <v>Single</v>
      </c>
      <c r="BA194" t="str">
        <v>Non-Stg</v>
      </c>
      <c r="BB194">
        <v>3</v>
      </c>
      <c r="BC194" t="str">
        <v>Individual</v>
      </c>
      <c r="BD194" t="str">
        <v>Individual</v>
      </c>
      <c r="BE194">
        <v>0</v>
      </c>
      <c r="BF194" t="str">
        <v>NOT ENTERED</v>
      </c>
    </row>
    <row r="195" spans="38:58" x14ac:dyDescent="0.45">
      <c r="AL195" t="str">
        <v>C151</v>
      </c>
      <c r="AM195" t="str">
        <v>MOHAMMED ASHMIL K A</v>
      </c>
      <c r="AN195" t="str">
        <v>D</v>
      </c>
      <c r="AO195" t="str">
        <v>SENIOR</v>
      </c>
      <c r="AP195">
        <v>6</v>
      </c>
      <c r="AQ195">
        <v>0</v>
      </c>
      <c r="AR195">
        <v>0</v>
      </c>
      <c r="AS195">
        <v>0</v>
      </c>
      <c r="AT195">
        <v>1</v>
      </c>
      <c r="AU195">
        <v>0</v>
      </c>
      <c r="AW195" t="str">
        <v>SP32</v>
      </c>
      <c r="AX195" t="str">
        <v>Short story Writing Arabic</v>
      </c>
      <c r="AY195" t="str">
        <v>SUPER SENIOR</v>
      </c>
      <c r="AZ195" t="str">
        <v>Single</v>
      </c>
      <c r="BA195" t="str">
        <v>Stage</v>
      </c>
      <c r="BB195">
        <v>3</v>
      </c>
      <c r="BC195" t="str">
        <v>Individual</v>
      </c>
      <c r="BD195" t="str">
        <v>Individual</v>
      </c>
      <c r="BE195">
        <v>0</v>
      </c>
      <c r="BF195" t="str">
        <v>NOT ENTERED</v>
      </c>
    </row>
    <row r="196" spans="38:58" x14ac:dyDescent="0.45">
      <c r="AL196" t="str">
        <v>C152</v>
      </c>
      <c r="AM196" t="str">
        <v>MUHAMMED SABITH ALI TM</v>
      </c>
      <c r="AN196" t="str">
        <v>D</v>
      </c>
      <c r="AO196" t="str">
        <v>SENIOR</v>
      </c>
      <c r="AP196">
        <v>6</v>
      </c>
      <c r="AQ196">
        <v>0</v>
      </c>
      <c r="AR196">
        <v>0</v>
      </c>
      <c r="AS196">
        <v>0</v>
      </c>
      <c r="AT196">
        <v>1</v>
      </c>
      <c r="AU196">
        <v>0</v>
      </c>
      <c r="AW196" t="str">
        <v>SP33</v>
      </c>
      <c r="AX196" t="str">
        <v>Short story Writing Urdu</v>
      </c>
      <c r="AY196" t="str">
        <v>SUPER SENIOR</v>
      </c>
      <c r="AZ196" t="str">
        <v>Single</v>
      </c>
      <c r="BA196" t="str">
        <v>Non-Stg</v>
      </c>
      <c r="BB196">
        <v>3</v>
      </c>
      <c r="BC196" t="str">
        <v>Individual</v>
      </c>
      <c r="BD196" t="str">
        <v>Individual</v>
      </c>
      <c r="BE196">
        <v>0</v>
      </c>
      <c r="BF196" t="str">
        <v>NOT ENTERED</v>
      </c>
    </row>
    <row r="197" spans="38:58" x14ac:dyDescent="0.45">
      <c r="AL197" t="str">
        <v>C153</v>
      </c>
      <c r="AM197" t="str">
        <v>MUHAMMED AHMASH K</v>
      </c>
      <c r="AN197" t="str">
        <v>B</v>
      </c>
      <c r="AO197" t="str">
        <v>SENIOR</v>
      </c>
      <c r="AP197">
        <v>6</v>
      </c>
      <c r="AQ197">
        <v>0</v>
      </c>
      <c r="AR197">
        <v>0</v>
      </c>
      <c r="AS197">
        <v>0</v>
      </c>
      <c r="AT197">
        <v>1</v>
      </c>
      <c r="AU197">
        <v>0</v>
      </c>
      <c r="AW197" t="str">
        <v>SP34</v>
      </c>
      <c r="AX197" t="str">
        <v>Short story Writing English</v>
      </c>
      <c r="AY197" t="str">
        <v>SUPER SENIOR</v>
      </c>
      <c r="AZ197" t="str">
        <v>Single</v>
      </c>
      <c r="BA197" t="str">
        <v>Stage</v>
      </c>
      <c r="BB197">
        <v>3</v>
      </c>
      <c r="BC197" t="str">
        <v>Individual</v>
      </c>
      <c r="BD197" t="str">
        <v>Individual</v>
      </c>
      <c r="BE197">
        <v>0</v>
      </c>
      <c r="BF197" t="str">
        <v>NOT ENTERED</v>
      </c>
    </row>
    <row r="198" spans="38:58" x14ac:dyDescent="0.45">
      <c r="AL198" t="str">
        <v>C154</v>
      </c>
      <c r="AM198" t="str">
        <v>MOHAMMED RAZEEN S.P</v>
      </c>
      <c r="AN198" t="str">
        <v>B</v>
      </c>
      <c r="AO198" t="str">
        <v>SENIOR</v>
      </c>
      <c r="AP198">
        <v>6</v>
      </c>
      <c r="AQ198">
        <v>0</v>
      </c>
      <c r="AR198">
        <v>0</v>
      </c>
      <c r="AS198">
        <v>0</v>
      </c>
      <c r="AT198">
        <v>1</v>
      </c>
      <c r="AU198">
        <v>0</v>
      </c>
      <c r="AW198" t="str">
        <v>SP35</v>
      </c>
      <c r="AX198" t="str">
        <v>Short story Writing Malayalam</v>
      </c>
      <c r="AY198" t="str">
        <v>SUPER SENIOR</v>
      </c>
      <c r="AZ198" t="str">
        <v>Single</v>
      </c>
      <c r="BA198" t="str">
        <v>Non-Stg</v>
      </c>
      <c r="BB198">
        <v>3</v>
      </c>
      <c r="BC198" t="str">
        <v>Individual</v>
      </c>
      <c r="BD198" t="str">
        <v>Individual</v>
      </c>
      <c r="BE198">
        <v>0</v>
      </c>
      <c r="BF198" t="str">
        <v>NOT ENTERED</v>
      </c>
    </row>
    <row r="199" spans="38:58" x14ac:dyDescent="0.45">
      <c r="AL199" t="str">
        <v>C155</v>
      </c>
      <c r="AM199" t="str">
        <v>HASSAN ZARKASH</v>
      </c>
      <c r="AN199" t="str">
        <v>A</v>
      </c>
      <c r="AO199" t="str">
        <v>SENIOR</v>
      </c>
      <c r="AP199">
        <v>6</v>
      </c>
      <c r="AQ199">
        <v>0</v>
      </c>
      <c r="AR199">
        <v>0</v>
      </c>
      <c r="AS199">
        <v>0</v>
      </c>
      <c r="AT199">
        <v>1</v>
      </c>
      <c r="AU199">
        <v>0</v>
      </c>
      <c r="AW199" t="str">
        <v>SP36</v>
      </c>
      <c r="AX199" t="str">
        <v>Proof Reading URD</v>
      </c>
      <c r="AY199" t="str">
        <v>SUPER SENIOR</v>
      </c>
      <c r="AZ199" t="str">
        <v>Single</v>
      </c>
      <c r="BA199" t="str">
        <v>Stage</v>
      </c>
      <c r="BB199">
        <v>3</v>
      </c>
      <c r="BC199" t="str">
        <v>Individual</v>
      </c>
      <c r="BD199" t="str">
        <v>Individual</v>
      </c>
      <c r="BE199">
        <v>0</v>
      </c>
      <c r="BF199" t="str">
        <v>NOT ENTERED</v>
      </c>
    </row>
    <row r="200" spans="38:58" x14ac:dyDescent="0.45">
      <c r="AL200" t="str">
        <v>C156</v>
      </c>
      <c r="AM200" t="str">
        <v>ABDULLA RAMSHAD</v>
      </c>
      <c r="AN200" t="str">
        <v>A</v>
      </c>
      <c r="AO200" t="str">
        <v>SENIOR</v>
      </c>
      <c r="AP200">
        <v>6</v>
      </c>
      <c r="AQ200">
        <v>0</v>
      </c>
      <c r="AR200">
        <v>0</v>
      </c>
      <c r="AS200">
        <v>0</v>
      </c>
      <c r="AT200">
        <v>1</v>
      </c>
      <c r="AU200">
        <v>0</v>
      </c>
      <c r="AW200" t="str">
        <v>SP37</v>
      </c>
      <c r="AX200" t="str">
        <v>Proof Reading ENG</v>
      </c>
      <c r="AY200" t="str">
        <v>SUPER SENIOR</v>
      </c>
      <c r="AZ200" t="str">
        <v>Single</v>
      </c>
      <c r="BA200" t="str">
        <v>Non-Stg</v>
      </c>
      <c r="BB200">
        <v>3</v>
      </c>
      <c r="BC200" t="str">
        <v>Individual</v>
      </c>
      <c r="BD200" t="str">
        <v>Individual</v>
      </c>
      <c r="BE200">
        <v>0</v>
      </c>
      <c r="BF200" t="str">
        <v>NOT ENTERED</v>
      </c>
    </row>
    <row r="201" spans="38:58" x14ac:dyDescent="0.45">
      <c r="AL201" t="str">
        <v>C157</v>
      </c>
      <c r="AM201" t="str">
        <v>HASAN YASIR</v>
      </c>
      <c r="AN201" t="str">
        <v>C</v>
      </c>
      <c r="AO201" t="str">
        <v>SENIOR</v>
      </c>
      <c r="AP201">
        <v>6</v>
      </c>
      <c r="AQ201">
        <v>0</v>
      </c>
      <c r="AR201">
        <v>0</v>
      </c>
      <c r="AS201">
        <v>0</v>
      </c>
      <c r="AT201">
        <v>1</v>
      </c>
      <c r="AU201">
        <v>0</v>
      </c>
      <c r="AW201" t="str">
        <v>SP38</v>
      </c>
      <c r="AX201" t="str">
        <v>Proof Reading ARB</v>
      </c>
      <c r="AY201" t="str">
        <v>SUPER SENIOR</v>
      </c>
      <c r="AZ201" t="str">
        <v>Single</v>
      </c>
      <c r="BA201" t="str">
        <v>Stage</v>
      </c>
      <c r="BB201">
        <v>3</v>
      </c>
      <c r="BC201" t="str">
        <v>Individual</v>
      </c>
      <c r="BD201" t="str">
        <v>Individual</v>
      </c>
      <c r="BE201">
        <v>0</v>
      </c>
      <c r="BF201" t="str">
        <v>NOT ENTERED</v>
      </c>
    </row>
    <row r="202" spans="38:58" x14ac:dyDescent="0.45">
      <c r="AL202" t="str">
        <v>C158</v>
      </c>
      <c r="AM202" t="str">
        <v>ABDUL FATHAH AHAMMED C</v>
      </c>
      <c r="AN202" t="str">
        <v>B</v>
      </c>
      <c r="AO202" t="str">
        <v>SENIOR</v>
      </c>
      <c r="AP202">
        <v>6</v>
      </c>
      <c r="AQ202">
        <v>0</v>
      </c>
      <c r="AR202">
        <v>0</v>
      </c>
      <c r="AS202">
        <v>0</v>
      </c>
      <c r="AT202">
        <v>1</v>
      </c>
      <c r="AU202">
        <v>0</v>
      </c>
      <c r="AW202" t="str">
        <v>SP39</v>
      </c>
      <c r="AX202" t="str">
        <v>Proof Reading MLM</v>
      </c>
      <c r="AY202" t="str">
        <v>SUPER SENIOR</v>
      </c>
      <c r="AZ202" t="str">
        <v>Single</v>
      </c>
      <c r="BA202" t="str">
        <v>Non-Stg</v>
      </c>
      <c r="BB202">
        <v>3</v>
      </c>
      <c r="BC202" t="str">
        <v>Individual</v>
      </c>
      <c r="BD202" t="str">
        <v>Individual</v>
      </c>
      <c r="BE202">
        <v>0</v>
      </c>
      <c r="BF202" t="str">
        <v>NOT ENTERED</v>
      </c>
    </row>
    <row r="203" spans="38:58" x14ac:dyDescent="0.45">
      <c r="AL203" t="str">
        <v>C159</v>
      </c>
      <c r="AM203" t="str">
        <v>MUHAMMED KAIF BS</v>
      </c>
      <c r="AN203" t="str">
        <v>C</v>
      </c>
      <c r="AO203" t="str">
        <v>SENIOR</v>
      </c>
      <c r="AP203">
        <v>6</v>
      </c>
      <c r="AQ203">
        <v>0</v>
      </c>
      <c r="AR203">
        <v>0</v>
      </c>
      <c r="AS203">
        <v>0</v>
      </c>
      <c r="AT203">
        <v>1</v>
      </c>
      <c r="AU203">
        <v>0</v>
      </c>
      <c r="AW203" t="str">
        <v>SP40</v>
      </c>
      <c r="AX203" t="str">
        <v>Photography</v>
      </c>
      <c r="AY203" t="str">
        <v>SUPER SENIOR</v>
      </c>
      <c r="AZ203" t="str">
        <v>Single</v>
      </c>
      <c r="BA203" t="str">
        <v>Stage</v>
      </c>
      <c r="BB203">
        <v>3</v>
      </c>
      <c r="BC203" t="str">
        <v>Individual</v>
      </c>
      <c r="BD203" t="str">
        <v>Individual</v>
      </c>
      <c r="BE203">
        <v>0</v>
      </c>
      <c r="BF203" t="str">
        <v>NOT ENTERED</v>
      </c>
    </row>
    <row r="204" spans="38:58" x14ac:dyDescent="0.45">
      <c r="AL204" t="str">
        <v>C160</v>
      </c>
      <c r="AM204" t="str">
        <v>AJMAL AM</v>
      </c>
      <c r="AN204" t="str">
        <v>C</v>
      </c>
      <c r="AO204" t="str">
        <v>SENIOR</v>
      </c>
      <c r="AP204">
        <v>7</v>
      </c>
      <c r="AQ204">
        <v>0</v>
      </c>
      <c r="AR204">
        <v>0</v>
      </c>
      <c r="AS204">
        <v>0</v>
      </c>
      <c r="AT204">
        <v>1</v>
      </c>
      <c r="AU204">
        <v>0</v>
      </c>
      <c r="AW204" t="str">
        <v>SP41</v>
      </c>
      <c r="AX204" t="str">
        <v>Translation ( Tri-Lingual )</v>
      </c>
      <c r="AY204" t="str">
        <v>SUPER SENIOR</v>
      </c>
      <c r="AZ204" t="str">
        <v>Single</v>
      </c>
      <c r="BA204" t="str">
        <v>Non-Stg</v>
      </c>
      <c r="BB204">
        <v>3</v>
      </c>
      <c r="BC204" t="str">
        <v>Individual</v>
      </c>
      <c r="BD204" t="str">
        <v>Individual</v>
      </c>
      <c r="BE204">
        <v>0</v>
      </c>
      <c r="BF204" t="str">
        <v>NOT ENTERED</v>
      </c>
    </row>
    <row r="205" spans="38:58" x14ac:dyDescent="0.45">
      <c r="AL205" t="str">
        <v>C161</v>
      </c>
      <c r="AM205" t="str">
        <v>MOHAMMED ABDUL KHADER NABAVI E A</v>
      </c>
      <c r="AN205" t="str">
        <v>B</v>
      </c>
      <c r="AO205" t="str">
        <v>SENIOR</v>
      </c>
      <c r="AP205">
        <v>7</v>
      </c>
      <c r="AQ205">
        <v>0</v>
      </c>
      <c r="AR205">
        <v>0</v>
      </c>
      <c r="AS205">
        <v>0</v>
      </c>
      <c r="AT205">
        <v>1</v>
      </c>
      <c r="AU205">
        <v>0</v>
      </c>
      <c r="AW205" t="str">
        <v>SP42</v>
      </c>
      <c r="AX205" t="str">
        <v>Cover Designing ENG</v>
      </c>
      <c r="AY205" t="str">
        <v>SUPER SENIOR</v>
      </c>
      <c r="AZ205" t="str">
        <v>Single</v>
      </c>
      <c r="BA205" t="str">
        <v>Stage</v>
      </c>
      <c r="BB205">
        <v>3</v>
      </c>
      <c r="BC205" t="str">
        <v>Individual</v>
      </c>
      <c r="BD205" t="str">
        <v>Individual</v>
      </c>
      <c r="BE205">
        <v>0</v>
      </c>
      <c r="BF205" t="str">
        <v>NOT ENTERED</v>
      </c>
    </row>
    <row r="206" spans="38:58" x14ac:dyDescent="0.45">
      <c r="AL206" t="str">
        <v>C162</v>
      </c>
      <c r="AM206" t="str">
        <v>MUHAMMAD K.A</v>
      </c>
      <c r="AN206" t="str">
        <v>A</v>
      </c>
      <c r="AO206" t="str">
        <v>SENIOR</v>
      </c>
      <c r="AP206">
        <v>7</v>
      </c>
      <c r="AQ206">
        <v>0</v>
      </c>
      <c r="AR206">
        <v>0</v>
      </c>
      <c r="AS206">
        <v>0</v>
      </c>
      <c r="AT206">
        <v>1</v>
      </c>
      <c r="AU206">
        <v>0</v>
      </c>
      <c r="AW206" t="str">
        <v>SP43</v>
      </c>
      <c r="AX206" t="str">
        <v>Digital Troll Making</v>
      </c>
      <c r="AY206" t="str">
        <v>SUPER SENIOR</v>
      </c>
      <c r="AZ206" t="str">
        <v>Single</v>
      </c>
      <c r="BA206" t="str">
        <v>Non-Stg</v>
      </c>
      <c r="BB206">
        <v>3</v>
      </c>
      <c r="BC206" t="str">
        <v>Individual</v>
      </c>
      <c r="BD206" t="str">
        <v>Individual</v>
      </c>
      <c r="BE206">
        <v>0</v>
      </c>
      <c r="BF206" t="str">
        <v>NOT ENTERED</v>
      </c>
    </row>
    <row r="207" spans="38:58" x14ac:dyDescent="0.45">
      <c r="AL207" t="str">
        <v>C163</v>
      </c>
      <c r="AM207" t="str">
        <v>MOHAMMED SAHEED A.K</v>
      </c>
      <c r="AN207" t="str">
        <v>D</v>
      </c>
      <c r="AO207" t="str">
        <v>SENIOR</v>
      </c>
      <c r="AP207">
        <v>7</v>
      </c>
      <c r="AQ207">
        <v>0</v>
      </c>
      <c r="AR207">
        <v>0</v>
      </c>
      <c r="AS207">
        <v>0</v>
      </c>
      <c r="AT207">
        <v>1</v>
      </c>
      <c r="AU207">
        <v>0</v>
      </c>
      <c r="AW207" t="str">
        <v>SP44</v>
      </c>
      <c r="AX207" t="str">
        <v>Thahleel al Ibara</v>
      </c>
      <c r="AY207" t="str">
        <v>SUPER SENIOR</v>
      </c>
      <c r="AZ207" t="str">
        <v>Single</v>
      </c>
      <c r="BA207" t="str">
        <v>Stage</v>
      </c>
      <c r="BB207">
        <v>3</v>
      </c>
      <c r="BC207" t="str">
        <v>Individual</v>
      </c>
      <c r="BD207" t="str">
        <v>Individual</v>
      </c>
      <c r="BE207">
        <v>0</v>
      </c>
      <c r="BF207" t="str">
        <v>NOT ENTERED</v>
      </c>
    </row>
    <row r="208" spans="38:58" x14ac:dyDescent="0.45">
      <c r="AL208" t="str">
        <v>C164</v>
      </c>
      <c r="AM208" t="str">
        <v>AHMED FAHEEM MA</v>
      </c>
      <c r="AN208" t="str">
        <v>A</v>
      </c>
      <c r="AO208" t="str">
        <v>SENIOR</v>
      </c>
      <c r="AP208">
        <v>7</v>
      </c>
      <c r="AQ208">
        <v>0</v>
      </c>
      <c r="AR208">
        <v>0</v>
      </c>
      <c r="AS208">
        <v>0</v>
      </c>
      <c r="AT208">
        <v>1</v>
      </c>
      <c r="AU208">
        <v>0</v>
      </c>
      <c r="AW208" t="str">
        <v>SP45</v>
      </c>
      <c r="AX208" t="str">
        <v>Video Making</v>
      </c>
      <c r="AY208" t="str">
        <v>SUPER SENIOR</v>
      </c>
      <c r="AZ208" t="str">
        <v>Single</v>
      </c>
      <c r="BA208" t="str">
        <v>Non-Stg</v>
      </c>
      <c r="BB208">
        <v>3</v>
      </c>
      <c r="BC208" t="str">
        <v>Individual</v>
      </c>
      <c r="BD208" t="str">
        <v>Individual</v>
      </c>
      <c r="BE208">
        <v>0</v>
      </c>
      <c r="BF208" t="str">
        <v>NOT ENTERED</v>
      </c>
    </row>
    <row r="209" spans="38:58" x14ac:dyDescent="0.45">
      <c r="AL209" t="str">
        <v>C165</v>
      </c>
      <c r="AM209" t="str">
        <v>MUHAMMAD IBN AHMAD</v>
      </c>
      <c r="AN209" t="str">
        <v>D</v>
      </c>
      <c r="AO209" t="str">
        <v>SENIOR</v>
      </c>
      <c r="AP209">
        <v>7</v>
      </c>
      <c r="AQ209">
        <v>0</v>
      </c>
      <c r="AR209">
        <v>0</v>
      </c>
      <c r="AS209">
        <v>0</v>
      </c>
      <c r="AT209">
        <v>1</v>
      </c>
      <c r="AU209">
        <v>0</v>
      </c>
      <c r="AW209" t="str">
        <v>SP46</v>
      </c>
      <c r="AX209" t="str">
        <v>Logo Designing</v>
      </c>
      <c r="AY209" t="str">
        <v>SUPER SENIOR</v>
      </c>
      <c r="AZ209" t="str">
        <v>Single</v>
      </c>
      <c r="BA209" t="str">
        <v>Stage</v>
      </c>
      <c r="BB209">
        <v>3</v>
      </c>
      <c r="BC209" t="str">
        <v>Individual</v>
      </c>
      <c r="BD209" t="str">
        <v>Individual</v>
      </c>
      <c r="BE209">
        <v>0</v>
      </c>
      <c r="BF209" t="str">
        <v>NOT ENTERED</v>
      </c>
    </row>
    <row r="210" spans="38:58" x14ac:dyDescent="0.45">
      <c r="AL210" t="str">
        <v>C166</v>
      </c>
      <c r="AM210" t="str">
        <v>RESWAN</v>
      </c>
      <c r="AN210" t="str">
        <v>B</v>
      </c>
      <c r="AO210" t="str">
        <v>SENIOR</v>
      </c>
      <c r="AP210">
        <v>7</v>
      </c>
      <c r="AQ210">
        <v>0</v>
      </c>
      <c r="AR210">
        <v>0</v>
      </c>
      <c r="AS210">
        <v>0</v>
      </c>
      <c r="AT210">
        <v>1</v>
      </c>
      <c r="AU210">
        <v>0</v>
      </c>
      <c r="AW210" t="str">
        <v>SP47</v>
      </c>
      <c r="AX210" t="str">
        <v>Social Media Updates ENG</v>
      </c>
      <c r="AY210" t="str">
        <v>SUPER SENIOR</v>
      </c>
      <c r="AZ210" t="str">
        <v>Single</v>
      </c>
      <c r="BA210" t="str">
        <v>Non-Stg</v>
      </c>
      <c r="BB210">
        <v>3</v>
      </c>
      <c r="BC210" t="str">
        <v>Individual</v>
      </c>
      <c r="BD210" t="str">
        <v>Individual</v>
      </c>
      <c r="BE210">
        <v>0</v>
      </c>
      <c r="BF210" t="str">
        <v>NOT ENTERED</v>
      </c>
    </row>
    <row r="211" spans="38:58" x14ac:dyDescent="0.45">
      <c r="AL211" t="str">
        <v>C167</v>
      </c>
      <c r="AM211" t="str">
        <v>MUHAMMED MUJTHABA MK</v>
      </c>
      <c r="AN211" t="str">
        <v>D</v>
      </c>
      <c r="AO211" t="str">
        <v>SENIOR</v>
      </c>
      <c r="AP211">
        <v>7</v>
      </c>
      <c r="AQ211">
        <v>0</v>
      </c>
      <c r="AR211">
        <v>0</v>
      </c>
      <c r="AS211">
        <v>0</v>
      </c>
      <c r="AT211">
        <v>1</v>
      </c>
      <c r="AU211">
        <v>0</v>
      </c>
      <c r="AW211" t="str">
        <v>SP48</v>
      </c>
      <c r="AX211" t="str">
        <v>Digital Tabloid ENG</v>
      </c>
      <c r="AY211" t="str">
        <v>SUPER SENIOR</v>
      </c>
      <c r="AZ211" t="str">
        <v>Group</v>
      </c>
      <c r="BA211" t="str">
        <v>Stage</v>
      </c>
      <c r="BB211">
        <v>3</v>
      </c>
      <c r="BC211" t="str">
        <v>GROUP</v>
      </c>
      <c r="BD211" t="str">
        <v>GROUP</v>
      </c>
      <c r="BE211">
        <v>0</v>
      </c>
      <c r="BF211" t="str">
        <v>NOT ENTERED</v>
      </c>
    </row>
    <row r="212" spans="38:58" x14ac:dyDescent="0.45">
      <c r="AL212" t="str">
        <v>C168</v>
      </c>
      <c r="AM212" t="str">
        <v>MUHAMMED SHAHAN P.S</v>
      </c>
      <c r="AN212" t="str">
        <v>A</v>
      </c>
      <c r="AO212" t="str">
        <v>SENIOR</v>
      </c>
      <c r="AP212">
        <v>7</v>
      </c>
      <c r="AQ212">
        <v>0</v>
      </c>
      <c r="AR212">
        <v>0</v>
      </c>
      <c r="AS212">
        <v>0</v>
      </c>
      <c r="AT212">
        <v>1</v>
      </c>
      <c r="AU212">
        <v>0</v>
      </c>
      <c r="AW212" t="str">
        <v>GN01</v>
      </c>
      <c r="AX212" t="str">
        <v>Munazara Arabic</v>
      </c>
      <c r="AY212" t="str">
        <v>GENERAL</v>
      </c>
      <c r="AZ212">
        <v>0</v>
      </c>
      <c r="BA212" t="str">
        <v>Non-Stg</v>
      </c>
      <c r="BB212">
        <v>3</v>
      </c>
      <c r="BC212" t="str">
        <v>General</v>
      </c>
      <c r="BD212" t="str">
        <v>General</v>
      </c>
      <c r="BE212">
        <v>0</v>
      </c>
      <c r="BF212" t="str">
        <v>NOT ENTERED</v>
      </c>
    </row>
    <row r="213" spans="38:58" x14ac:dyDescent="0.45">
      <c r="AL213" t="str">
        <v>C169</v>
      </c>
      <c r="AM213" t="str">
        <v>MOHAMMED THAJUDDEEN A R P</v>
      </c>
      <c r="AN213" t="str">
        <v>C</v>
      </c>
      <c r="AO213" t="str">
        <v>SENIOR</v>
      </c>
      <c r="AP213">
        <v>7</v>
      </c>
      <c r="AQ213">
        <v>0</v>
      </c>
      <c r="AR213">
        <v>0</v>
      </c>
      <c r="AS213">
        <v>0</v>
      </c>
      <c r="AT213">
        <v>1</v>
      </c>
      <c r="AU213">
        <v>0</v>
      </c>
      <c r="AW213" t="str">
        <v>GN02</v>
      </c>
      <c r="AX213" t="str">
        <v>Debate English</v>
      </c>
      <c r="AY213" t="str">
        <v>GENERAL</v>
      </c>
      <c r="AZ213">
        <v>0</v>
      </c>
      <c r="BA213" t="str">
        <v>Stage</v>
      </c>
      <c r="BB213">
        <v>3</v>
      </c>
      <c r="BC213" t="str">
        <v>General</v>
      </c>
      <c r="BD213" t="str">
        <v>General</v>
      </c>
      <c r="BE213">
        <v>0</v>
      </c>
      <c r="BF213" t="str">
        <v>NOT ENTERED</v>
      </c>
    </row>
    <row r="214" spans="38:58" x14ac:dyDescent="0.45">
      <c r="AL214" t="str">
        <v>C170</v>
      </c>
      <c r="AM214" t="str">
        <v>RUMAIZALI R IBRAHIM</v>
      </c>
      <c r="AN214" t="str">
        <v>C</v>
      </c>
      <c r="AO214" t="str">
        <v>SENIOR</v>
      </c>
      <c r="AP214">
        <v>7</v>
      </c>
      <c r="AQ214">
        <v>0</v>
      </c>
      <c r="AR214">
        <v>0</v>
      </c>
      <c r="AS214">
        <v>0</v>
      </c>
      <c r="AT214">
        <v>1</v>
      </c>
      <c r="AU214">
        <v>0</v>
      </c>
      <c r="AW214" t="str">
        <v>GN03</v>
      </c>
      <c r="AX214" t="str">
        <v>Practical Demo</v>
      </c>
      <c r="AY214" t="str">
        <v>GENERAL</v>
      </c>
      <c r="AZ214">
        <v>0</v>
      </c>
      <c r="BA214" t="str">
        <v>Non-Stg</v>
      </c>
      <c r="BB214">
        <v>3</v>
      </c>
      <c r="BC214" t="str">
        <v>General</v>
      </c>
      <c r="BD214" t="str">
        <v>General</v>
      </c>
      <c r="BE214">
        <v>0</v>
      </c>
      <c r="BF214" t="str">
        <v>NOT ENTERED</v>
      </c>
    </row>
    <row r="215" spans="38:58" x14ac:dyDescent="0.45">
      <c r="AL215" t="str">
        <v>C171</v>
      </c>
      <c r="AM215" t="str">
        <v>MUHAMMED THASLEEM</v>
      </c>
      <c r="AN215" t="str">
        <v>C</v>
      </c>
      <c r="AO215" t="str">
        <v>SENIOR</v>
      </c>
      <c r="AP215">
        <v>7</v>
      </c>
      <c r="AQ215">
        <v>0</v>
      </c>
      <c r="AR215">
        <v>0</v>
      </c>
      <c r="AS215">
        <v>0</v>
      </c>
      <c r="AT215">
        <v>1</v>
      </c>
      <c r="AU215">
        <v>0</v>
      </c>
      <c r="AW215" t="str">
        <v>GN04</v>
      </c>
      <c r="AX215" t="str">
        <v>Qawali Urdu</v>
      </c>
      <c r="AY215" t="str">
        <v>GENERAL</v>
      </c>
      <c r="AZ215">
        <v>0</v>
      </c>
      <c r="BA215" t="str">
        <v>Stage</v>
      </c>
      <c r="BB215">
        <v>3</v>
      </c>
      <c r="BC215" t="str">
        <v>General</v>
      </c>
      <c r="BD215" t="str">
        <v>General</v>
      </c>
      <c r="BE215">
        <v>0</v>
      </c>
      <c r="BF215" t="str">
        <v>NOT ENTERED</v>
      </c>
    </row>
    <row r="216" spans="38:58" x14ac:dyDescent="0.45">
      <c r="AL216" t="str">
        <v>C172</v>
      </c>
      <c r="AM216" t="str">
        <v>AHAMED SHAMMAS C.M</v>
      </c>
      <c r="AN216" t="str">
        <v>B</v>
      </c>
      <c r="AO216" t="str">
        <v>SENIOR</v>
      </c>
      <c r="AP216">
        <v>7</v>
      </c>
      <c r="AQ216">
        <v>0</v>
      </c>
      <c r="AR216">
        <v>0</v>
      </c>
      <c r="AS216">
        <v>0</v>
      </c>
      <c r="AT216">
        <v>1</v>
      </c>
      <c r="AU216">
        <v>0</v>
      </c>
      <c r="AW216" t="str">
        <v>GN05</v>
      </c>
      <c r="AX216" t="str">
        <v>Campus Talent</v>
      </c>
      <c r="AY216" t="str">
        <v>GENERAL</v>
      </c>
      <c r="AZ216">
        <v>0</v>
      </c>
      <c r="BA216" t="str">
        <v>Non-Stg</v>
      </c>
      <c r="BB216">
        <v>3</v>
      </c>
      <c r="BC216" t="str">
        <v>General</v>
      </c>
      <c r="BD216" t="str">
        <v>General</v>
      </c>
      <c r="BE216">
        <v>0</v>
      </c>
      <c r="BF216" t="str">
        <v>NOT ENTERED</v>
      </c>
    </row>
    <row r="217" spans="38:58" x14ac:dyDescent="0.45">
      <c r="AL217" t="str">
        <v>C173</v>
      </c>
      <c r="AM217" t="str">
        <v>ABDUL HADIL P.M</v>
      </c>
      <c r="AN217" t="str">
        <v>A</v>
      </c>
      <c r="AO217" t="str">
        <v>SENIOR</v>
      </c>
      <c r="AP217">
        <v>7</v>
      </c>
      <c r="AQ217">
        <v>0</v>
      </c>
      <c r="AR217">
        <v>0</v>
      </c>
      <c r="AS217">
        <v>0</v>
      </c>
      <c r="AT217">
        <v>1</v>
      </c>
      <c r="AU217">
        <v>0</v>
      </c>
      <c r="AW217" t="str">
        <v>GN06</v>
      </c>
      <c r="AX217" t="str">
        <v>Fatwa Council</v>
      </c>
      <c r="AY217" t="str">
        <v>GENERAL</v>
      </c>
      <c r="AZ217">
        <v>0</v>
      </c>
      <c r="BA217" t="str">
        <v>Stage</v>
      </c>
      <c r="BB217">
        <v>3</v>
      </c>
      <c r="BC217" t="str">
        <v>General</v>
      </c>
      <c r="BD217" t="str">
        <v>General</v>
      </c>
      <c r="BE217">
        <v>0</v>
      </c>
      <c r="BF217" t="str">
        <v>NOT ENTERED</v>
      </c>
    </row>
    <row r="218" spans="38:58" x14ac:dyDescent="0.45">
      <c r="AL218" t="str">
        <v>C174</v>
      </c>
      <c r="AM218" t="str">
        <v>MUHAMMAD MUSTHAFA K.M</v>
      </c>
      <c r="AN218" t="str">
        <v>C</v>
      </c>
      <c r="AO218" t="str">
        <v>SENIOR</v>
      </c>
      <c r="AP218">
        <v>7</v>
      </c>
      <c r="AQ218">
        <v>0</v>
      </c>
      <c r="AR218">
        <v>0</v>
      </c>
      <c r="AS218">
        <v>0</v>
      </c>
      <c r="AT218">
        <v>1</v>
      </c>
      <c r="AU218">
        <v>0</v>
      </c>
      <c r="AW218" t="str">
        <v>GN07</v>
      </c>
      <c r="AX218" t="str">
        <v>Solo Concert</v>
      </c>
      <c r="AY218" t="str">
        <v>GENERAL</v>
      </c>
      <c r="AZ218">
        <v>0</v>
      </c>
      <c r="BA218" t="str">
        <v>Non-Stg</v>
      </c>
      <c r="BB218">
        <v>3</v>
      </c>
      <c r="BC218" t="str">
        <v>General</v>
      </c>
      <c r="BD218" t="str">
        <v>General</v>
      </c>
      <c r="BE218">
        <v>0</v>
      </c>
      <c r="BF218" t="str">
        <v>ENTERED</v>
      </c>
    </row>
    <row r="219" spans="38:58" x14ac:dyDescent="0.45">
      <c r="AL219" t="str">
        <v>C175</v>
      </c>
      <c r="AM219" t="str">
        <v>ABDULLAH MAZIN</v>
      </c>
      <c r="AN219" t="str">
        <v>D</v>
      </c>
      <c r="AO219" t="str">
        <v>SENIOR</v>
      </c>
      <c r="AP219">
        <v>7</v>
      </c>
      <c r="AQ219">
        <v>0</v>
      </c>
      <c r="AR219">
        <v>0</v>
      </c>
      <c r="AS219">
        <v>0</v>
      </c>
      <c r="AT219">
        <v>1</v>
      </c>
      <c r="AU219">
        <v>0</v>
      </c>
      <c r="AW219" t="str">
        <v>GN08</v>
      </c>
      <c r="AX219" t="str">
        <v>Musha'ara</v>
      </c>
      <c r="AY219" t="str">
        <v>GENERAL</v>
      </c>
      <c r="AZ219">
        <v>0</v>
      </c>
      <c r="BA219" t="str">
        <v>Stage</v>
      </c>
      <c r="BB219">
        <v>3</v>
      </c>
      <c r="BC219" t="str">
        <v>General</v>
      </c>
      <c r="BD219" t="str">
        <v>General</v>
      </c>
      <c r="BE219">
        <v>0</v>
      </c>
      <c r="BF219" t="str">
        <v>NOT ENTERED</v>
      </c>
    </row>
    <row r="220" spans="38:58" x14ac:dyDescent="0.45">
      <c r="AL220" t="str">
        <v>C176</v>
      </c>
      <c r="AM220" t="str">
        <v>MUHAMMED T A</v>
      </c>
      <c r="AN220" t="str">
        <v>A</v>
      </c>
      <c r="AO220" t="str">
        <v>SENIOR</v>
      </c>
      <c r="AP220">
        <v>7</v>
      </c>
      <c r="AQ220">
        <v>0</v>
      </c>
      <c r="AR220">
        <v>0</v>
      </c>
      <c r="AS220">
        <v>0</v>
      </c>
      <c r="AT220">
        <v>1</v>
      </c>
      <c r="AU220">
        <v>0</v>
      </c>
      <c r="AW220" t="str">
        <v>GN09</v>
      </c>
      <c r="AX220" t="str">
        <v>Documentary</v>
      </c>
      <c r="AY220" t="str">
        <v>GENERAL</v>
      </c>
      <c r="AZ220">
        <v>0</v>
      </c>
      <c r="BA220" t="str">
        <v>Non-Stg</v>
      </c>
      <c r="BB220">
        <v>3</v>
      </c>
      <c r="BC220" t="str">
        <v>General</v>
      </c>
      <c r="BD220" t="str">
        <v>General</v>
      </c>
      <c r="BE220">
        <v>0</v>
      </c>
      <c r="BF220" t="str">
        <v>NOT ENTERED</v>
      </c>
    </row>
    <row r="221" spans="38:58" x14ac:dyDescent="0.45">
      <c r="AL221" t="str">
        <v>C177</v>
      </c>
      <c r="AM221" t="str">
        <v>MOHAMMED HUSSAIN</v>
      </c>
      <c r="AN221" t="str">
        <v>B</v>
      </c>
      <c r="AO221" t="str">
        <v>SENIOR</v>
      </c>
      <c r="AP221">
        <v>7</v>
      </c>
      <c r="AQ221">
        <v>0</v>
      </c>
      <c r="AR221">
        <v>0</v>
      </c>
      <c r="AS221">
        <v>0</v>
      </c>
      <c r="AT221">
        <v>1</v>
      </c>
      <c r="AU221">
        <v>0</v>
      </c>
      <c r="AW221" t="str">
        <v>GN10</v>
      </c>
      <c r="AX221" t="str">
        <v>Digital Magazine</v>
      </c>
      <c r="AY221" t="str">
        <v>GENERAL</v>
      </c>
      <c r="AZ221">
        <v>0</v>
      </c>
      <c r="BA221" t="str">
        <v>Stage</v>
      </c>
      <c r="BB221">
        <v>3</v>
      </c>
      <c r="BC221" t="str">
        <v>General</v>
      </c>
      <c r="BD221" t="str">
        <v>General</v>
      </c>
      <c r="BE221">
        <v>0</v>
      </c>
      <c r="BF221" t="str">
        <v>NOT ENTERED</v>
      </c>
    </row>
    <row r="222" spans="38:58" x14ac:dyDescent="0.45">
      <c r="AL222" t="str">
        <v>C178</v>
      </c>
      <c r="AM222" t="str">
        <v>MUHAMMED ZAYAN N.S</v>
      </c>
      <c r="AN222" t="str">
        <v>D</v>
      </c>
      <c r="AO222" t="str">
        <v>SENIOR</v>
      </c>
      <c r="AP222">
        <v>7</v>
      </c>
      <c r="AQ222">
        <v>0</v>
      </c>
      <c r="AR222">
        <v>0</v>
      </c>
      <c r="AS222">
        <v>0</v>
      </c>
      <c r="AT222">
        <v>1</v>
      </c>
      <c r="AU222">
        <v>0</v>
      </c>
      <c r="AW222" t="str">
        <v>GN11</v>
      </c>
      <c r="AX222" t="str">
        <v>Collage</v>
      </c>
      <c r="AY222" t="str">
        <v>GENERAL</v>
      </c>
      <c r="AZ222">
        <v>0</v>
      </c>
      <c r="BA222" t="str">
        <v>Non-Stg</v>
      </c>
      <c r="BB222">
        <v>3</v>
      </c>
      <c r="BC222" t="str">
        <v>General</v>
      </c>
      <c r="BD222" t="str">
        <v>General</v>
      </c>
      <c r="BE222">
        <v>0</v>
      </c>
      <c r="BF222" t="str">
        <v>NOT ENTERED</v>
      </c>
    </row>
    <row r="223" spans="38:58" x14ac:dyDescent="0.45">
      <c r="AL223" t="str">
        <v>C179</v>
      </c>
      <c r="AM223" t="str">
        <v>MUHAMMED FARHAN</v>
      </c>
      <c r="AN223" t="str">
        <v>B</v>
      </c>
      <c r="AO223" t="str">
        <v>SENIOR</v>
      </c>
      <c r="AP223">
        <v>7</v>
      </c>
      <c r="AQ223">
        <v>0</v>
      </c>
      <c r="AR223">
        <v>0</v>
      </c>
      <c r="AS223">
        <v>0</v>
      </c>
      <c r="AT223">
        <v>1</v>
      </c>
      <c r="AU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 t="str">
        <v/>
      </c>
    </row>
    <row r="224" spans="38:58" x14ac:dyDescent="0.45">
      <c r="AL224" t="str">
        <v>D100</v>
      </c>
      <c r="AM224" t="str">
        <v>MOHAMMED RAZI</v>
      </c>
      <c r="AN224" t="str">
        <v>D</v>
      </c>
      <c r="AO224" t="str">
        <v>SUPER SENIOR</v>
      </c>
      <c r="AP224">
        <v>8</v>
      </c>
      <c r="AQ224">
        <v>0</v>
      </c>
      <c r="AR224">
        <v>0</v>
      </c>
      <c r="AS224">
        <v>0</v>
      </c>
      <c r="AT224">
        <v>1</v>
      </c>
      <c r="AU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 t="str">
        <v/>
      </c>
    </row>
    <row r="225" spans="38:58" x14ac:dyDescent="0.45">
      <c r="AL225" t="str">
        <v>D101</v>
      </c>
      <c r="AM225" t="str">
        <v>MOHAMMED AFSAL</v>
      </c>
      <c r="AN225" t="str">
        <v>D</v>
      </c>
      <c r="AO225" t="str">
        <v>SUPER SENIOR</v>
      </c>
      <c r="AP225">
        <v>8</v>
      </c>
      <c r="AQ225">
        <v>0</v>
      </c>
      <c r="AR225">
        <v>0</v>
      </c>
      <c r="AS225">
        <v>0</v>
      </c>
      <c r="AT225">
        <v>1</v>
      </c>
      <c r="AU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 t="str">
        <v/>
      </c>
    </row>
    <row r="226" spans="38:58" x14ac:dyDescent="0.45">
      <c r="AL226" t="str">
        <v>D102</v>
      </c>
      <c r="AM226" t="str">
        <v>JALALUDHEEN K</v>
      </c>
      <c r="AN226" t="str">
        <v>B</v>
      </c>
      <c r="AO226" t="str">
        <v>SUPER SENIOR</v>
      </c>
      <c r="AP226">
        <v>8</v>
      </c>
      <c r="AQ226">
        <v>0</v>
      </c>
      <c r="AR226">
        <v>0</v>
      </c>
      <c r="AS226">
        <v>0</v>
      </c>
      <c r="AT226">
        <v>1</v>
      </c>
      <c r="AU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 t="str">
        <v/>
      </c>
    </row>
    <row r="227" spans="38:58" x14ac:dyDescent="0.45">
      <c r="AL227" t="str">
        <v>D103</v>
      </c>
      <c r="AM227" t="str">
        <v>MUHAMMAD RAZI</v>
      </c>
      <c r="AN227" t="str">
        <v>B</v>
      </c>
      <c r="AO227" t="str">
        <v>SUPER SENIOR</v>
      </c>
      <c r="AP227">
        <v>8</v>
      </c>
      <c r="AQ227">
        <v>0</v>
      </c>
      <c r="AR227">
        <v>0</v>
      </c>
      <c r="AS227">
        <v>0</v>
      </c>
      <c r="AT227">
        <v>1</v>
      </c>
      <c r="AU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 t="str">
        <v/>
      </c>
    </row>
    <row r="228" spans="38:58" x14ac:dyDescent="0.45">
      <c r="AL228" t="str">
        <v>D104</v>
      </c>
      <c r="AM228" t="str">
        <v>MUHAMMAD SHANEED.</v>
      </c>
      <c r="AN228" t="str">
        <v>D</v>
      </c>
      <c r="AO228" t="str">
        <v>SUPER SENIOR</v>
      </c>
      <c r="AP228">
        <v>8</v>
      </c>
      <c r="AQ228">
        <v>0</v>
      </c>
      <c r="AR228">
        <v>0</v>
      </c>
      <c r="AS228">
        <v>0</v>
      </c>
      <c r="AT228">
        <v>1</v>
      </c>
      <c r="AU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 t="str">
        <v/>
      </c>
    </row>
    <row r="229" spans="38:58" x14ac:dyDescent="0.45">
      <c r="AL229" t="str">
        <v>D105</v>
      </c>
      <c r="AM229" t="str">
        <v>ABDUL WADHOOD</v>
      </c>
      <c r="AN229" t="str">
        <v>A</v>
      </c>
      <c r="AO229" t="str">
        <v>SUPER SENIOR</v>
      </c>
      <c r="AP229">
        <v>8</v>
      </c>
      <c r="AQ229">
        <v>0</v>
      </c>
      <c r="AR229">
        <v>0</v>
      </c>
      <c r="AS229">
        <v>0</v>
      </c>
      <c r="AT229">
        <v>1</v>
      </c>
      <c r="AU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 t="str">
        <v/>
      </c>
    </row>
    <row r="230" spans="38:58" x14ac:dyDescent="0.45">
      <c r="AL230" t="str">
        <v>D106</v>
      </c>
      <c r="AM230" t="str">
        <v>MOHAMMED SHAMMAS S.I</v>
      </c>
      <c r="AN230" t="str">
        <v>B</v>
      </c>
      <c r="AO230" t="str">
        <v>SUPER SENIOR</v>
      </c>
      <c r="AP230">
        <v>8</v>
      </c>
      <c r="AQ230">
        <v>0</v>
      </c>
      <c r="AR230">
        <v>0</v>
      </c>
      <c r="AS230">
        <v>0</v>
      </c>
      <c r="AT230">
        <v>1</v>
      </c>
      <c r="AU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 t="str">
        <v/>
      </c>
    </row>
    <row r="231" spans="38:58" x14ac:dyDescent="0.45">
      <c r="AL231" t="str">
        <v>D107</v>
      </c>
      <c r="AM231" t="str">
        <v>AHMMED HASHIM M</v>
      </c>
      <c r="AN231" t="str">
        <v>B</v>
      </c>
      <c r="AO231" t="str">
        <v>SUPER SENIOR</v>
      </c>
      <c r="AP231">
        <v>8</v>
      </c>
      <c r="AQ231">
        <v>0</v>
      </c>
      <c r="AR231">
        <v>0</v>
      </c>
      <c r="AS231">
        <v>0</v>
      </c>
      <c r="AT231">
        <v>1</v>
      </c>
      <c r="AU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 t="str">
        <v/>
      </c>
    </row>
    <row r="232" spans="38:58" x14ac:dyDescent="0.45">
      <c r="AL232" t="str">
        <v>D108</v>
      </c>
      <c r="AM232" t="str">
        <v>MOHAMMED HASHIR</v>
      </c>
      <c r="AN232">
        <v>0</v>
      </c>
      <c r="AO232" t="str">
        <v>SUPER SENIOR</v>
      </c>
      <c r="AP232">
        <v>8</v>
      </c>
      <c r="AQ232">
        <v>0</v>
      </c>
      <c r="AR232">
        <v>0</v>
      </c>
      <c r="AS232">
        <v>0</v>
      </c>
      <c r="AT232">
        <v>1</v>
      </c>
      <c r="AU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 t="str">
        <v/>
      </c>
    </row>
    <row r="233" spans="38:58" x14ac:dyDescent="0.45">
      <c r="AL233" t="str">
        <v>D109</v>
      </c>
      <c r="AM233" t="str">
        <v>AHAMMED AJEER</v>
      </c>
      <c r="AN233" t="str">
        <v>C</v>
      </c>
      <c r="AO233" t="str">
        <v>SUPER SENIOR</v>
      </c>
      <c r="AP233">
        <v>8</v>
      </c>
      <c r="AQ233">
        <v>0</v>
      </c>
      <c r="AR233">
        <v>0</v>
      </c>
      <c r="AS233">
        <v>0</v>
      </c>
      <c r="AT233">
        <v>1</v>
      </c>
      <c r="AU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 t="str">
        <v/>
      </c>
    </row>
    <row r="234" spans="38:58" x14ac:dyDescent="0.45">
      <c r="AL234" t="str">
        <v>D110</v>
      </c>
      <c r="AM234" t="str">
        <v>ABBAS AZNAB M.A</v>
      </c>
      <c r="AN234" t="str">
        <v>C</v>
      </c>
      <c r="AO234" t="str">
        <v>SUPER SENIOR</v>
      </c>
      <c r="AP234">
        <v>8</v>
      </c>
      <c r="AQ234">
        <v>0</v>
      </c>
      <c r="AR234">
        <v>0</v>
      </c>
      <c r="AS234">
        <v>0</v>
      </c>
      <c r="AT234">
        <v>1</v>
      </c>
      <c r="AU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 t="str">
        <v/>
      </c>
    </row>
    <row r="235" spans="38:58" x14ac:dyDescent="0.45">
      <c r="AL235" t="str">
        <v>D111</v>
      </c>
      <c r="AM235" t="str">
        <v>MAHAMMED SHAMEEL</v>
      </c>
      <c r="AN235" t="str">
        <v>D</v>
      </c>
      <c r="AO235" t="str">
        <v>SUPER SENIOR</v>
      </c>
      <c r="AP235">
        <v>8</v>
      </c>
      <c r="AQ235">
        <v>0</v>
      </c>
      <c r="AR235">
        <v>0</v>
      </c>
      <c r="AS235">
        <v>0</v>
      </c>
      <c r="AT235">
        <v>1</v>
      </c>
      <c r="AU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 t="str">
        <v/>
      </c>
    </row>
    <row r="236" spans="38:58" x14ac:dyDescent="0.45">
      <c r="AL236" t="str">
        <v>D112</v>
      </c>
      <c r="AM236" t="str">
        <v>AMEEN ABDULLA</v>
      </c>
      <c r="AN236" t="str">
        <v>A</v>
      </c>
      <c r="AO236" t="str">
        <v>SUPER SENIOR</v>
      </c>
      <c r="AP236">
        <v>8</v>
      </c>
      <c r="AQ236">
        <v>0</v>
      </c>
      <c r="AR236">
        <v>0</v>
      </c>
      <c r="AS236">
        <v>0</v>
      </c>
      <c r="AT236">
        <v>1</v>
      </c>
      <c r="AU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 t="str">
        <v/>
      </c>
    </row>
    <row r="237" spans="38:58" x14ac:dyDescent="0.45">
      <c r="AL237" t="str">
        <v>D113</v>
      </c>
      <c r="AM237" t="str">
        <v>ZULFIKARALI</v>
      </c>
      <c r="AN237" t="str">
        <v>D</v>
      </c>
      <c r="AO237" t="str">
        <v>SUPER SENIOR</v>
      </c>
      <c r="AP237">
        <v>8</v>
      </c>
      <c r="AQ237">
        <v>0</v>
      </c>
      <c r="AR237">
        <v>0</v>
      </c>
      <c r="AS237">
        <v>0</v>
      </c>
      <c r="AT237">
        <v>1</v>
      </c>
      <c r="AU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 t="str">
        <v/>
      </c>
    </row>
    <row r="238" spans="38:58" x14ac:dyDescent="0.45">
      <c r="AL238" t="str">
        <v>D114</v>
      </c>
      <c r="AM238" t="str">
        <v>MUHAMMED ANAS M.N</v>
      </c>
      <c r="AN238" t="str">
        <v>A</v>
      </c>
      <c r="AO238" t="str">
        <v>SUPER SENIOR</v>
      </c>
      <c r="AP238">
        <v>8</v>
      </c>
      <c r="AQ238">
        <v>0</v>
      </c>
      <c r="AR238">
        <v>0</v>
      </c>
      <c r="AS238">
        <v>0</v>
      </c>
      <c r="AT238">
        <v>1</v>
      </c>
      <c r="AU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 t="str">
        <v/>
      </c>
    </row>
    <row r="239" spans="38:58" x14ac:dyDescent="0.45">
      <c r="AL239" t="str">
        <v>D115</v>
      </c>
      <c r="AM239" t="str">
        <v>ABDULLA M HAKEEM</v>
      </c>
      <c r="AN239" t="str">
        <v>B</v>
      </c>
      <c r="AO239" t="str">
        <v>SUPER SENIOR</v>
      </c>
      <c r="AP239">
        <v>8</v>
      </c>
      <c r="AQ239">
        <v>0</v>
      </c>
      <c r="AR239">
        <v>0</v>
      </c>
      <c r="AS239">
        <v>0</v>
      </c>
      <c r="AT239">
        <v>1</v>
      </c>
      <c r="AU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 t="str">
        <v/>
      </c>
    </row>
    <row r="240" spans="38:58" x14ac:dyDescent="0.45">
      <c r="AL240" t="str">
        <v>D116</v>
      </c>
      <c r="AM240" t="str">
        <v>HASSAN SHADDAD UM</v>
      </c>
      <c r="AN240" t="str">
        <v>D</v>
      </c>
      <c r="AO240" t="str">
        <v>SUPER SENIOR</v>
      </c>
      <c r="AP240">
        <v>8</v>
      </c>
      <c r="AQ240">
        <v>0</v>
      </c>
      <c r="AR240">
        <v>0</v>
      </c>
      <c r="AS240">
        <v>0</v>
      </c>
      <c r="AT240">
        <v>1</v>
      </c>
      <c r="AU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 t="str">
        <v/>
      </c>
    </row>
    <row r="241" spans="38:58" x14ac:dyDescent="0.45">
      <c r="AL241" t="str">
        <v>D117</v>
      </c>
      <c r="AM241" t="str">
        <v>MOHAMMED SAHL CS</v>
      </c>
      <c r="AN241" t="str">
        <v>A</v>
      </c>
      <c r="AO241" t="str">
        <v>SUPER SENIOR</v>
      </c>
      <c r="AP241">
        <v>8</v>
      </c>
      <c r="AQ241">
        <v>0</v>
      </c>
      <c r="AR241">
        <v>0</v>
      </c>
      <c r="AS241">
        <v>0</v>
      </c>
      <c r="AT241">
        <v>1</v>
      </c>
      <c r="AU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 t="str">
        <v/>
      </c>
    </row>
    <row r="242" spans="38:58" x14ac:dyDescent="0.45">
      <c r="AL242" t="str">
        <v>D118</v>
      </c>
      <c r="AM242" t="str">
        <v>MOHAMMAD KHALANDAR ZIYAD</v>
      </c>
      <c r="AN242" t="str">
        <v>C</v>
      </c>
      <c r="AO242" t="str">
        <v>SUPER SENIOR</v>
      </c>
      <c r="AP242">
        <v>8</v>
      </c>
      <c r="AQ242">
        <v>0</v>
      </c>
      <c r="AR242">
        <v>0</v>
      </c>
      <c r="AS242">
        <v>0</v>
      </c>
      <c r="AT242">
        <v>1</v>
      </c>
      <c r="AU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 t="str">
        <v/>
      </c>
    </row>
    <row r="243" spans="38:58" x14ac:dyDescent="0.45">
      <c r="AL243" t="str">
        <v>D119</v>
      </c>
      <c r="AM243" t="str">
        <v>ABU THAHIR</v>
      </c>
      <c r="AN243" t="str">
        <v>C</v>
      </c>
      <c r="AO243" t="str">
        <v>SUPER SENIOR</v>
      </c>
      <c r="AP243">
        <v>8</v>
      </c>
      <c r="AQ243">
        <v>0</v>
      </c>
      <c r="AR243">
        <v>0</v>
      </c>
      <c r="AS243">
        <v>0</v>
      </c>
      <c r="AT243">
        <v>1</v>
      </c>
      <c r="AU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 t="str">
        <v/>
      </c>
    </row>
    <row r="244" spans="38:58" x14ac:dyDescent="0.45">
      <c r="AL244" t="str">
        <v>D120</v>
      </c>
      <c r="AM244" t="str">
        <v>MUHAMMAD SINAN NP</v>
      </c>
      <c r="AN244" t="str">
        <v>A</v>
      </c>
      <c r="AO244" t="str">
        <v>SUPER SENIOR</v>
      </c>
      <c r="AP244">
        <v>8</v>
      </c>
      <c r="AQ244">
        <v>0</v>
      </c>
      <c r="AR244">
        <v>0</v>
      </c>
      <c r="AS244">
        <v>0</v>
      </c>
      <c r="AT244">
        <v>1</v>
      </c>
      <c r="AU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 t="str">
        <v/>
      </c>
    </row>
    <row r="245" spans="38:58" x14ac:dyDescent="0.45">
      <c r="AL245" t="str">
        <v>D121</v>
      </c>
      <c r="AM245" t="str">
        <v>ABDUL RAHMAN MUNZIR</v>
      </c>
      <c r="AN245" t="str">
        <v>B</v>
      </c>
      <c r="AO245" t="str">
        <v>SUPER SENIOR</v>
      </c>
      <c r="AP245">
        <v>8</v>
      </c>
      <c r="AQ245">
        <v>0</v>
      </c>
      <c r="AR245">
        <v>0</v>
      </c>
      <c r="AS245">
        <v>0</v>
      </c>
      <c r="AT245">
        <v>1</v>
      </c>
      <c r="AU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 t="str">
        <v/>
      </c>
    </row>
    <row r="246" spans="38:58" x14ac:dyDescent="0.45">
      <c r="AL246" t="str">
        <v>D122</v>
      </c>
      <c r="AM246" t="str">
        <v>MUHAMMED MUZAMMIL P.M</v>
      </c>
      <c r="AN246">
        <v>0</v>
      </c>
      <c r="AO246" t="str">
        <v>SUPER SENIOR</v>
      </c>
      <c r="AP246">
        <v>8</v>
      </c>
      <c r="AQ246">
        <v>0</v>
      </c>
      <c r="AR246">
        <v>0</v>
      </c>
      <c r="AS246">
        <v>0</v>
      </c>
      <c r="AT246">
        <v>1</v>
      </c>
      <c r="AU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 t="str">
        <v/>
      </c>
    </row>
    <row r="247" spans="38:58" x14ac:dyDescent="0.45">
      <c r="AL247" t="str">
        <v>D123</v>
      </c>
      <c r="AM247" t="str">
        <v>MOHAMMED SALIH</v>
      </c>
      <c r="AN247" t="str">
        <v>D</v>
      </c>
      <c r="AO247" t="str">
        <v>SUPER SENIOR</v>
      </c>
      <c r="AP247">
        <v>8</v>
      </c>
      <c r="AQ247">
        <v>0</v>
      </c>
      <c r="AR247">
        <v>0</v>
      </c>
      <c r="AS247">
        <v>0</v>
      </c>
      <c r="AT247">
        <v>1</v>
      </c>
      <c r="AU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 t="str">
        <v/>
      </c>
    </row>
    <row r="248" spans="38:58" x14ac:dyDescent="0.45">
      <c r="AL248" t="str">
        <v>D124</v>
      </c>
      <c r="AM248" t="str">
        <v>MUHAMMED SUFAZ P</v>
      </c>
      <c r="AN248" t="str">
        <v>C</v>
      </c>
      <c r="AO248" t="str">
        <v>SUPER SENIOR</v>
      </c>
      <c r="AP248">
        <v>8</v>
      </c>
      <c r="AQ248">
        <v>0</v>
      </c>
      <c r="AR248">
        <v>0</v>
      </c>
      <c r="AS248">
        <v>0</v>
      </c>
      <c r="AT248">
        <v>1</v>
      </c>
      <c r="AU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 t="str">
        <v/>
      </c>
    </row>
    <row r="249" spans="38:58" x14ac:dyDescent="0.45">
      <c r="AL249" t="str">
        <v>D125</v>
      </c>
      <c r="AM249" t="str">
        <v>SAYYAD MOHAMMED VASIL</v>
      </c>
      <c r="AN249" t="str">
        <v>B</v>
      </c>
      <c r="AO249" t="str">
        <v>SUPER SENIOR</v>
      </c>
      <c r="AP249">
        <v>8</v>
      </c>
      <c r="AQ249">
        <v>0</v>
      </c>
      <c r="AR249">
        <v>0</v>
      </c>
      <c r="AS249">
        <v>0</v>
      </c>
      <c r="AT249">
        <v>1</v>
      </c>
      <c r="AU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 t="str">
        <v/>
      </c>
    </row>
    <row r="250" spans="38:58" x14ac:dyDescent="0.45">
      <c r="AL250" t="str">
        <v>D126</v>
      </c>
      <c r="AM250" t="str">
        <v>MUHAMMED MIDHLAJ KK</v>
      </c>
      <c r="AN250" t="str">
        <v>C</v>
      </c>
      <c r="AO250" t="str">
        <v>SUPER SENIOR</v>
      </c>
      <c r="AP250">
        <v>8</v>
      </c>
      <c r="AQ250">
        <v>0</v>
      </c>
      <c r="AR250">
        <v>0</v>
      </c>
      <c r="AS250">
        <v>0</v>
      </c>
      <c r="AT250">
        <v>1</v>
      </c>
      <c r="AU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 t="str">
        <v/>
      </c>
    </row>
    <row r="251" spans="38:58" x14ac:dyDescent="0.45">
      <c r="AL251" t="str">
        <v>D127</v>
      </c>
      <c r="AM251" t="str">
        <v>SHADIN G</v>
      </c>
      <c r="AN251" t="str">
        <v>A</v>
      </c>
      <c r="AO251" t="str">
        <v>SUPER SENIOR</v>
      </c>
      <c r="AP251">
        <v>8</v>
      </c>
      <c r="AQ251">
        <v>0</v>
      </c>
      <c r="AR251">
        <v>0</v>
      </c>
      <c r="AS251">
        <v>0</v>
      </c>
      <c r="AT251">
        <v>1</v>
      </c>
      <c r="AU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 t="str">
        <v/>
      </c>
    </row>
    <row r="252" spans="38:58" x14ac:dyDescent="0.45">
      <c r="AL252" t="str">
        <v>D128</v>
      </c>
      <c r="AM252" t="str">
        <v>MEHAZIN AMAN T</v>
      </c>
      <c r="AN252" t="str">
        <v>A</v>
      </c>
      <c r="AO252" t="str">
        <v>SUPER SENIOR</v>
      </c>
      <c r="AP252">
        <v>8</v>
      </c>
      <c r="AQ252">
        <v>0</v>
      </c>
      <c r="AR252">
        <v>0</v>
      </c>
      <c r="AS252">
        <v>0</v>
      </c>
      <c r="AT252">
        <v>1</v>
      </c>
      <c r="AU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 t="str">
        <v/>
      </c>
    </row>
    <row r="253" spans="38:58" x14ac:dyDescent="0.45">
      <c r="AL253" t="str">
        <v>D129</v>
      </c>
      <c r="AM253" t="str">
        <v>MUHAMMED UNAIS CK</v>
      </c>
      <c r="AN253" t="str">
        <v>C</v>
      </c>
      <c r="AO253" t="str">
        <v>SUPER SENIOR</v>
      </c>
      <c r="AP253">
        <v>8</v>
      </c>
      <c r="AQ253">
        <v>0</v>
      </c>
      <c r="AR253">
        <v>0</v>
      </c>
      <c r="AS253">
        <v>0</v>
      </c>
      <c r="AT253">
        <v>1</v>
      </c>
      <c r="AU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 t="str">
        <v/>
      </c>
    </row>
    <row r="254" spans="38:58" x14ac:dyDescent="0.45">
      <c r="AL254" t="str">
        <v>D130</v>
      </c>
      <c r="AM254" t="str">
        <v>ZAINUDEEN</v>
      </c>
      <c r="AN254" t="str">
        <v>B</v>
      </c>
      <c r="AO254" t="str">
        <v>SUPER SENIOR</v>
      </c>
      <c r="AP254">
        <v>9</v>
      </c>
      <c r="AQ254">
        <v>0</v>
      </c>
      <c r="AR254">
        <v>0</v>
      </c>
      <c r="AS254">
        <v>0</v>
      </c>
      <c r="AT254">
        <v>1</v>
      </c>
      <c r="AU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 t="str">
        <v/>
      </c>
    </row>
    <row r="255" spans="38:58" x14ac:dyDescent="0.45">
      <c r="AL255" t="str">
        <v>D131</v>
      </c>
      <c r="AM255" t="str">
        <v>MAHAMMAD RIYAZ</v>
      </c>
      <c r="AN255" t="str">
        <v>B</v>
      </c>
      <c r="AO255" t="str">
        <v>SUPER SENIOR</v>
      </c>
      <c r="AP255">
        <v>9</v>
      </c>
      <c r="AQ255">
        <v>0</v>
      </c>
      <c r="AR255">
        <v>0</v>
      </c>
      <c r="AS255">
        <v>0</v>
      </c>
      <c r="AT255">
        <v>1</v>
      </c>
      <c r="AU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 t="str">
        <v/>
      </c>
    </row>
    <row r="256" spans="38:58" x14ac:dyDescent="0.45">
      <c r="AL256" t="str">
        <v>D132</v>
      </c>
      <c r="AM256" t="str">
        <v>ABOOBAKR MA'ROOF</v>
      </c>
      <c r="AN256" t="str">
        <v>A</v>
      </c>
      <c r="AO256" t="str">
        <v>SUPER SENIOR</v>
      </c>
      <c r="AP256">
        <v>9</v>
      </c>
      <c r="AQ256">
        <v>0</v>
      </c>
      <c r="AR256">
        <v>0</v>
      </c>
      <c r="AS256">
        <v>0</v>
      </c>
      <c r="AT256">
        <v>1</v>
      </c>
      <c r="AU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 t="str">
        <v/>
      </c>
    </row>
    <row r="257" spans="38:58" x14ac:dyDescent="0.45">
      <c r="AL257" t="str">
        <v>D133</v>
      </c>
      <c r="AM257" t="str">
        <v>MOHAMMED SHAMSHEER</v>
      </c>
      <c r="AN257" t="str">
        <v>A</v>
      </c>
      <c r="AO257" t="str">
        <v>SUPER SENIOR</v>
      </c>
      <c r="AP257">
        <v>9</v>
      </c>
      <c r="AQ257">
        <v>0</v>
      </c>
      <c r="AR257">
        <v>0</v>
      </c>
      <c r="AS257">
        <v>0</v>
      </c>
      <c r="AT257">
        <v>1</v>
      </c>
      <c r="AU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 t="str">
        <v/>
      </c>
    </row>
    <row r="258" spans="38:58" x14ac:dyDescent="0.45">
      <c r="AL258" t="str">
        <v>D134</v>
      </c>
      <c r="AM258" t="str">
        <v>AJMAL ANEES</v>
      </c>
      <c r="AN258" t="str">
        <v>A</v>
      </c>
      <c r="AO258" t="str">
        <v>SUPER SENIOR</v>
      </c>
      <c r="AP258">
        <v>9</v>
      </c>
      <c r="AQ258">
        <v>0</v>
      </c>
      <c r="AR258">
        <v>0</v>
      </c>
      <c r="AS258">
        <v>0</v>
      </c>
      <c r="AT258">
        <v>1</v>
      </c>
      <c r="AU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 t="str">
        <v/>
      </c>
    </row>
    <row r="259" spans="38:58" x14ac:dyDescent="0.45">
      <c r="AL259" t="str">
        <v>D135</v>
      </c>
      <c r="AM259" t="str">
        <v>HASHIR HUSSAIN IK</v>
      </c>
      <c r="AN259" t="str">
        <v>B</v>
      </c>
      <c r="AO259" t="str">
        <v>SUPER SENIOR</v>
      </c>
      <c r="AP259">
        <v>9</v>
      </c>
      <c r="AQ259">
        <v>0</v>
      </c>
      <c r="AR259">
        <v>0</v>
      </c>
      <c r="AS259">
        <v>0</v>
      </c>
      <c r="AT259">
        <v>1</v>
      </c>
      <c r="AU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 t="str">
        <v/>
      </c>
    </row>
    <row r="260" spans="38:58" x14ac:dyDescent="0.45">
      <c r="AL260" t="str">
        <v>D136</v>
      </c>
      <c r="AM260" t="str">
        <v>MUHAMMED ASBAQUE</v>
      </c>
      <c r="AN260" t="str">
        <v>D</v>
      </c>
      <c r="AO260" t="str">
        <v>SUPER SENIOR</v>
      </c>
      <c r="AP260">
        <v>9</v>
      </c>
      <c r="AQ260">
        <v>0</v>
      </c>
      <c r="AR260">
        <v>0</v>
      </c>
      <c r="AS260">
        <v>0</v>
      </c>
      <c r="AT260">
        <v>1</v>
      </c>
      <c r="AU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 t="str">
        <v/>
      </c>
    </row>
    <row r="261" spans="38:58" x14ac:dyDescent="0.45">
      <c r="AL261" t="str">
        <v>D137</v>
      </c>
      <c r="AM261" t="str">
        <v>AYYOOB V.N</v>
      </c>
      <c r="AN261" t="str">
        <v>C</v>
      </c>
      <c r="AO261" t="str">
        <v>SUPER SENIOR</v>
      </c>
      <c r="AP261">
        <v>9</v>
      </c>
      <c r="AQ261">
        <v>0</v>
      </c>
      <c r="AR261">
        <v>0</v>
      </c>
      <c r="AS261">
        <v>0</v>
      </c>
      <c r="AT261">
        <v>1</v>
      </c>
      <c r="AU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 t="str">
        <v/>
      </c>
    </row>
    <row r="262" spans="38:58" x14ac:dyDescent="0.45">
      <c r="AL262" t="str">
        <v>D138</v>
      </c>
      <c r="AM262" t="str">
        <v>MOHAMMED JAWAD A</v>
      </c>
      <c r="AN262" t="str">
        <v>A</v>
      </c>
      <c r="AO262" t="str">
        <v>SUPER SENIOR</v>
      </c>
      <c r="AP262">
        <v>9</v>
      </c>
      <c r="AQ262">
        <v>0</v>
      </c>
      <c r="AR262">
        <v>0</v>
      </c>
      <c r="AS262">
        <v>0</v>
      </c>
      <c r="AT262">
        <v>1</v>
      </c>
      <c r="AU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 t="str">
        <v/>
      </c>
    </row>
    <row r="263" spans="38:58" x14ac:dyDescent="0.45">
      <c r="AL263" t="str">
        <v>D139</v>
      </c>
      <c r="AM263" t="str">
        <v>AHAMMED MUBARAK KA</v>
      </c>
      <c r="AN263" t="str">
        <v>D</v>
      </c>
      <c r="AO263" t="str">
        <v>SUPER SENIOR</v>
      </c>
      <c r="AP263">
        <v>9</v>
      </c>
      <c r="AQ263">
        <v>0</v>
      </c>
      <c r="AR263">
        <v>0</v>
      </c>
      <c r="AS263">
        <v>0</v>
      </c>
      <c r="AT263">
        <v>1</v>
      </c>
      <c r="AU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 t="str">
        <v/>
      </c>
    </row>
    <row r="264" spans="38:58" x14ac:dyDescent="0.45">
      <c r="AL264" t="str">
        <v>D140</v>
      </c>
      <c r="AM264" t="str">
        <v>MUHAMMED FAISAL A K</v>
      </c>
      <c r="AN264" t="str">
        <v>B</v>
      </c>
      <c r="AO264" t="str">
        <v>SUPER SENIOR</v>
      </c>
      <c r="AP264">
        <v>9</v>
      </c>
      <c r="AQ264">
        <v>0</v>
      </c>
      <c r="AR264">
        <v>0</v>
      </c>
      <c r="AS264">
        <v>0</v>
      </c>
      <c r="AT264">
        <v>1</v>
      </c>
      <c r="AU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 t="str">
        <v/>
      </c>
    </row>
    <row r="265" spans="38:58" x14ac:dyDescent="0.45">
      <c r="AL265" t="str">
        <v>D141</v>
      </c>
      <c r="AM265" t="str">
        <v>MUHAMMAD MUSTHAFA P.K</v>
      </c>
      <c r="AN265" t="str">
        <v>C</v>
      </c>
      <c r="AO265" t="str">
        <v>SUPER SENIOR</v>
      </c>
      <c r="AP265">
        <v>9</v>
      </c>
      <c r="AQ265">
        <v>0</v>
      </c>
      <c r="AR265">
        <v>0</v>
      </c>
      <c r="AS265">
        <v>0</v>
      </c>
      <c r="AT265">
        <v>1</v>
      </c>
      <c r="AU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 t="str">
        <v/>
      </c>
    </row>
    <row r="266" spans="38:58" x14ac:dyDescent="0.45">
      <c r="AL266" t="str">
        <v>D142</v>
      </c>
      <c r="AM266" t="str">
        <v>ISHAM V.K</v>
      </c>
      <c r="AN266" t="str">
        <v>A</v>
      </c>
      <c r="AO266" t="str">
        <v>SUPER SENIOR</v>
      </c>
      <c r="AP266">
        <v>9</v>
      </c>
      <c r="AQ266">
        <v>0</v>
      </c>
      <c r="AR266">
        <v>0</v>
      </c>
      <c r="AS266">
        <v>0</v>
      </c>
      <c r="AT266">
        <v>1</v>
      </c>
      <c r="AU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 t="str">
        <v/>
      </c>
    </row>
    <row r="267" spans="38:58" x14ac:dyDescent="0.45">
      <c r="AL267" t="str">
        <v>D143</v>
      </c>
      <c r="AM267" t="str">
        <v>MUHAMMED MA</v>
      </c>
      <c r="AN267" t="str">
        <v>C</v>
      </c>
      <c r="AO267" t="str">
        <v>SUPER SENIOR</v>
      </c>
      <c r="AP267">
        <v>9</v>
      </c>
      <c r="AQ267">
        <v>0</v>
      </c>
      <c r="AR267">
        <v>0</v>
      </c>
      <c r="AS267">
        <v>0</v>
      </c>
      <c r="AT267">
        <v>1</v>
      </c>
      <c r="AU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 t="str">
        <v/>
      </c>
    </row>
    <row r="268" spans="38:58" x14ac:dyDescent="0.45">
      <c r="AL268" t="str">
        <v>D144</v>
      </c>
      <c r="AM268" t="str">
        <v>MUHAMMED RASHAD KA</v>
      </c>
      <c r="AN268" t="str">
        <v>D</v>
      </c>
      <c r="AO268" t="str">
        <v>SUPER SENIOR</v>
      </c>
      <c r="AP268">
        <v>9</v>
      </c>
      <c r="AQ268">
        <v>0</v>
      </c>
      <c r="AR268">
        <v>0</v>
      </c>
      <c r="AS268">
        <v>0</v>
      </c>
      <c r="AT268">
        <v>1</v>
      </c>
      <c r="AU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 t="str">
        <v/>
      </c>
    </row>
    <row r="269" spans="38:58" x14ac:dyDescent="0.45">
      <c r="AL269" t="str">
        <v>D145</v>
      </c>
      <c r="AM269" t="str">
        <v>ABBAS ARFAS O.R</v>
      </c>
      <c r="AN269" t="str">
        <v>C</v>
      </c>
      <c r="AO269" t="str">
        <v>SUPER SENIOR</v>
      </c>
      <c r="AP269">
        <v>9</v>
      </c>
      <c r="AQ269">
        <v>0</v>
      </c>
      <c r="AR269">
        <v>0</v>
      </c>
      <c r="AS269">
        <v>0</v>
      </c>
      <c r="AT269">
        <v>1</v>
      </c>
      <c r="AU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 t="str">
        <v/>
      </c>
    </row>
    <row r="270" spans="38:58" x14ac:dyDescent="0.45">
      <c r="AL270" t="str">
        <v>D146</v>
      </c>
      <c r="AM270" t="str">
        <v>ABDUL YOUNUS</v>
      </c>
      <c r="AN270" t="str">
        <v>B</v>
      </c>
      <c r="AO270" t="str">
        <v>SUPER SENIOR</v>
      </c>
      <c r="AP270">
        <v>9</v>
      </c>
      <c r="AQ270">
        <v>0</v>
      </c>
      <c r="AR270">
        <v>0</v>
      </c>
      <c r="AS270">
        <v>0</v>
      </c>
      <c r="AT270">
        <v>1</v>
      </c>
      <c r="AU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 t="str">
        <v/>
      </c>
    </row>
    <row r="271" spans="38:58" x14ac:dyDescent="0.45">
      <c r="AL271" t="str">
        <v>D147</v>
      </c>
      <c r="AM271" t="str">
        <v>MOHAMMED SHAHZAN T.K</v>
      </c>
      <c r="AN271" t="str">
        <v>A</v>
      </c>
      <c r="AO271" t="str">
        <v>SUPER SENIOR</v>
      </c>
      <c r="AP271">
        <v>9</v>
      </c>
      <c r="AQ271">
        <v>0</v>
      </c>
      <c r="AR271">
        <v>0</v>
      </c>
      <c r="AS271">
        <v>0</v>
      </c>
      <c r="AT271">
        <v>1</v>
      </c>
      <c r="AU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 t="str">
        <v/>
      </c>
    </row>
    <row r="272" spans="38:58" x14ac:dyDescent="0.45">
      <c r="AL272" t="str">
        <v>D148</v>
      </c>
      <c r="AM272" t="str">
        <v>UMARUL FAROOK K .K</v>
      </c>
      <c r="AN272" t="str">
        <v>B</v>
      </c>
      <c r="AO272" t="str">
        <v>SUPER SENIOR</v>
      </c>
      <c r="AP272">
        <v>9</v>
      </c>
      <c r="AQ272">
        <v>0</v>
      </c>
      <c r="AR272">
        <v>0</v>
      </c>
      <c r="AS272">
        <v>0</v>
      </c>
      <c r="AT272">
        <v>1</v>
      </c>
      <c r="AU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 t="str">
        <v/>
      </c>
    </row>
    <row r="273" spans="38:58" x14ac:dyDescent="0.45">
      <c r="AL273" t="str">
        <v>D149</v>
      </c>
      <c r="AM273" t="str">
        <v>MOHAMMED MARZOOK AM</v>
      </c>
      <c r="AN273" t="str">
        <v>D</v>
      </c>
      <c r="AO273" t="str">
        <v>SUPER SENIOR</v>
      </c>
      <c r="AP273">
        <v>9</v>
      </c>
      <c r="AQ273">
        <v>0</v>
      </c>
      <c r="AR273">
        <v>0</v>
      </c>
      <c r="AS273">
        <v>0</v>
      </c>
      <c r="AT273">
        <v>1</v>
      </c>
      <c r="AU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 t="str">
        <v/>
      </c>
    </row>
    <row r="274" spans="38:58" x14ac:dyDescent="0.45">
      <c r="AL274" t="str">
        <v>D150</v>
      </c>
      <c r="AM274" t="str">
        <v>ABDUL KHADER</v>
      </c>
      <c r="AN274" t="str">
        <v>B</v>
      </c>
      <c r="AO274" t="str">
        <v>SUPER SENIOR</v>
      </c>
      <c r="AP274">
        <v>9</v>
      </c>
      <c r="AQ274">
        <v>0</v>
      </c>
      <c r="AR274">
        <v>0</v>
      </c>
      <c r="AS274">
        <v>0</v>
      </c>
      <c r="AT274">
        <v>1</v>
      </c>
      <c r="AU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 t="str">
        <v/>
      </c>
    </row>
    <row r="275" spans="38:58" x14ac:dyDescent="0.45">
      <c r="AL275" t="str">
        <v>D151</v>
      </c>
      <c r="AM275" t="str">
        <v>MUHAMMED SHANAVAS M.A</v>
      </c>
      <c r="AN275" t="str">
        <v>D</v>
      </c>
      <c r="AO275" t="str">
        <v>SUPER SENIOR</v>
      </c>
      <c r="AP275">
        <v>9</v>
      </c>
      <c r="AQ275">
        <v>0</v>
      </c>
      <c r="AR275">
        <v>0</v>
      </c>
      <c r="AS275">
        <v>0</v>
      </c>
      <c r="AT275">
        <v>1</v>
      </c>
      <c r="AU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 t="str">
        <v/>
      </c>
    </row>
    <row r="276" spans="38:58" x14ac:dyDescent="0.45">
      <c r="AL276" t="str">
        <v>D152</v>
      </c>
      <c r="AM276" t="str">
        <v>MOHAMMAD ISMAIL SINAN KM</v>
      </c>
      <c r="AN276" t="str">
        <v>B</v>
      </c>
      <c r="AO276" t="str">
        <v>SUPER SENIOR</v>
      </c>
      <c r="AP276">
        <v>9</v>
      </c>
      <c r="AQ276">
        <v>0</v>
      </c>
      <c r="AR276">
        <v>0</v>
      </c>
      <c r="AS276">
        <v>0</v>
      </c>
      <c r="AT276">
        <v>1</v>
      </c>
      <c r="AU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 t="str">
        <v/>
      </c>
    </row>
    <row r="277" spans="38:58" x14ac:dyDescent="0.45">
      <c r="AL277" t="str">
        <v>D153</v>
      </c>
      <c r="AM277" t="str">
        <v>MUHAMMED UNAIS PT</v>
      </c>
      <c r="AN277" t="str">
        <v>D</v>
      </c>
      <c r="AO277" t="str">
        <v>SUPER SENIOR</v>
      </c>
      <c r="AP277">
        <v>9</v>
      </c>
      <c r="AQ277">
        <v>0</v>
      </c>
      <c r="AR277">
        <v>0</v>
      </c>
      <c r="AS277">
        <v>0</v>
      </c>
      <c r="AT277">
        <v>1</v>
      </c>
      <c r="AU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 t="str">
        <v/>
      </c>
    </row>
    <row r="278" spans="38:58" x14ac:dyDescent="0.45">
      <c r="AL278" t="str">
        <v>D154</v>
      </c>
      <c r="AM278" t="str">
        <v>ASHIKK.I</v>
      </c>
      <c r="AN278" t="str">
        <v>D</v>
      </c>
      <c r="AO278" t="str">
        <v>SUPER SENIOR</v>
      </c>
      <c r="AP278">
        <v>9</v>
      </c>
      <c r="AQ278">
        <v>0</v>
      </c>
      <c r="AR278">
        <v>0</v>
      </c>
      <c r="AS278">
        <v>0</v>
      </c>
      <c r="AT278">
        <v>1</v>
      </c>
      <c r="AU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 t="str">
        <v/>
      </c>
    </row>
    <row r="279" spans="38:58" x14ac:dyDescent="0.45">
      <c r="AL279" t="str">
        <v>D155</v>
      </c>
      <c r="AM279" t="str">
        <v>MUHAMMED YASIR K</v>
      </c>
      <c r="AN279" t="str">
        <v>C</v>
      </c>
      <c r="AO279" t="str">
        <v>SUPER SENIOR</v>
      </c>
      <c r="AP279">
        <v>9</v>
      </c>
      <c r="AQ279">
        <v>0</v>
      </c>
      <c r="AR279">
        <v>0</v>
      </c>
      <c r="AS279">
        <v>0</v>
      </c>
      <c r="AT279">
        <v>1</v>
      </c>
      <c r="AU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 t="str">
        <v/>
      </c>
    </row>
    <row r="280" spans="38:58" x14ac:dyDescent="0.45">
      <c r="AL280" t="str">
        <v>D156</v>
      </c>
      <c r="AM280" t="str">
        <v>MUHAMMED BIN ABDUL KADHAR</v>
      </c>
      <c r="AN280">
        <v>0</v>
      </c>
      <c r="AO280" t="str">
        <v>SUPER SENIOR</v>
      </c>
      <c r="AP280">
        <v>9</v>
      </c>
      <c r="AQ280">
        <v>0</v>
      </c>
      <c r="AR280">
        <v>0</v>
      </c>
      <c r="AS280">
        <v>0</v>
      </c>
      <c r="AT280">
        <v>1</v>
      </c>
      <c r="AU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 t="str">
        <v/>
      </c>
    </row>
    <row r="281" spans="38:58" x14ac:dyDescent="0.45">
      <c r="AL281" t="str">
        <v>D157</v>
      </c>
      <c r="AM281" t="str">
        <v>MUHAMMAD MUZAMMIL E.A</v>
      </c>
      <c r="AN281" t="str">
        <v>C</v>
      </c>
      <c r="AO281" t="str">
        <v>SUPER SENIOR</v>
      </c>
      <c r="AP281">
        <v>9</v>
      </c>
      <c r="AQ281">
        <v>0</v>
      </c>
      <c r="AR281">
        <v>0</v>
      </c>
      <c r="AS281">
        <v>0</v>
      </c>
      <c r="AT281">
        <v>1</v>
      </c>
      <c r="AU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 t="str">
        <v/>
      </c>
    </row>
    <row r="282" spans="38:58" x14ac:dyDescent="0.45">
      <c r="AL282" t="str">
        <v>D158</v>
      </c>
      <c r="AM282" t="str">
        <v>MUHAMMED UNAIS</v>
      </c>
      <c r="AN282">
        <v>0</v>
      </c>
      <c r="AO282" t="str">
        <v>SUPER SENIOR</v>
      </c>
      <c r="AP282">
        <v>9</v>
      </c>
      <c r="AQ282">
        <v>0</v>
      </c>
      <c r="AR282">
        <v>0</v>
      </c>
      <c r="AS282">
        <v>0</v>
      </c>
      <c r="AT282">
        <v>1</v>
      </c>
      <c r="AU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 t="str">
        <v/>
      </c>
    </row>
    <row r="283" spans="38:58" x14ac:dyDescent="0.45">
      <c r="AL283" t="str">
        <v>D159</v>
      </c>
      <c r="AM283" t="str">
        <v>MUHAMMED MUZAMMIL</v>
      </c>
      <c r="AN283" t="str">
        <v>A</v>
      </c>
      <c r="AO283" t="str">
        <v>SUPER SENIOR</v>
      </c>
      <c r="AP283">
        <v>9</v>
      </c>
      <c r="AQ283">
        <v>0</v>
      </c>
      <c r="AR283">
        <v>0</v>
      </c>
      <c r="AS283">
        <v>0</v>
      </c>
      <c r="AT283">
        <v>1</v>
      </c>
      <c r="AU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 t="str">
        <v/>
      </c>
    </row>
    <row r="284" spans="38:58" x14ac:dyDescent="0.45">
      <c r="AL284" t="str">
        <v>D160</v>
      </c>
      <c r="AM284" t="str">
        <v>SALMAN FARIS</v>
      </c>
      <c r="AN284" t="str">
        <v>D</v>
      </c>
      <c r="AO284" t="str">
        <v>SUPER SENIOR</v>
      </c>
      <c r="AP284">
        <v>9</v>
      </c>
      <c r="AQ284">
        <v>0</v>
      </c>
      <c r="AR284">
        <v>0</v>
      </c>
      <c r="AS284">
        <v>0</v>
      </c>
      <c r="AT284">
        <v>1</v>
      </c>
      <c r="AU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 t="str">
        <v/>
      </c>
    </row>
    <row r="285" spans="38:58" x14ac:dyDescent="0.45">
      <c r="AL285" t="str">
        <v>D161</v>
      </c>
      <c r="AM285" t="str">
        <v>MOHAMMED ATHHAR THAYYIB MS</v>
      </c>
      <c r="AN285" t="str">
        <v>C</v>
      </c>
      <c r="AO285" t="str">
        <v>SUPER SENIOR</v>
      </c>
      <c r="AP285">
        <v>9</v>
      </c>
      <c r="AQ285">
        <v>0</v>
      </c>
      <c r="AR285">
        <v>0</v>
      </c>
      <c r="AS285">
        <v>0</v>
      </c>
      <c r="AT285">
        <v>1</v>
      </c>
      <c r="AU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 t="str">
        <v/>
      </c>
    </row>
    <row r="286" spans="38:58" x14ac:dyDescent="0.45">
      <c r="AL286" t="str">
        <v>D162</v>
      </c>
      <c r="AM286" t="str">
        <v>ABDURAHMAN P.H</v>
      </c>
      <c r="AN286" t="str">
        <v>C</v>
      </c>
      <c r="AO286" t="str">
        <v>SUPER SENIOR</v>
      </c>
      <c r="AP286">
        <v>9</v>
      </c>
      <c r="AQ286">
        <v>0</v>
      </c>
      <c r="AR286">
        <v>0</v>
      </c>
      <c r="AS286">
        <v>0</v>
      </c>
      <c r="AT286">
        <v>1</v>
      </c>
      <c r="AU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 t="str">
        <v/>
      </c>
    </row>
    <row r="287" spans="38:58" x14ac:dyDescent="0.45">
      <c r="AL287" t="str">
        <v>D163</v>
      </c>
      <c r="AM287" t="str">
        <v>ABDUL JANIS</v>
      </c>
      <c r="AN287" t="str">
        <v>A</v>
      </c>
      <c r="AO287" t="str">
        <v>SUPER SENIOR</v>
      </c>
      <c r="AP287">
        <v>9</v>
      </c>
      <c r="AQ287">
        <v>0</v>
      </c>
      <c r="AR287">
        <v>0</v>
      </c>
      <c r="AS287">
        <v>0</v>
      </c>
      <c r="AT287">
        <v>1</v>
      </c>
      <c r="AU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 t="str">
        <v/>
      </c>
    </row>
    <row r="288" spans="38:58" x14ac:dyDescent="0.45">
      <c r="AL288" t="str">
        <v>D164</v>
      </c>
      <c r="AM288" t="str">
        <v>AHMED SULTHAN</v>
      </c>
      <c r="AN288" t="str">
        <v>D</v>
      </c>
      <c r="AO288" t="str">
        <v>SUPER SENIOR</v>
      </c>
      <c r="AP288">
        <v>9</v>
      </c>
      <c r="AQ288">
        <v>0</v>
      </c>
      <c r="AR288">
        <v>0</v>
      </c>
      <c r="AS288">
        <v>0</v>
      </c>
      <c r="AT288">
        <v>1</v>
      </c>
      <c r="AU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 t="str">
        <v/>
      </c>
    </row>
    <row r="289" spans="38:58" x14ac:dyDescent="0.45">
      <c r="AL289" t="str">
        <v>D165</v>
      </c>
      <c r="AM289" t="str">
        <v>AJMAL KI</v>
      </c>
      <c r="AN289" t="str">
        <v>A</v>
      </c>
      <c r="AO289" t="str">
        <v>SUPER SENIOR</v>
      </c>
      <c r="AP289">
        <v>9</v>
      </c>
      <c r="AQ289">
        <v>0</v>
      </c>
      <c r="AR289">
        <v>0</v>
      </c>
      <c r="AS289">
        <v>0</v>
      </c>
      <c r="AT289">
        <v>1</v>
      </c>
      <c r="AU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 t="str">
        <v/>
      </c>
    </row>
    <row r="290" spans="38:58" x14ac:dyDescent="0.45">
      <c r="AL290" t="str">
        <v>D166</v>
      </c>
      <c r="AM290" t="str">
        <v>MOHAMMED IRFAN C</v>
      </c>
      <c r="AN290" t="str">
        <v>B</v>
      </c>
      <c r="AO290" t="str">
        <v>SUPER SENIOR</v>
      </c>
      <c r="AP290">
        <v>9</v>
      </c>
      <c r="AQ290">
        <v>0</v>
      </c>
      <c r="AR290">
        <v>0</v>
      </c>
      <c r="AS290">
        <v>0</v>
      </c>
      <c r="AT290">
        <v>1</v>
      </c>
      <c r="AU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 t="str">
        <v/>
      </c>
    </row>
    <row r="291" spans="38:58" x14ac:dyDescent="0.45">
      <c r="AL291" t="str">
        <v>D167</v>
      </c>
      <c r="AM291" t="str">
        <v>AHMAD BINYAMUL ASHIQUE</v>
      </c>
      <c r="AN291" t="str">
        <v>D</v>
      </c>
      <c r="AO291" t="str">
        <v>SUPER SENIOR</v>
      </c>
      <c r="AP291">
        <v>10</v>
      </c>
      <c r="AQ291">
        <v>0</v>
      </c>
      <c r="AR291">
        <v>0</v>
      </c>
      <c r="AS291">
        <v>0</v>
      </c>
      <c r="AT291">
        <v>1</v>
      </c>
      <c r="AU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 t="str">
        <v/>
      </c>
    </row>
    <row r="292" spans="38:58" x14ac:dyDescent="0.45">
      <c r="AL292" t="str">
        <v>D168</v>
      </c>
      <c r="AM292" t="str">
        <v>MOHAMMED NAFIH KA</v>
      </c>
      <c r="AN292" t="str">
        <v>A</v>
      </c>
      <c r="AO292" t="str">
        <v>SUPER SENIOR</v>
      </c>
      <c r="AP292">
        <v>10</v>
      </c>
      <c r="AQ292">
        <v>0</v>
      </c>
      <c r="AR292">
        <v>0</v>
      </c>
      <c r="AS292">
        <v>0</v>
      </c>
      <c r="AT292">
        <v>1</v>
      </c>
      <c r="AU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 t="str">
        <v/>
      </c>
    </row>
    <row r="293" spans="38:58" x14ac:dyDescent="0.45">
      <c r="AL293" t="str">
        <v>D169</v>
      </c>
      <c r="AM293" t="str">
        <v>MUHAMMED AYIZ</v>
      </c>
      <c r="AN293" t="str">
        <v>C</v>
      </c>
      <c r="AO293" t="str">
        <v>SUPER SENIOR</v>
      </c>
      <c r="AP293">
        <v>10</v>
      </c>
      <c r="AQ293">
        <v>0</v>
      </c>
      <c r="AR293">
        <v>0</v>
      </c>
      <c r="AS293">
        <v>0</v>
      </c>
      <c r="AT293">
        <v>1</v>
      </c>
      <c r="AU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 t="str">
        <v/>
      </c>
    </row>
    <row r="294" spans="38:58" x14ac:dyDescent="0.45">
      <c r="AL294" t="str">
        <v>D170</v>
      </c>
      <c r="AM294" t="str">
        <v>AHMED ADIL B.K</v>
      </c>
      <c r="AN294" t="str">
        <v>D</v>
      </c>
      <c r="AO294" t="str">
        <v>SUPER SENIOR</v>
      </c>
      <c r="AP294">
        <v>10</v>
      </c>
      <c r="AQ294">
        <v>0</v>
      </c>
      <c r="AR294">
        <v>0</v>
      </c>
      <c r="AS294">
        <v>0</v>
      </c>
      <c r="AT294">
        <v>1</v>
      </c>
      <c r="AU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 t="str">
        <v/>
      </c>
    </row>
    <row r="295" spans="38:58" x14ac:dyDescent="0.45">
      <c r="AL295" t="str">
        <v>D171</v>
      </c>
      <c r="AM295" t="str">
        <v>MOHAMMED ANFAHUDEEN T.A</v>
      </c>
      <c r="AN295" t="str">
        <v>A</v>
      </c>
      <c r="AO295" t="str">
        <v>SUPER SENIOR</v>
      </c>
      <c r="AP295">
        <v>10</v>
      </c>
      <c r="AQ295">
        <v>0</v>
      </c>
      <c r="AR295">
        <v>0</v>
      </c>
      <c r="AS295">
        <v>0</v>
      </c>
      <c r="AT295">
        <v>1</v>
      </c>
      <c r="AU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 t="str">
        <v/>
      </c>
    </row>
    <row r="296" spans="38:58" x14ac:dyDescent="0.45">
      <c r="AL296" t="str">
        <v>D172</v>
      </c>
      <c r="AM296" t="str">
        <v>MUHAMMED MUFEED</v>
      </c>
      <c r="AN296" t="str">
        <v>B</v>
      </c>
      <c r="AO296" t="str">
        <v>SUPER SENIOR</v>
      </c>
      <c r="AP296">
        <v>10</v>
      </c>
      <c r="AQ296">
        <v>0</v>
      </c>
      <c r="AR296">
        <v>0</v>
      </c>
      <c r="AS296">
        <v>0</v>
      </c>
      <c r="AT296">
        <v>1</v>
      </c>
      <c r="AU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 t="str">
        <v/>
      </c>
    </row>
    <row r="297" spans="38:58" x14ac:dyDescent="0.45">
      <c r="AL297" t="str">
        <v>D173</v>
      </c>
      <c r="AM297" t="str">
        <v>ABOOBACKER SIDDIK</v>
      </c>
      <c r="AN297" t="str">
        <v>C</v>
      </c>
      <c r="AO297" t="str">
        <v>SUPER SENIOR</v>
      </c>
      <c r="AP297">
        <v>10</v>
      </c>
      <c r="AQ297">
        <v>0</v>
      </c>
      <c r="AR297">
        <v>0</v>
      </c>
      <c r="AS297">
        <v>0</v>
      </c>
      <c r="AT297">
        <v>1</v>
      </c>
      <c r="AU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 t="str">
        <v/>
      </c>
    </row>
    <row r="298" spans="38:58" x14ac:dyDescent="0.45">
      <c r="AL298" t="str">
        <v>D174</v>
      </c>
      <c r="AM298" t="str">
        <v>BADRUDHIN A</v>
      </c>
      <c r="AN298" t="str">
        <v>C</v>
      </c>
      <c r="AO298" t="str">
        <v>SUPER SENIOR</v>
      </c>
      <c r="AP298">
        <v>10</v>
      </c>
      <c r="AQ298">
        <v>0</v>
      </c>
      <c r="AR298">
        <v>0</v>
      </c>
      <c r="AS298">
        <v>0</v>
      </c>
      <c r="AT298">
        <v>1</v>
      </c>
      <c r="AU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 t="str">
        <v/>
      </c>
    </row>
    <row r="299" spans="38:58" x14ac:dyDescent="0.45">
      <c r="AL299" t="str">
        <v>D175</v>
      </c>
      <c r="AM299" t="str">
        <v>AKBAR P</v>
      </c>
      <c r="AN299" t="str">
        <v>A</v>
      </c>
      <c r="AO299" t="str">
        <v>SUPER SENIOR</v>
      </c>
      <c r="AP299">
        <v>10</v>
      </c>
      <c r="AQ299">
        <v>0</v>
      </c>
      <c r="AR299">
        <v>0</v>
      </c>
      <c r="AS299">
        <v>0</v>
      </c>
      <c r="AT299">
        <v>1</v>
      </c>
      <c r="AU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 t="str">
        <v/>
      </c>
    </row>
    <row r="300" spans="38:58" x14ac:dyDescent="0.45">
      <c r="AL300" t="str">
        <v>D176</v>
      </c>
      <c r="AM300" t="str">
        <v>MOHAMMED NASFAR AFNAN H</v>
      </c>
      <c r="AN300" t="str">
        <v>D</v>
      </c>
      <c r="AO300" t="str">
        <v>SUPER SENIOR</v>
      </c>
      <c r="AP300">
        <v>10</v>
      </c>
      <c r="AQ300">
        <v>0</v>
      </c>
      <c r="AR300">
        <v>0</v>
      </c>
      <c r="AS300">
        <v>0</v>
      </c>
      <c r="AT300">
        <v>1</v>
      </c>
      <c r="AU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 t="str">
        <v/>
      </c>
    </row>
    <row r="301" spans="38:58" x14ac:dyDescent="0.45">
      <c r="AL301" t="str">
        <v>D177</v>
      </c>
      <c r="AM301" t="str">
        <v>SHAMEEM ABDULLA P.S</v>
      </c>
      <c r="AN301" t="str">
        <v>A</v>
      </c>
      <c r="AO301" t="str">
        <v>SUPER SENIOR</v>
      </c>
      <c r="AP301">
        <v>10</v>
      </c>
      <c r="AQ301">
        <v>0</v>
      </c>
      <c r="AR301">
        <v>0</v>
      </c>
      <c r="AS301">
        <v>0</v>
      </c>
      <c r="AT301">
        <v>1</v>
      </c>
      <c r="AU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 t="str">
        <v/>
      </c>
    </row>
    <row r="302" spans="38:58" x14ac:dyDescent="0.45">
      <c r="AL302" t="str">
        <v>D178</v>
      </c>
      <c r="AM302" t="str">
        <v>AHMED BK</v>
      </c>
      <c r="AN302" t="str">
        <v>C</v>
      </c>
      <c r="AO302" t="str">
        <v>SUPER SENIOR</v>
      </c>
      <c r="AP302">
        <v>10</v>
      </c>
      <c r="AQ302">
        <v>0</v>
      </c>
      <c r="AR302">
        <v>0</v>
      </c>
      <c r="AS302">
        <v>0</v>
      </c>
      <c r="AT302">
        <v>1</v>
      </c>
      <c r="AU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 t="str">
        <v/>
      </c>
    </row>
    <row r="303" spans="38:58" x14ac:dyDescent="0.45">
      <c r="AL303" t="str">
        <v>D179</v>
      </c>
      <c r="AM303" t="str">
        <v>MUHAMMED AKBAR NP</v>
      </c>
      <c r="AN303" t="str">
        <v>B</v>
      </c>
      <c r="AO303" t="str">
        <v>SUPER SENIOR</v>
      </c>
      <c r="AP303">
        <v>10</v>
      </c>
      <c r="AQ303">
        <v>0</v>
      </c>
      <c r="AR303">
        <v>0</v>
      </c>
      <c r="AS303">
        <v>0</v>
      </c>
      <c r="AT303">
        <v>1</v>
      </c>
      <c r="AU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 t="str">
        <v/>
      </c>
    </row>
    <row r="304" spans="38:58" x14ac:dyDescent="0.45">
      <c r="AL304" t="str">
        <v>D180</v>
      </c>
      <c r="AM304" t="str">
        <v>ATHIF ABDULKHADER</v>
      </c>
      <c r="AN304" t="str">
        <v>A</v>
      </c>
      <c r="AO304" t="str">
        <v>SUPER SENIOR</v>
      </c>
      <c r="AP304">
        <v>10</v>
      </c>
      <c r="AQ304">
        <v>0</v>
      </c>
      <c r="AR304">
        <v>0</v>
      </c>
      <c r="AS304">
        <v>0</v>
      </c>
      <c r="AT304">
        <v>1</v>
      </c>
      <c r="AU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 t="str">
        <v/>
      </c>
    </row>
    <row r="305" spans="38:58" x14ac:dyDescent="0.45">
      <c r="AL305" t="str">
        <v>D181</v>
      </c>
      <c r="AM305" t="str">
        <v>MUHAMMED SAJJAD</v>
      </c>
      <c r="AN305" t="str">
        <v>B</v>
      </c>
      <c r="AO305" t="str">
        <v>SUPER SENIOR</v>
      </c>
      <c r="AP305">
        <v>10</v>
      </c>
      <c r="AQ305">
        <v>0</v>
      </c>
      <c r="AR305">
        <v>0</v>
      </c>
      <c r="AS305">
        <v>0</v>
      </c>
      <c r="AT305">
        <v>1</v>
      </c>
      <c r="AU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 t="str">
        <v/>
      </c>
    </row>
    <row r="306" spans="38:58" x14ac:dyDescent="0.45">
      <c r="AL306" t="str">
        <v>D182</v>
      </c>
      <c r="AM306" t="str">
        <v>AHAMED ASIF M</v>
      </c>
      <c r="AN306" t="str">
        <v>D</v>
      </c>
      <c r="AO306" t="str">
        <v>SUPER SENIOR</v>
      </c>
      <c r="AP306">
        <v>10</v>
      </c>
      <c r="AQ306">
        <v>0</v>
      </c>
      <c r="AR306">
        <v>0</v>
      </c>
      <c r="AS306">
        <v>0</v>
      </c>
      <c r="AT306">
        <v>1</v>
      </c>
      <c r="AU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 t="str">
        <v/>
      </c>
    </row>
    <row r="307" spans="38:58" x14ac:dyDescent="0.45">
      <c r="AL307" t="str">
        <v>D183</v>
      </c>
      <c r="AM307" t="str">
        <v>MOHAMMAD SWALIH K</v>
      </c>
      <c r="AN307" t="str">
        <v>B</v>
      </c>
      <c r="AO307" t="str">
        <v>SUPER SENIOR</v>
      </c>
      <c r="AP307">
        <v>10</v>
      </c>
      <c r="AQ307">
        <v>0</v>
      </c>
      <c r="AR307">
        <v>0</v>
      </c>
      <c r="AS307">
        <v>0</v>
      </c>
      <c r="AT307">
        <v>1</v>
      </c>
      <c r="AU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 t="str">
        <v/>
      </c>
    </row>
    <row r="308" spans="38:58" x14ac:dyDescent="0.45">
      <c r="AL308" t="str">
        <v>D184</v>
      </c>
      <c r="AM308" t="str">
        <v>YASEEN</v>
      </c>
      <c r="AN308" t="str">
        <v>A</v>
      </c>
      <c r="AO308" t="str">
        <v>SUPER SENIOR</v>
      </c>
      <c r="AP308">
        <v>10</v>
      </c>
      <c r="AQ308">
        <v>0</v>
      </c>
      <c r="AR308">
        <v>0</v>
      </c>
      <c r="AS308">
        <v>0</v>
      </c>
      <c r="AT308">
        <v>1</v>
      </c>
      <c r="AU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 t="str">
        <v/>
      </c>
    </row>
    <row r="309" spans="38:58" x14ac:dyDescent="0.45">
      <c r="AL309" t="str">
        <v>D185</v>
      </c>
      <c r="AM309" t="str">
        <v>MAHAMMED ASHIK</v>
      </c>
      <c r="AN309">
        <v>0</v>
      </c>
      <c r="AO309" t="str">
        <v>SUPER SENIOR</v>
      </c>
      <c r="AP309">
        <v>10</v>
      </c>
      <c r="AQ309">
        <v>0</v>
      </c>
      <c r="AR309">
        <v>0</v>
      </c>
      <c r="AS309">
        <v>0</v>
      </c>
      <c r="AT309">
        <v>1</v>
      </c>
      <c r="AU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 t="str">
        <v/>
      </c>
    </row>
    <row r="310" spans="38:58" x14ac:dyDescent="0.45">
      <c r="AL310" t="str">
        <v>D186</v>
      </c>
      <c r="AM310" t="str">
        <v>SALAHUDDEEN AYYOOBI KM</v>
      </c>
      <c r="AN310" t="str">
        <v>A</v>
      </c>
      <c r="AO310" t="str">
        <v>SUPER SENIOR</v>
      </c>
      <c r="AP310">
        <v>10</v>
      </c>
      <c r="AQ310">
        <v>0</v>
      </c>
      <c r="AR310">
        <v>0</v>
      </c>
      <c r="AS310">
        <v>0</v>
      </c>
      <c r="AT310">
        <v>1</v>
      </c>
      <c r="AU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 t="str">
        <v/>
      </c>
    </row>
    <row r="311" spans="38:58" x14ac:dyDescent="0.45">
      <c r="AL311" t="str">
        <v>D187</v>
      </c>
      <c r="AM311" t="str">
        <v>ABDUL RAHMAN</v>
      </c>
      <c r="AN311" t="str">
        <v>B</v>
      </c>
      <c r="AO311" t="str">
        <v>SUPER SENIOR</v>
      </c>
      <c r="AP311">
        <v>10</v>
      </c>
      <c r="AQ311">
        <v>0</v>
      </c>
      <c r="AR311">
        <v>0</v>
      </c>
      <c r="AS311">
        <v>0</v>
      </c>
      <c r="AT311">
        <v>1</v>
      </c>
      <c r="AU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 t="str">
        <v/>
      </c>
    </row>
    <row r="312" spans="38:58" x14ac:dyDescent="0.45">
      <c r="AL312" t="str">
        <v>D188</v>
      </c>
      <c r="AM312" t="str">
        <v>AHMED MANHAL HUSSAIN</v>
      </c>
      <c r="AN312" t="str">
        <v>A</v>
      </c>
      <c r="AO312" t="str">
        <v>SUPER SENIOR</v>
      </c>
      <c r="AP312">
        <v>10</v>
      </c>
      <c r="AQ312">
        <v>0</v>
      </c>
      <c r="AR312">
        <v>0</v>
      </c>
      <c r="AS312">
        <v>0</v>
      </c>
      <c r="AT312">
        <v>1</v>
      </c>
      <c r="AU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 t="str">
        <v/>
      </c>
    </row>
    <row r="313" spans="38:58" x14ac:dyDescent="0.45">
      <c r="AL313" t="str">
        <v>D189</v>
      </c>
      <c r="AM313" t="str">
        <v>ASGAR ALI</v>
      </c>
      <c r="AN313" t="str">
        <v>C</v>
      </c>
      <c r="AO313" t="str">
        <v>SUPER SENIOR</v>
      </c>
      <c r="AP313">
        <v>10</v>
      </c>
      <c r="AQ313">
        <v>0</v>
      </c>
      <c r="AR313">
        <v>0</v>
      </c>
      <c r="AS313">
        <v>0</v>
      </c>
      <c r="AT313">
        <v>1</v>
      </c>
      <c r="AU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 t="str">
        <v/>
      </c>
    </row>
    <row r="314" spans="38:58" x14ac:dyDescent="0.45">
      <c r="AL314" t="str">
        <v>D190</v>
      </c>
      <c r="AM314" t="str">
        <v>MOHAMMED AMEEN B.A</v>
      </c>
      <c r="AN314" t="str">
        <v>C</v>
      </c>
      <c r="AO314" t="str">
        <v>SUPER SENIOR</v>
      </c>
      <c r="AP314">
        <v>10</v>
      </c>
      <c r="AQ314">
        <v>0</v>
      </c>
      <c r="AR314">
        <v>0</v>
      </c>
      <c r="AS314">
        <v>0</v>
      </c>
      <c r="AT314">
        <v>1</v>
      </c>
      <c r="AU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 t="str">
        <v/>
      </c>
    </row>
    <row r="315" spans="38:58" x14ac:dyDescent="0.45">
      <c r="AL315" t="str">
        <v>D191</v>
      </c>
      <c r="AM315" t="str">
        <v>THAMJEED TM</v>
      </c>
      <c r="AN315" t="str">
        <v>D</v>
      </c>
      <c r="AO315" t="str">
        <v>SUPER SENIOR</v>
      </c>
      <c r="AP315">
        <v>10</v>
      </c>
      <c r="AQ315">
        <v>0</v>
      </c>
      <c r="AR315">
        <v>0</v>
      </c>
      <c r="AS315">
        <v>0</v>
      </c>
      <c r="AT315">
        <v>1</v>
      </c>
      <c r="AU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 t="str">
        <v/>
      </c>
    </row>
    <row r="316" spans="38:58" x14ac:dyDescent="0.45">
      <c r="AL316" t="str">
        <v>D192</v>
      </c>
      <c r="AM316" t="str">
        <v>MUHAMMED SIFARATH T A</v>
      </c>
      <c r="AN316" t="str">
        <v>B</v>
      </c>
      <c r="AO316" t="str">
        <v>SUPER SENIOR</v>
      </c>
      <c r="AP316">
        <v>10</v>
      </c>
      <c r="AQ316">
        <v>0</v>
      </c>
      <c r="AR316">
        <v>0</v>
      </c>
      <c r="AS316">
        <v>0</v>
      </c>
      <c r="AT316">
        <v>1</v>
      </c>
      <c r="AU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 t="str">
        <v/>
      </c>
    </row>
    <row r="317" spans="38:58" x14ac:dyDescent="0.45">
      <c r="AL317" t="str">
        <v>D193</v>
      </c>
      <c r="AM317" t="str">
        <v>MUHAMMED ABDUL GHANI M.A</v>
      </c>
      <c r="AN317" t="str">
        <v>D</v>
      </c>
      <c r="AO317" t="str">
        <v>SUPER SENIOR</v>
      </c>
      <c r="AP317">
        <v>10</v>
      </c>
      <c r="AQ317">
        <v>0</v>
      </c>
      <c r="AR317">
        <v>0</v>
      </c>
      <c r="AS317">
        <v>0</v>
      </c>
      <c r="AT317">
        <v>1</v>
      </c>
      <c r="AU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 t="str">
        <v/>
      </c>
    </row>
    <row r="318" spans="38:58" x14ac:dyDescent="0.45">
      <c r="AL318" t="str">
        <v>D194</v>
      </c>
      <c r="AM318" t="str">
        <v>AYAZ RAHMAN T</v>
      </c>
      <c r="AN318" t="str">
        <v>D</v>
      </c>
      <c r="AO318" t="str">
        <v>SUPER SENIOR</v>
      </c>
      <c r="AP318">
        <v>10</v>
      </c>
      <c r="AQ318">
        <v>0</v>
      </c>
      <c r="AR318">
        <v>0</v>
      </c>
      <c r="AS318">
        <v>0</v>
      </c>
      <c r="AT318">
        <v>1</v>
      </c>
      <c r="AU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 t="str">
        <v/>
      </c>
    </row>
    <row r="319" spans="38:58" x14ac:dyDescent="0.45">
      <c r="AL319" t="str">
        <v>D195</v>
      </c>
      <c r="AM319" t="str">
        <v>AHMED SWALAHUDHEEN PI</v>
      </c>
      <c r="AN319" t="str">
        <v>C</v>
      </c>
      <c r="AO319" t="str">
        <v>SUPER SENIOR</v>
      </c>
      <c r="AP319">
        <v>10</v>
      </c>
      <c r="AQ319">
        <v>0</v>
      </c>
      <c r="AR319">
        <v>0</v>
      </c>
      <c r="AS319">
        <v>0</v>
      </c>
      <c r="AT319">
        <v>1</v>
      </c>
      <c r="AU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 t="str">
        <v/>
      </c>
    </row>
    <row r="320" spans="38:58" x14ac:dyDescent="0.45">
      <c r="AL320" t="str">
        <v>D196</v>
      </c>
      <c r="AM320" t="str">
        <v>ABDUL VAJID K</v>
      </c>
      <c r="AN320" t="str">
        <v>B</v>
      </c>
      <c r="AO320" t="str">
        <v>SUPER SENIOR</v>
      </c>
      <c r="AP320">
        <v>10</v>
      </c>
      <c r="AQ320">
        <v>0</v>
      </c>
      <c r="AR320">
        <v>0</v>
      </c>
      <c r="AS320">
        <v>0</v>
      </c>
      <c r="AT320">
        <v>1</v>
      </c>
      <c r="AU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 t="str">
        <v/>
      </c>
    </row>
    <row r="321" spans="38:58" x14ac:dyDescent="0.45">
      <c r="AL321" t="str">
        <v>D197</v>
      </c>
      <c r="AM321" t="str">
        <v>MUHAMMED ASHFAK K</v>
      </c>
      <c r="AN321" t="str">
        <v>B</v>
      </c>
      <c r="AO321" t="str">
        <v>SUPER SENIOR</v>
      </c>
      <c r="AP321">
        <v>10</v>
      </c>
      <c r="AQ321">
        <v>0</v>
      </c>
      <c r="AR321">
        <v>0</v>
      </c>
      <c r="AS321">
        <v>0</v>
      </c>
      <c r="AT321">
        <v>1</v>
      </c>
      <c r="AU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 t="str">
        <v/>
      </c>
    </row>
    <row r="322" spans="38:58" x14ac:dyDescent="0.45">
      <c r="AL322" t="str">
        <v>D198</v>
      </c>
      <c r="AM322" t="str">
        <v>MUHAMMED SAFWAN</v>
      </c>
      <c r="AN322" t="str">
        <v>A</v>
      </c>
      <c r="AO322" t="str">
        <v>SUPER SENIOR</v>
      </c>
      <c r="AP322">
        <v>10</v>
      </c>
      <c r="AQ322">
        <v>0</v>
      </c>
      <c r="AR322">
        <v>0</v>
      </c>
      <c r="AS322">
        <v>0</v>
      </c>
      <c r="AT322">
        <v>1</v>
      </c>
      <c r="AU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 t="str">
        <v/>
      </c>
    </row>
    <row r="323" spans="38:58" x14ac:dyDescent="0.45">
      <c r="AL323" t="str">
        <v>D199</v>
      </c>
      <c r="AM323" t="str">
        <v>Simsarul Haq VPM</v>
      </c>
      <c r="AN323" t="str">
        <v>C</v>
      </c>
      <c r="AO323" t="str">
        <v>SUPER SENIOR</v>
      </c>
      <c r="AP323">
        <v>10</v>
      </c>
      <c r="AQ323">
        <v>0</v>
      </c>
      <c r="AR323">
        <v>0</v>
      </c>
      <c r="AS323">
        <v>0</v>
      </c>
      <c r="AT323">
        <v>1</v>
      </c>
      <c r="AU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 t="str">
        <v/>
      </c>
    </row>
    <row r="324" spans="38:58" x14ac:dyDescent="0.45"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1</v>
      </c>
      <c r="AU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 t="str">
        <v/>
      </c>
    </row>
    <row r="325" spans="38:58" x14ac:dyDescent="0.45"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1</v>
      </c>
      <c r="AU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 t="str">
        <v/>
      </c>
    </row>
    <row r="326" spans="38:58" x14ac:dyDescent="0.45"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1</v>
      </c>
      <c r="AU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 t="str">
        <v/>
      </c>
    </row>
    <row r="327" spans="38:58" x14ac:dyDescent="0.45"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1</v>
      </c>
      <c r="AU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 t="str">
        <v/>
      </c>
    </row>
    <row r="328" spans="38:58" x14ac:dyDescent="0.45"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1</v>
      </c>
      <c r="AU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 t="str">
        <v/>
      </c>
    </row>
    <row r="329" spans="38:58" x14ac:dyDescent="0.45"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1</v>
      </c>
      <c r="AU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 t="str">
        <v/>
      </c>
    </row>
    <row r="330" spans="38:58" x14ac:dyDescent="0.45"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1</v>
      </c>
      <c r="AU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 t="str">
        <v/>
      </c>
    </row>
    <row r="331" spans="38:58" x14ac:dyDescent="0.45"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 t="str">
        <v/>
      </c>
    </row>
    <row r="332" spans="38:58" x14ac:dyDescent="0.45"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1</v>
      </c>
      <c r="AU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 t="str">
        <v/>
      </c>
    </row>
    <row r="333" spans="38:58" x14ac:dyDescent="0.45"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 t="str">
        <v/>
      </c>
    </row>
    <row r="334" spans="38:58" x14ac:dyDescent="0.45"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 t="str">
        <v/>
      </c>
    </row>
    <row r="335" spans="38:58" x14ac:dyDescent="0.45"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1</v>
      </c>
      <c r="AU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 t="str">
        <v/>
      </c>
    </row>
    <row r="336" spans="38:58" x14ac:dyDescent="0.45"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1</v>
      </c>
      <c r="AU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 t="str">
        <v/>
      </c>
    </row>
    <row r="337" spans="38:58" x14ac:dyDescent="0.45"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 t="str">
        <v/>
      </c>
    </row>
    <row r="338" spans="38:58" x14ac:dyDescent="0.45"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 t="str">
        <v/>
      </c>
    </row>
    <row r="339" spans="38:58" x14ac:dyDescent="0.45"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 t="str">
        <v/>
      </c>
    </row>
    <row r="340" spans="38:58" x14ac:dyDescent="0.45"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 t="str">
        <v/>
      </c>
    </row>
    <row r="341" spans="38:58" x14ac:dyDescent="0.45"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 t="str">
        <v/>
      </c>
    </row>
    <row r="342" spans="38:58" x14ac:dyDescent="0.45"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1</v>
      </c>
      <c r="AU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 t="str">
        <v/>
      </c>
    </row>
    <row r="343" spans="38:58" x14ac:dyDescent="0.45"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1</v>
      </c>
      <c r="AU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 t="str">
        <v/>
      </c>
    </row>
    <row r="344" spans="38:58" x14ac:dyDescent="0.45"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1</v>
      </c>
      <c r="AU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 t="str">
        <v/>
      </c>
    </row>
    <row r="345" spans="38:58" x14ac:dyDescent="0.45"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1</v>
      </c>
      <c r="AU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 t="str">
        <v/>
      </c>
    </row>
    <row r="346" spans="38:58" x14ac:dyDescent="0.45"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1</v>
      </c>
      <c r="AU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 t="str">
        <v/>
      </c>
    </row>
    <row r="347" spans="38:58" x14ac:dyDescent="0.45"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1</v>
      </c>
      <c r="AU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 t="str">
        <v/>
      </c>
    </row>
    <row r="348" spans="38:58" x14ac:dyDescent="0.45"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1</v>
      </c>
      <c r="AU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 t="str">
        <v/>
      </c>
    </row>
    <row r="349" spans="38:58" x14ac:dyDescent="0.45"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1</v>
      </c>
      <c r="AU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 t="str">
        <v/>
      </c>
    </row>
    <row r="350" spans="38:58" x14ac:dyDescent="0.45"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1</v>
      </c>
      <c r="AU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 t="str">
        <v/>
      </c>
    </row>
    <row r="351" spans="38:58" x14ac:dyDescent="0.45"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1</v>
      </c>
      <c r="AU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 t="str">
        <v/>
      </c>
    </row>
    <row r="352" spans="38:58" x14ac:dyDescent="0.45"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1</v>
      </c>
      <c r="AU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 t="str">
        <v/>
      </c>
    </row>
    <row r="353" spans="38:58" x14ac:dyDescent="0.45"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1</v>
      </c>
      <c r="AU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 t="str">
        <v/>
      </c>
    </row>
    <row r="354" spans="38:58" x14ac:dyDescent="0.45"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1</v>
      </c>
      <c r="AU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 t="str">
        <v/>
      </c>
    </row>
    <row r="355" spans="38:58" x14ac:dyDescent="0.45"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1</v>
      </c>
      <c r="AU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 t="str">
        <v/>
      </c>
    </row>
    <row r="356" spans="38:58" x14ac:dyDescent="0.45"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1</v>
      </c>
      <c r="AU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 t="str">
        <v/>
      </c>
    </row>
    <row r="357" spans="38:58" x14ac:dyDescent="0.45"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1</v>
      </c>
      <c r="AU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 t="str">
        <v/>
      </c>
    </row>
    <row r="358" spans="38:58" x14ac:dyDescent="0.45"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1</v>
      </c>
      <c r="AU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 t="str">
        <v/>
      </c>
    </row>
    <row r="359" spans="38:58" x14ac:dyDescent="0.45"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1</v>
      </c>
      <c r="AU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 t="str">
        <v/>
      </c>
    </row>
    <row r="360" spans="38:58" x14ac:dyDescent="0.45"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1</v>
      </c>
      <c r="AU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 t="str">
        <v/>
      </c>
    </row>
    <row r="361" spans="38:58" x14ac:dyDescent="0.45"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1</v>
      </c>
      <c r="AU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 t="str">
        <v/>
      </c>
    </row>
    <row r="362" spans="38:58" x14ac:dyDescent="0.45"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1</v>
      </c>
      <c r="AU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 t="str">
        <v/>
      </c>
    </row>
    <row r="363" spans="38:58" x14ac:dyDescent="0.45"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1</v>
      </c>
      <c r="AU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 t="str">
        <v/>
      </c>
    </row>
    <row r="364" spans="38:58" x14ac:dyDescent="0.45"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1</v>
      </c>
      <c r="AU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 t="str">
        <v/>
      </c>
    </row>
    <row r="365" spans="38:58" x14ac:dyDescent="0.45"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1</v>
      </c>
      <c r="AU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 t="str">
        <v/>
      </c>
    </row>
    <row r="366" spans="38:58" x14ac:dyDescent="0.45"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1</v>
      </c>
      <c r="AU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 t="str">
        <v/>
      </c>
    </row>
    <row r="367" spans="38:58" x14ac:dyDescent="0.45"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1</v>
      </c>
      <c r="AU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 t="str">
        <v/>
      </c>
    </row>
    <row r="368" spans="38:58" x14ac:dyDescent="0.45"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1</v>
      </c>
      <c r="AU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 t="str">
        <v/>
      </c>
    </row>
    <row r="369" spans="38:58" x14ac:dyDescent="0.45"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1</v>
      </c>
      <c r="AU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 t="str">
        <v/>
      </c>
    </row>
    <row r="370" spans="38:58" x14ac:dyDescent="0.45"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1</v>
      </c>
      <c r="AU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 t="str">
        <v/>
      </c>
    </row>
    <row r="371" spans="38:58" x14ac:dyDescent="0.45"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1</v>
      </c>
      <c r="AU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 t="str">
        <v/>
      </c>
    </row>
    <row r="372" spans="38:58" x14ac:dyDescent="0.45"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1</v>
      </c>
      <c r="AU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 t="str">
        <v/>
      </c>
    </row>
    <row r="373" spans="38:58" x14ac:dyDescent="0.45"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1</v>
      </c>
      <c r="AU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 t="str">
        <v/>
      </c>
    </row>
    <row r="374" spans="38:58" x14ac:dyDescent="0.45"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1</v>
      </c>
      <c r="AU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 t="str">
        <v/>
      </c>
    </row>
    <row r="375" spans="38:58" x14ac:dyDescent="0.45"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1</v>
      </c>
      <c r="AU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 t="str">
        <v/>
      </c>
    </row>
    <row r="376" spans="38:58" x14ac:dyDescent="0.45"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1</v>
      </c>
      <c r="AU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 t="str">
        <v/>
      </c>
    </row>
    <row r="377" spans="38:58" x14ac:dyDescent="0.45"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1</v>
      </c>
      <c r="AU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 t="str">
        <v/>
      </c>
    </row>
    <row r="378" spans="38:58" x14ac:dyDescent="0.45"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1</v>
      </c>
      <c r="AU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 t="str">
        <v/>
      </c>
    </row>
    <row r="379" spans="38:58" x14ac:dyDescent="0.45"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1</v>
      </c>
      <c r="AU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 t="str">
        <v/>
      </c>
    </row>
    <row r="380" spans="38:58" x14ac:dyDescent="0.45"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1</v>
      </c>
      <c r="AU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 t="str">
        <v/>
      </c>
    </row>
    <row r="381" spans="38:58" x14ac:dyDescent="0.45"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1</v>
      </c>
      <c r="AU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 t="str">
        <v/>
      </c>
    </row>
    <row r="382" spans="38:58" x14ac:dyDescent="0.45"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1</v>
      </c>
      <c r="AU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 t="str">
        <v/>
      </c>
    </row>
    <row r="383" spans="38:58" x14ac:dyDescent="0.45"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1</v>
      </c>
      <c r="AU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 t="str">
        <v/>
      </c>
    </row>
    <row r="384" spans="38:58" x14ac:dyDescent="0.45"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1</v>
      </c>
      <c r="AU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 t="str">
        <v/>
      </c>
    </row>
    <row r="385" spans="38:58" x14ac:dyDescent="0.45"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1</v>
      </c>
      <c r="AU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 t="str">
        <v/>
      </c>
    </row>
    <row r="386" spans="38:58" x14ac:dyDescent="0.45"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1</v>
      </c>
      <c r="AU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 t="str">
        <v/>
      </c>
    </row>
    <row r="387" spans="38:58" x14ac:dyDescent="0.45"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1</v>
      </c>
      <c r="AU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 t="str">
        <v/>
      </c>
    </row>
    <row r="388" spans="38:58" x14ac:dyDescent="0.45"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1</v>
      </c>
      <c r="AU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 t="str">
        <v/>
      </c>
    </row>
    <row r="389" spans="38:58" x14ac:dyDescent="0.45"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1</v>
      </c>
      <c r="AU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 t="str">
        <v/>
      </c>
    </row>
    <row r="390" spans="38:58" x14ac:dyDescent="0.45"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1</v>
      </c>
      <c r="AU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 t="str">
        <v/>
      </c>
    </row>
    <row r="391" spans="38:58" x14ac:dyDescent="0.45"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1</v>
      </c>
      <c r="AU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 t="str">
        <v/>
      </c>
    </row>
    <row r="392" spans="38:58" x14ac:dyDescent="0.45"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1</v>
      </c>
      <c r="AU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 t="str">
        <v/>
      </c>
    </row>
    <row r="393" spans="38:58" x14ac:dyDescent="0.45"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1</v>
      </c>
      <c r="AU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 t="str">
        <v/>
      </c>
    </row>
    <row r="394" spans="38:58" x14ac:dyDescent="0.45"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1</v>
      </c>
      <c r="AU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 t="str">
        <v/>
      </c>
    </row>
    <row r="395" spans="38:58" x14ac:dyDescent="0.45"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1</v>
      </c>
      <c r="AU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 t="str">
        <v/>
      </c>
    </row>
    <row r="396" spans="38:58" x14ac:dyDescent="0.45"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1</v>
      </c>
      <c r="AU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 t="str">
        <v/>
      </c>
    </row>
    <row r="397" spans="38:58" x14ac:dyDescent="0.45"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1</v>
      </c>
      <c r="AU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 t="str">
        <v/>
      </c>
    </row>
    <row r="398" spans="38:58" x14ac:dyDescent="0.45"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1</v>
      </c>
      <c r="AU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 t="str">
        <v/>
      </c>
    </row>
    <row r="399" spans="38:58" x14ac:dyDescent="0.45"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1</v>
      </c>
      <c r="AU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 t="str">
        <v/>
      </c>
    </row>
    <row r="400" spans="38:58" x14ac:dyDescent="0.45"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1</v>
      </c>
      <c r="AU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 t="str">
        <v/>
      </c>
    </row>
    <row r="401" spans="38:58" x14ac:dyDescent="0.45"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1</v>
      </c>
      <c r="AU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 t="str">
        <v/>
      </c>
    </row>
    <row r="402" spans="38:58" x14ac:dyDescent="0.45"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1</v>
      </c>
      <c r="AU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 t="str">
        <v/>
      </c>
    </row>
    <row r="403" spans="38:58" x14ac:dyDescent="0.45"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1</v>
      </c>
      <c r="AU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 t="str">
        <v/>
      </c>
    </row>
    <row r="404" spans="38:58" x14ac:dyDescent="0.45"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1</v>
      </c>
      <c r="AU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 t="str">
        <v/>
      </c>
    </row>
    <row r="405" spans="38:58" x14ac:dyDescent="0.45"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1</v>
      </c>
      <c r="AU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 t="str">
        <v/>
      </c>
    </row>
    <row r="406" spans="38:58" x14ac:dyDescent="0.45"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1</v>
      </c>
      <c r="AU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 t="str">
        <v/>
      </c>
    </row>
    <row r="407" spans="38:58" x14ac:dyDescent="0.45"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1</v>
      </c>
      <c r="AU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 t="str">
        <v/>
      </c>
    </row>
    <row r="408" spans="38:58" x14ac:dyDescent="0.45"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1</v>
      </c>
      <c r="AU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 t="str">
        <v/>
      </c>
    </row>
    <row r="409" spans="38:58" x14ac:dyDescent="0.45"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1</v>
      </c>
      <c r="AU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 t="str">
        <v/>
      </c>
    </row>
    <row r="410" spans="38:58" x14ac:dyDescent="0.45"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1</v>
      </c>
      <c r="AU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 t="str">
        <v/>
      </c>
    </row>
    <row r="411" spans="38:58" x14ac:dyDescent="0.45"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1</v>
      </c>
      <c r="AU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 t="str">
        <v/>
      </c>
    </row>
    <row r="412" spans="38:58" x14ac:dyDescent="0.45"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1</v>
      </c>
      <c r="AU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 t="str">
        <v/>
      </c>
    </row>
    <row r="413" spans="38:58" x14ac:dyDescent="0.45"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1</v>
      </c>
      <c r="AU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 t="str">
        <v/>
      </c>
    </row>
    <row r="414" spans="38:58" x14ac:dyDescent="0.45"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1</v>
      </c>
      <c r="AU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 t="str">
        <v/>
      </c>
    </row>
    <row r="415" spans="38:58" x14ac:dyDescent="0.45"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1</v>
      </c>
      <c r="AU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 t="str">
        <v/>
      </c>
    </row>
    <row r="416" spans="38:58" x14ac:dyDescent="0.45"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1</v>
      </c>
      <c r="AU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 t="str">
        <v/>
      </c>
    </row>
    <row r="417" spans="38:58" x14ac:dyDescent="0.45"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1</v>
      </c>
      <c r="AU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 t="str">
        <v/>
      </c>
    </row>
    <row r="418" spans="38:58" x14ac:dyDescent="0.45"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1</v>
      </c>
      <c r="AU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 t="str">
        <v/>
      </c>
    </row>
    <row r="419" spans="38:58" x14ac:dyDescent="0.45"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1</v>
      </c>
      <c r="AU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 t="str">
        <v/>
      </c>
    </row>
    <row r="420" spans="38:58" x14ac:dyDescent="0.45"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1</v>
      </c>
      <c r="AU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 t="str">
        <v/>
      </c>
    </row>
    <row r="421" spans="38:58" x14ac:dyDescent="0.45"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1</v>
      </c>
      <c r="AU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 t="str">
        <v/>
      </c>
    </row>
    <row r="422" spans="38:58" x14ac:dyDescent="0.45"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1</v>
      </c>
      <c r="AU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 t="str">
        <v/>
      </c>
    </row>
    <row r="423" spans="38:58" x14ac:dyDescent="0.45"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1</v>
      </c>
      <c r="AU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 t="str">
        <v/>
      </c>
    </row>
    <row r="424" spans="38:58" x14ac:dyDescent="0.45"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1</v>
      </c>
      <c r="AU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 t="str">
        <v/>
      </c>
    </row>
    <row r="425" spans="38:58" x14ac:dyDescent="0.45"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1</v>
      </c>
      <c r="AU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 t="str">
        <v/>
      </c>
    </row>
    <row r="426" spans="38:58" x14ac:dyDescent="0.45"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1</v>
      </c>
      <c r="AU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 t="str">
        <v/>
      </c>
    </row>
    <row r="427" spans="38:58" x14ac:dyDescent="0.45"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1</v>
      </c>
      <c r="AU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 t="str">
        <v/>
      </c>
    </row>
    <row r="428" spans="38:58" x14ac:dyDescent="0.45"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1</v>
      </c>
      <c r="AU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 t="str">
        <v/>
      </c>
    </row>
    <row r="429" spans="38:58" x14ac:dyDescent="0.45"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1</v>
      </c>
      <c r="AU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 t="str">
        <v/>
      </c>
    </row>
    <row r="430" spans="38:58" x14ac:dyDescent="0.45"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1</v>
      </c>
      <c r="AU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 t="str">
        <v/>
      </c>
    </row>
    <row r="431" spans="38:58" x14ac:dyDescent="0.45"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1</v>
      </c>
      <c r="AU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 t="str">
        <v/>
      </c>
    </row>
    <row r="432" spans="38:58" x14ac:dyDescent="0.45"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1</v>
      </c>
      <c r="AU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 t="str">
        <v/>
      </c>
    </row>
    <row r="433" spans="38:58" x14ac:dyDescent="0.45"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1</v>
      </c>
      <c r="AU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 t="str">
        <v/>
      </c>
    </row>
    <row r="434" spans="38:58" x14ac:dyDescent="0.45"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1</v>
      </c>
      <c r="AU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 t="str">
        <v/>
      </c>
    </row>
    <row r="435" spans="38:58" x14ac:dyDescent="0.45"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1</v>
      </c>
      <c r="AU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 t="str">
        <v/>
      </c>
    </row>
    <row r="436" spans="38:58" x14ac:dyDescent="0.45"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1</v>
      </c>
      <c r="AU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 t="str">
        <v/>
      </c>
    </row>
    <row r="437" spans="38:58" x14ac:dyDescent="0.45"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1</v>
      </c>
      <c r="AU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 t="str">
        <v/>
      </c>
    </row>
    <row r="438" spans="38:58" x14ac:dyDescent="0.45"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1</v>
      </c>
      <c r="AU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 t="str">
        <v/>
      </c>
    </row>
    <row r="439" spans="38:58" x14ac:dyDescent="0.45"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1</v>
      </c>
      <c r="AU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 t="str">
        <v/>
      </c>
    </row>
    <row r="440" spans="38:58" x14ac:dyDescent="0.45"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1</v>
      </c>
      <c r="AU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 t="str">
        <v/>
      </c>
    </row>
    <row r="441" spans="38:58" x14ac:dyDescent="0.45"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1</v>
      </c>
      <c r="AU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 t="str">
        <v/>
      </c>
    </row>
    <row r="442" spans="38:58" x14ac:dyDescent="0.45"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1</v>
      </c>
      <c r="AU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 t="str">
        <v/>
      </c>
    </row>
    <row r="443" spans="38:58" x14ac:dyDescent="0.45"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1</v>
      </c>
      <c r="AU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 t="str">
        <v/>
      </c>
    </row>
    <row r="444" spans="38:58" x14ac:dyDescent="0.45"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1</v>
      </c>
      <c r="AU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 t="str">
        <v/>
      </c>
    </row>
    <row r="445" spans="38:58" x14ac:dyDescent="0.45"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1</v>
      </c>
      <c r="AU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 t="str">
        <v/>
      </c>
    </row>
    <row r="446" spans="38:58" x14ac:dyDescent="0.45"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1</v>
      </c>
      <c r="AU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 t="str">
        <v/>
      </c>
    </row>
    <row r="447" spans="38:58" x14ac:dyDescent="0.45"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1</v>
      </c>
      <c r="AU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 t="str">
        <v/>
      </c>
    </row>
    <row r="448" spans="38:58" x14ac:dyDescent="0.45"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1</v>
      </c>
      <c r="AU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 t="str">
        <v/>
      </c>
    </row>
    <row r="449" spans="38:58" x14ac:dyDescent="0.45"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1</v>
      </c>
      <c r="AU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 t="str">
        <v/>
      </c>
    </row>
    <row r="450" spans="38:58" x14ac:dyDescent="0.45"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1</v>
      </c>
      <c r="AU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 t="str">
        <v/>
      </c>
    </row>
    <row r="451" spans="38:58" x14ac:dyDescent="0.45"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1</v>
      </c>
      <c r="AU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 t="str">
        <v/>
      </c>
    </row>
    <row r="452" spans="38:58" x14ac:dyDescent="0.45"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1</v>
      </c>
      <c r="AU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 t="str">
        <v/>
      </c>
    </row>
    <row r="453" spans="38:58" x14ac:dyDescent="0.45"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1</v>
      </c>
      <c r="AU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 t="str">
        <v/>
      </c>
    </row>
    <row r="454" spans="38:58" x14ac:dyDescent="0.45"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1</v>
      </c>
      <c r="AU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 t="str">
        <v/>
      </c>
    </row>
    <row r="455" spans="38:58" x14ac:dyDescent="0.45"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1</v>
      </c>
      <c r="AU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 t="str">
        <v/>
      </c>
    </row>
    <row r="456" spans="38:58" x14ac:dyDescent="0.45"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1</v>
      </c>
      <c r="AU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 t="str">
        <v/>
      </c>
    </row>
    <row r="457" spans="38:58" x14ac:dyDescent="0.45"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1</v>
      </c>
      <c r="AU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 t="str">
        <v/>
      </c>
    </row>
    <row r="458" spans="38:58" x14ac:dyDescent="0.45"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1</v>
      </c>
      <c r="AU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 t="str">
        <v/>
      </c>
    </row>
    <row r="459" spans="38:58" x14ac:dyDescent="0.45"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1</v>
      </c>
      <c r="AU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 t="str">
        <v/>
      </c>
    </row>
    <row r="460" spans="38:58" x14ac:dyDescent="0.45"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1</v>
      </c>
      <c r="AU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 t="str">
        <v/>
      </c>
    </row>
    <row r="461" spans="38:58" x14ac:dyDescent="0.45"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1</v>
      </c>
      <c r="AU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 t="str">
        <v/>
      </c>
    </row>
    <row r="462" spans="38:58" x14ac:dyDescent="0.45"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1</v>
      </c>
      <c r="AU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 t="str">
        <v/>
      </c>
    </row>
    <row r="463" spans="38:58" x14ac:dyDescent="0.45"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1</v>
      </c>
      <c r="AU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 t="str">
        <v/>
      </c>
    </row>
    <row r="464" spans="38:58" x14ac:dyDescent="0.45"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1</v>
      </c>
      <c r="AU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 t="str">
        <v/>
      </c>
    </row>
    <row r="465" spans="38:58" x14ac:dyDescent="0.45"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1</v>
      </c>
      <c r="AU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 t="str">
        <v/>
      </c>
    </row>
    <row r="466" spans="38:58" x14ac:dyDescent="0.45"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1</v>
      </c>
      <c r="AU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 t="str">
        <v/>
      </c>
    </row>
    <row r="467" spans="38:58" x14ac:dyDescent="0.45"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1</v>
      </c>
      <c r="AU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 t="str">
        <v/>
      </c>
    </row>
    <row r="468" spans="38:58" x14ac:dyDescent="0.45"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1</v>
      </c>
      <c r="AU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 t="str">
        <v/>
      </c>
    </row>
    <row r="469" spans="38:58" x14ac:dyDescent="0.45"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1</v>
      </c>
      <c r="AU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 t="str">
        <v/>
      </c>
    </row>
    <row r="470" spans="38:58" x14ac:dyDescent="0.45"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1</v>
      </c>
      <c r="AU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 t="str">
        <v/>
      </c>
    </row>
    <row r="471" spans="38:58" x14ac:dyDescent="0.45"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1</v>
      </c>
      <c r="AU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 t="str">
        <v/>
      </c>
    </row>
    <row r="472" spans="38:58" x14ac:dyDescent="0.45"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1</v>
      </c>
      <c r="AU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 t="str">
        <v/>
      </c>
    </row>
    <row r="473" spans="38:58" x14ac:dyDescent="0.45"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1</v>
      </c>
      <c r="AU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 t="str">
        <v/>
      </c>
    </row>
    <row r="474" spans="38:58" x14ac:dyDescent="0.45"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1</v>
      </c>
      <c r="AU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 t="str">
        <v/>
      </c>
    </row>
    <row r="475" spans="38:58" x14ac:dyDescent="0.45"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1</v>
      </c>
      <c r="AU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 t="str">
        <v/>
      </c>
    </row>
    <row r="476" spans="38:58" x14ac:dyDescent="0.45"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1</v>
      </c>
      <c r="AU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 t="str">
        <v/>
      </c>
    </row>
    <row r="477" spans="38:58" x14ac:dyDescent="0.45"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1</v>
      </c>
      <c r="AU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 t="str">
        <v/>
      </c>
    </row>
    <row r="478" spans="38:58" x14ac:dyDescent="0.45"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1</v>
      </c>
      <c r="AU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 t="str">
        <v/>
      </c>
    </row>
    <row r="479" spans="38:58" x14ac:dyDescent="0.45"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1</v>
      </c>
      <c r="AU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 t="str">
        <v/>
      </c>
    </row>
    <row r="480" spans="38:58" x14ac:dyDescent="0.45"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1</v>
      </c>
      <c r="AU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 t="str">
        <v/>
      </c>
    </row>
    <row r="481" spans="38:58" x14ac:dyDescent="0.45"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1</v>
      </c>
      <c r="AU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 t="str">
        <v/>
      </c>
    </row>
    <row r="482" spans="38:58" x14ac:dyDescent="0.45"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1</v>
      </c>
      <c r="AU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 t="str">
        <v/>
      </c>
    </row>
    <row r="483" spans="38:58" x14ac:dyDescent="0.45"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1</v>
      </c>
      <c r="AU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 t="str">
        <v/>
      </c>
    </row>
    <row r="484" spans="38:58" x14ac:dyDescent="0.45"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1</v>
      </c>
      <c r="AU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 t="str">
        <v/>
      </c>
    </row>
    <row r="485" spans="38:58" x14ac:dyDescent="0.45"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1</v>
      </c>
      <c r="AU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 t="str">
        <v/>
      </c>
    </row>
    <row r="486" spans="38:58" x14ac:dyDescent="0.45"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1</v>
      </c>
      <c r="AU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 t="str">
        <v/>
      </c>
    </row>
    <row r="487" spans="38:58" x14ac:dyDescent="0.45"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1</v>
      </c>
      <c r="AU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 t="str">
        <v/>
      </c>
    </row>
    <row r="488" spans="38:58" x14ac:dyDescent="0.45"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1</v>
      </c>
      <c r="AU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 t="str">
        <v/>
      </c>
    </row>
    <row r="489" spans="38:58" x14ac:dyDescent="0.45"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1</v>
      </c>
      <c r="AU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 t="str">
        <v/>
      </c>
    </row>
    <row r="490" spans="38:58" x14ac:dyDescent="0.45"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1</v>
      </c>
      <c r="AU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 t="str">
        <v/>
      </c>
    </row>
    <row r="491" spans="38:58" x14ac:dyDescent="0.45"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1</v>
      </c>
      <c r="AU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 t="str">
        <v/>
      </c>
    </row>
    <row r="492" spans="38:58" x14ac:dyDescent="0.45"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1</v>
      </c>
      <c r="AU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 t="str">
        <v/>
      </c>
    </row>
    <row r="493" spans="38:58" x14ac:dyDescent="0.45"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1</v>
      </c>
      <c r="AU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 t="str">
        <v/>
      </c>
    </row>
    <row r="494" spans="38:58" x14ac:dyDescent="0.45"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1</v>
      </c>
      <c r="AU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 t="str">
        <v/>
      </c>
    </row>
    <row r="495" spans="38:58" x14ac:dyDescent="0.45"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1</v>
      </c>
      <c r="AU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 t="str">
        <v/>
      </c>
    </row>
    <row r="496" spans="38:58" x14ac:dyDescent="0.45"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1</v>
      </c>
      <c r="AU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 t="str">
        <v/>
      </c>
    </row>
    <row r="497" spans="38:58" x14ac:dyDescent="0.45"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1</v>
      </c>
      <c r="AU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 t="str">
        <v/>
      </c>
    </row>
    <row r="498" spans="38:58" x14ac:dyDescent="0.45"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1</v>
      </c>
      <c r="AU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 t="str">
        <v/>
      </c>
    </row>
    <row r="499" spans="38:58" x14ac:dyDescent="0.45"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1</v>
      </c>
      <c r="AU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 t="str">
        <v/>
      </c>
    </row>
    <row r="500" spans="38:58" x14ac:dyDescent="0.45"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1</v>
      </c>
      <c r="AU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 t="str">
        <v/>
      </c>
    </row>
    <row r="501" spans="38:58" x14ac:dyDescent="0.45"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1</v>
      </c>
      <c r="AU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 t="str">
        <v/>
      </c>
    </row>
    <row r="502" spans="38:58" x14ac:dyDescent="0.45"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1</v>
      </c>
      <c r="AU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 t="str">
        <v/>
      </c>
    </row>
  </sheetData>
  <mergeCells count="4">
    <mergeCell ref="AL1:AU1"/>
    <mergeCell ref="AW1:BF1"/>
    <mergeCell ref="E1:U1"/>
    <mergeCell ref="BH1:BX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1844F-20B3-4BD8-8E54-0605328E4CA4}">
  <sheetPr codeName="Sheet4"/>
  <dimension ref="A1:T16"/>
  <sheetViews>
    <sheetView showRowColHeaders="0" tabSelected="1" topLeftCell="A3" zoomScale="114" zoomScaleNormal="140" workbookViewId="0">
      <selection activeCell="C7" sqref="C7"/>
    </sheetView>
  </sheetViews>
  <sheetFormatPr defaultRowHeight="15.75" x14ac:dyDescent="0.5"/>
  <cols>
    <col min="1" max="1" width="7.1328125" style="5" customWidth="1"/>
    <col min="2" max="2" width="7.06640625" style="5" hidden="1" customWidth="1"/>
    <col min="3" max="3" width="20.1328125" style="5" customWidth="1"/>
    <col min="4" max="4" width="6.6640625" style="5" customWidth="1"/>
    <col min="5" max="5" width="1.3984375" style="6" customWidth="1"/>
    <col min="6" max="6" width="7.46484375" style="5" bestFit="1" customWidth="1"/>
    <col min="7" max="7" width="7.06640625" style="5" hidden="1" customWidth="1"/>
    <col min="8" max="8" width="20.1328125" style="5" customWidth="1"/>
    <col min="9" max="9" width="6.6640625" style="5" customWidth="1"/>
    <col min="10" max="10" width="1.3984375" style="6" customWidth="1"/>
    <col min="11" max="11" width="7.46484375" style="5" bestFit="1" customWidth="1"/>
    <col min="12" max="12" width="7.06640625" style="5" hidden="1" customWidth="1"/>
    <col min="13" max="13" width="20.1328125" style="5" customWidth="1"/>
    <col min="14" max="14" width="6.6640625" style="5" customWidth="1"/>
    <col min="15" max="15" width="1.3984375" style="6" customWidth="1"/>
    <col min="16" max="16" width="7.46484375" style="5" bestFit="1" customWidth="1"/>
    <col min="17" max="17" width="7.06640625" style="5" hidden="1" customWidth="1"/>
    <col min="18" max="18" width="20.1328125" style="5" customWidth="1"/>
    <col min="19" max="19" width="6.6640625" style="5" customWidth="1"/>
    <col min="20" max="20" width="1.3984375" style="6" customWidth="1"/>
    <col min="21" max="16384" width="9.06640625" style="5"/>
  </cols>
  <sheetData>
    <row r="1" spans="1:20" hidden="1" x14ac:dyDescent="0.5"/>
    <row r="2" spans="1:20" ht="35.25" hidden="1" customHeight="1" x14ac:dyDescent="0.5">
      <c r="A2" s="5">
        <v>1</v>
      </c>
      <c r="F2" s="5">
        <v>2</v>
      </c>
      <c r="K2" s="5">
        <v>3</v>
      </c>
      <c r="P2" s="5">
        <v>4</v>
      </c>
    </row>
    <row r="3" spans="1:20" s="9" customFormat="1" ht="21" customHeight="1" thickBot="1" x14ac:dyDescent="0.55000000000000004">
      <c r="A3" s="7" t="s">
        <v>10</v>
      </c>
      <c r="B3" s="17" t="str" cm="1">
        <f t="array" ref="B3">INDEX(f_lisof_teams_codes,A2)</f>
        <v>A</v>
      </c>
      <c r="C3" s="17"/>
      <c r="D3" s="17"/>
      <c r="E3" s="8"/>
      <c r="F3" s="7" t="s">
        <v>10</v>
      </c>
      <c r="G3" s="17" t="str" cm="1">
        <f t="array" ref="G3">INDEX(f_lisof_teams_codes,F2)</f>
        <v>B</v>
      </c>
      <c r="H3" s="17"/>
      <c r="I3" s="17"/>
      <c r="J3" s="8"/>
      <c r="K3" s="7" t="s">
        <v>10</v>
      </c>
      <c r="L3" s="17" t="str" cm="1">
        <f t="array" ref="L3">INDEX(f_lisof_teams_codes,K2)</f>
        <v>C</v>
      </c>
      <c r="M3" s="17"/>
      <c r="N3" s="17"/>
      <c r="O3" s="8"/>
      <c r="P3" s="7" t="s">
        <v>10</v>
      </c>
      <c r="Q3" s="17" t="str" cm="1">
        <f t="array" ref="Q3">INDEX(f_lisof_teams_codes,P2)</f>
        <v>D</v>
      </c>
      <c r="R3" s="17"/>
      <c r="S3" s="17"/>
      <c r="T3" s="8"/>
    </row>
    <row r="4" spans="1:20" s="11" customFormat="1" ht="22.9" customHeight="1" thickBot="1" x14ac:dyDescent="0.5">
      <c r="A4" s="7" t="s">
        <v>11</v>
      </c>
      <c r="B4" s="17" t="s">
        <v>12</v>
      </c>
      <c r="C4" s="17"/>
      <c r="D4" s="14">
        <f>COUNTA(C7:C1048576)</f>
        <v>9</v>
      </c>
      <c r="E4" s="10"/>
      <c r="F4" s="7" t="s">
        <v>11</v>
      </c>
      <c r="G4" s="17" t="str">
        <f>B4</f>
        <v>SUB JUNIOR</v>
      </c>
      <c r="H4" s="17"/>
      <c r="I4" s="14">
        <f>COUNTA(H7:H1048576)</f>
        <v>9</v>
      </c>
      <c r="J4" s="10"/>
      <c r="K4" s="7" t="s">
        <v>11</v>
      </c>
      <c r="L4" s="17" t="str">
        <f>B4</f>
        <v>SUB JUNIOR</v>
      </c>
      <c r="M4" s="17"/>
      <c r="N4" s="14">
        <f>COUNTA(M7:M1048576)</f>
        <v>9</v>
      </c>
      <c r="O4" s="10"/>
      <c r="P4" s="7" t="s">
        <v>11</v>
      </c>
      <c r="Q4" s="17" t="str">
        <f>B4</f>
        <v>SUB JUNIOR</v>
      </c>
      <c r="R4" s="17"/>
      <c r="S4" s="14">
        <f>COUNTA(R7:R1048576)</f>
        <v>10</v>
      </c>
      <c r="T4" s="10"/>
    </row>
    <row r="5" spans="1:20" x14ac:dyDescent="0.5">
      <c r="A5" s="5" t="s">
        <v>9</v>
      </c>
      <c r="C5" s="18">
        <v>1</v>
      </c>
      <c r="F5" s="5" t="s">
        <v>9</v>
      </c>
      <c r="H5" s="18">
        <f>C5</f>
        <v>1</v>
      </c>
      <c r="K5" s="5" t="s">
        <v>9</v>
      </c>
      <c r="M5" s="18">
        <f>C5</f>
        <v>1</v>
      </c>
      <c r="P5" s="5" t="s">
        <v>9</v>
      </c>
      <c r="R5" s="18">
        <f>C5</f>
        <v>1</v>
      </c>
    </row>
    <row r="6" spans="1:20" s="13" customFormat="1" x14ac:dyDescent="0.5">
      <c r="A6" s="12" t="s">
        <v>6</v>
      </c>
      <c r="B6" s="12" t="s">
        <v>7</v>
      </c>
      <c r="C6" s="12" t="s">
        <v>8</v>
      </c>
      <c r="D6" s="12" t="s">
        <v>9</v>
      </c>
      <c r="E6" s="6"/>
      <c r="F6" s="12" t="s">
        <v>6</v>
      </c>
      <c r="G6" s="12" t="s">
        <v>7</v>
      </c>
      <c r="H6" s="12" t="s">
        <v>8</v>
      </c>
      <c r="I6" s="12" t="s">
        <v>9</v>
      </c>
      <c r="J6" s="6"/>
      <c r="K6" s="12" t="s">
        <v>6</v>
      </c>
      <c r="L6" s="12" t="s">
        <v>7</v>
      </c>
      <c r="M6" s="12" t="s">
        <v>8</v>
      </c>
      <c r="N6" s="12" t="s">
        <v>9</v>
      </c>
      <c r="O6" s="6"/>
      <c r="P6" s="12" t="s">
        <v>6</v>
      </c>
      <c r="Q6" s="12" t="s">
        <v>7</v>
      </c>
      <c r="R6" s="12" t="s">
        <v>8</v>
      </c>
      <c r="S6" s="12" t="s">
        <v>9</v>
      </c>
      <c r="T6" s="6"/>
    </row>
    <row r="7" spans="1:20" x14ac:dyDescent="0.5">
      <c r="A7" s="5" cm="1">
        <f t="array" ref="A7:A15">_xlfn.SEQUENCE(COUNTA(C7:C1048576))</f>
        <v>1</v>
      </c>
      <c r="B7" s="5" t="str" cm="1">
        <f t="array" ref="B7:B15">_xlfn._xlws.FILTER(f_listof_chest_nos,(f_listof_candidate_teams=INDEX(f_lisof_teams_codes,A2))*(f_listof_candidate_sections=B4)*(f_listof_candidate_classes=C5),"")</f>
        <v>A100</v>
      </c>
      <c r="C7" s="5" t="str" cm="1">
        <f t="array" ref="C7:C15">_xlfn._xlws.FILTER(f_listof_candidate_names,(f_listof_candidate_teams=INDEX(f_lisof_teams_codes,A2))*(f_listof_candidate_sections=B4)*(f_listof_candidate_classes=C5),"")</f>
        <v>ADINAN ABOOBACKER K</v>
      </c>
      <c r="D7" s="5" cm="1">
        <f t="array" ref="D7:D15">_xlfn._xlws.FILTER(f_listof_candidate_classes,(f_listof_candidate_teams=INDEX(f_lisof_teams_codes,A2))*(f_listof_candidate_sections=B4)*(f_listof_candidate_classes=C5),"")</f>
        <v>1</v>
      </c>
      <c r="F7" s="5" cm="1">
        <f t="array" ref="F7:F15">_xlfn.SEQUENCE(COUNTA(H7:H1048576))</f>
        <v>1</v>
      </c>
      <c r="G7" s="5" t="str" cm="1">
        <f t="array" ref="G7:G15">_xlfn._xlws.FILTER(f_listof_chest_nos,(f_listof_candidate_teams=INDEX(f_lisof_teams_codes,F2))*(f_listof_candidate_sections=G4)*(f_listof_candidate_classes=C5),"")</f>
        <v>A112</v>
      </c>
      <c r="H7" s="5" t="str" cm="1">
        <f t="array" ref="H7:H15">_xlfn._xlws.FILTER(f_listof_candidate_names,(f_listof_candidate_teams=INDEX(f_lisof_teams_codes,F2))*(f_listof_candidate_sections=G4)*(f_listof_candidate_classes=C5),"")</f>
        <v>HILAL ABDULLA C H</v>
      </c>
      <c r="I7" s="5" cm="1">
        <f t="array" ref="I7:I15">_xlfn._xlws.FILTER(f_listof_candidate_classes,(f_listof_candidate_teams=INDEX(f_lisof_teams_codes,F2))*(f_listof_candidate_sections=G4)*(f_listof_candidate_classes=C5),"")</f>
        <v>1</v>
      </c>
      <c r="K7" s="5" cm="1">
        <f t="array" ref="K7:K15">_xlfn.SEQUENCE(COUNTA(M7:M1048576))</f>
        <v>1</v>
      </c>
      <c r="L7" s="5" t="str" cm="1">
        <f t="array" ref="L7:L15">_xlfn._xlws.FILTER(f_listof_chest_nos,(f_listof_candidate_teams=INDEX(f_lisof_teams_codes,K2))*(f_listof_candidate_sections=L4)*(f_listof_candidate_classes=C5),"")</f>
        <v>A104</v>
      </c>
      <c r="M7" s="5" t="str" cm="1">
        <f t="array" ref="M7:M15">_xlfn._xlws.FILTER(f_listof_candidate_names,(f_listof_candidate_teams=INDEX(f_lisof_teams_codes,K2))*(f_listof_candidate_sections=L4)*(f_listof_candidate_classes=C5),"")</f>
        <v>MUHAMMAD AZEEM</v>
      </c>
      <c r="N7" s="5" cm="1">
        <f t="array" ref="N7:N15">_xlfn._xlws.FILTER(f_listof_candidate_classes,(f_listof_candidate_teams=INDEX(f_lisof_teams_codes,K2))*(f_listof_candidate_sections=L4)*(f_listof_candidate_classes=C5),"")</f>
        <v>1</v>
      </c>
      <c r="P7" s="5" cm="1">
        <f t="array" ref="P7:P16">_xlfn.SEQUENCE(COUNTA(R7:R1048576))</f>
        <v>1</v>
      </c>
      <c r="Q7" s="5" t="str" cm="1">
        <f t="array" ref="Q7:Q16">_xlfn._xlws.FILTER(f_listof_chest_nos,(f_listof_candidate_teams=INDEX(f_lisof_teams_codes,P2))*(f_listof_candidate_sections=Q4)*(f_listof_candidate_classes=C5),"")</f>
        <v>A101</v>
      </c>
      <c r="R7" s="5" t="str" cm="1">
        <f t="array" ref="R7:R16">_xlfn._xlws.FILTER(f_listof_candidate_names,(f_listof_candidate_teams=INDEX(f_lisof_teams_codes,P2))*(f_listof_candidate_sections=Q4)*(f_listof_candidate_classes=C5),"")</f>
        <v>MUHAMMED TAMEEM</v>
      </c>
      <c r="S7" s="5" cm="1">
        <f t="array" ref="S7:S16">_xlfn._xlws.FILTER(f_listof_candidate_classes,(f_listof_candidate_teams=INDEX(f_lisof_teams_codes,P2))*(f_listof_candidate_sections=Q4)*(f_listof_candidate_classes=C5),"")</f>
        <v>1</v>
      </c>
    </row>
    <row r="8" spans="1:20" x14ac:dyDescent="0.5">
      <c r="A8" s="5">
        <v>2</v>
      </c>
      <c r="B8" s="5" t="str">
        <v>A105</v>
      </c>
      <c r="C8" s="5" t="str">
        <v>MUHAMMED HAFIZ S T</v>
      </c>
      <c r="D8" s="5">
        <v>1</v>
      </c>
      <c r="F8" s="5">
        <v>2</v>
      </c>
      <c r="G8" s="5" t="str">
        <v>A113</v>
      </c>
      <c r="H8" s="5" t="str">
        <v>MOIDEEN KAIS</v>
      </c>
      <c r="I8" s="5">
        <v>1</v>
      </c>
      <c r="K8" s="5">
        <v>2</v>
      </c>
      <c r="L8" s="5" t="str">
        <v>A106</v>
      </c>
      <c r="M8" s="5" t="str">
        <v>Abdul Khader Uvais K A</v>
      </c>
      <c r="N8" s="5">
        <v>1</v>
      </c>
      <c r="P8" s="5">
        <v>2</v>
      </c>
      <c r="Q8" s="5" t="str">
        <v>A102</v>
      </c>
      <c r="R8" s="5" t="str">
        <v>AJZAL ASHRAF OV</v>
      </c>
      <c r="S8" s="5">
        <v>1</v>
      </c>
    </row>
    <row r="9" spans="1:20" x14ac:dyDescent="0.5">
      <c r="A9" s="5">
        <v>3</v>
      </c>
      <c r="B9" s="5" t="str">
        <v>A107</v>
      </c>
      <c r="C9" s="5" t="str">
        <v>MUHAMMED ADHIL C H</v>
      </c>
      <c r="D9" s="5">
        <v>1</v>
      </c>
      <c r="F9" s="5">
        <v>3</v>
      </c>
      <c r="G9" s="5" t="str">
        <v>A115</v>
      </c>
      <c r="H9" s="5" t="str">
        <v>K MUHAMMAD JALAL</v>
      </c>
      <c r="I9" s="5">
        <v>1</v>
      </c>
      <c r="K9" s="5">
        <v>3</v>
      </c>
      <c r="L9" s="5" t="str">
        <v>A108</v>
      </c>
      <c r="M9" s="5" t="str">
        <v>Mohammed Sinan N.A</v>
      </c>
      <c r="N9" s="5">
        <v>1</v>
      </c>
      <c r="P9" s="5">
        <v>3</v>
      </c>
      <c r="Q9" s="5" t="str">
        <v>A103</v>
      </c>
      <c r="R9" s="5" t="str">
        <v>MUHAMMED RIZIN AMAN</v>
      </c>
      <c r="S9" s="5">
        <v>1</v>
      </c>
    </row>
    <row r="10" spans="1:20" x14ac:dyDescent="0.5">
      <c r="A10" s="5">
        <v>4</v>
      </c>
      <c r="B10" s="5" t="str">
        <v>A110</v>
      </c>
      <c r="C10" s="5" t="str">
        <v>Muhammed Hisham K M</v>
      </c>
      <c r="D10" s="5">
        <v>1</v>
      </c>
      <c r="F10" s="5">
        <v>4</v>
      </c>
      <c r="G10" s="5" t="str">
        <v>A120</v>
      </c>
      <c r="H10" s="5" t="str">
        <v>MOHAMMED NAFIH</v>
      </c>
      <c r="I10" s="5">
        <v>1</v>
      </c>
      <c r="K10" s="5">
        <v>4</v>
      </c>
      <c r="L10" s="5" t="str">
        <v>A109</v>
      </c>
      <c r="M10" s="5" t="str">
        <v>AHMED RAZI MR</v>
      </c>
      <c r="N10" s="5">
        <v>1</v>
      </c>
      <c r="P10" s="5">
        <v>4</v>
      </c>
      <c r="Q10" s="5" t="str">
        <v>A117</v>
      </c>
      <c r="R10" s="5" t="str">
        <v>Muhammed Waheed R K</v>
      </c>
      <c r="S10" s="5">
        <v>1</v>
      </c>
    </row>
    <row r="11" spans="1:20" x14ac:dyDescent="0.5">
      <c r="A11" s="5">
        <v>5</v>
      </c>
      <c r="B11" s="5" t="str">
        <v>A111</v>
      </c>
      <c r="C11" s="5" t="str">
        <v>HUSSAIN MUHAVIZ B A</v>
      </c>
      <c r="D11" s="5">
        <v>1</v>
      </c>
      <c r="F11" s="5">
        <v>5</v>
      </c>
      <c r="G11" s="5" t="str">
        <v>A125</v>
      </c>
      <c r="H11" s="5" t="str">
        <v>MUHAMMED RAZI A T</v>
      </c>
      <c r="I11" s="5">
        <v>1</v>
      </c>
      <c r="K11" s="5">
        <v>5</v>
      </c>
      <c r="L11" s="5" t="str">
        <v>A114</v>
      </c>
      <c r="M11" s="5" t="str">
        <v>MUHAMMED SHAHID K A</v>
      </c>
      <c r="N11" s="5">
        <v>1</v>
      </c>
      <c r="P11" s="5">
        <v>5</v>
      </c>
      <c r="Q11" s="5" t="str">
        <v>A119</v>
      </c>
      <c r="R11" s="5" t="str">
        <v>MUHAMMED HASHIR A K</v>
      </c>
      <c r="S11" s="5">
        <v>1</v>
      </c>
    </row>
    <row r="12" spans="1:20" x14ac:dyDescent="0.5">
      <c r="A12" s="5">
        <v>6</v>
      </c>
      <c r="B12" s="5" t="str">
        <v>A122</v>
      </c>
      <c r="C12" s="5" t="str">
        <v>MOHAMMAD K A</v>
      </c>
      <c r="D12" s="5">
        <v>1</v>
      </c>
      <c r="F12" s="5">
        <v>6</v>
      </c>
      <c r="G12" s="5" t="str">
        <v>A128</v>
      </c>
      <c r="H12" s="5" t="str">
        <v>MOHAMMED HAFEEZ B</v>
      </c>
      <c r="I12" s="5">
        <v>1</v>
      </c>
      <c r="K12" s="5">
        <v>6</v>
      </c>
      <c r="L12" s="5" t="str">
        <v>A124</v>
      </c>
      <c r="M12" s="5" t="str">
        <v>MOHAMMED JASEEM</v>
      </c>
      <c r="N12" s="5">
        <v>1</v>
      </c>
      <c r="P12" s="5">
        <v>6</v>
      </c>
      <c r="Q12" s="5" t="str">
        <v>A121</v>
      </c>
      <c r="R12" s="5" t="str">
        <v>BEERAN MUEENUDHEEN MH</v>
      </c>
      <c r="S12" s="5">
        <v>1</v>
      </c>
    </row>
    <row r="13" spans="1:20" x14ac:dyDescent="0.5">
      <c r="A13" s="5">
        <v>7</v>
      </c>
      <c r="B13" s="5" t="str">
        <v>A129</v>
      </c>
      <c r="C13" s="5" t="str">
        <v>MUHAMMED BIN JAFAR</v>
      </c>
      <c r="D13" s="5">
        <v>1</v>
      </c>
      <c r="F13" s="5">
        <v>7</v>
      </c>
      <c r="G13" s="5" t="str">
        <v>A131</v>
      </c>
      <c r="H13" s="5" t="str">
        <v>FAZIL ABDULLA</v>
      </c>
      <c r="I13" s="5">
        <v>1</v>
      </c>
      <c r="K13" s="5">
        <v>7</v>
      </c>
      <c r="L13" s="5" t="str">
        <v>A127</v>
      </c>
      <c r="M13" s="5" t="str">
        <v>MUHAMMED HAFEEZ P</v>
      </c>
      <c r="N13" s="5">
        <v>1</v>
      </c>
      <c r="P13" s="5">
        <v>7</v>
      </c>
      <c r="Q13" s="5" t="str">
        <v>A123</v>
      </c>
      <c r="R13" s="5" t="str">
        <v>IBRAHIM KALEEL</v>
      </c>
      <c r="S13" s="5">
        <v>1</v>
      </c>
    </row>
    <row r="14" spans="1:20" x14ac:dyDescent="0.5">
      <c r="A14" s="5">
        <v>8</v>
      </c>
      <c r="B14" s="5" t="str">
        <v>A132</v>
      </c>
      <c r="C14" s="5" t="str">
        <v>MUHAMMED SHIRAZ ISHAQUE</v>
      </c>
      <c r="D14" s="5">
        <v>1</v>
      </c>
      <c r="F14" s="5">
        <v>8</v>
      </c>
      <c r="G14" s="5" t="str">
        <v>A134</v>
      </c>
      <c r="H14" s="5" t="str">
        <v>YASEEN MUHAMMED</v>
      </c>
      <c r="I14" s="5">
        <v>1</v>
      </c>
      <c r="K14" s="5">
        <v>8</v>
      </c>
      <c r="L14" s="5" t="str">
        <v>A135</v>
      </c>
      <c r="M14" s="5" t="str">
        <v>MOHAMMED RAFAN A</v>
      </c>
      <c r="N14" s="5">
        <v>1</v>
      </c>
      <c r="P14" s="5">
        <v>8</v>
      </c>
      <c r="Q14" s="5" t="str">
        <v>A126</v>
      </c>
      <c r="R14" s="5" t="str">
        <v>MUHAMMED ZAID</v>
      </c>
      <c r="S14" s="5">
        <v>1</v>
      </c>
    </row>
    <row r="15" spans="1:20" x14ac:dyDescent="0.5">
      <c r="A15" s="5">
        <v>9</v>
      </c>
      <c r="B15" s="5" t="str">
        <v>A139</v>
      </c>
      <c r="C15" s="5" t="str">
        <v>MUHAMMED MOIDEEN KUNHI</v>
      </c>
      <c r="D15" s="5">
        <v>1</v>
      </c>
      <c r="F15" s="5">
        <v>9</v>
      </c>
      <c r="G15" s="5" t="str">
        <v>A137</v>
      </c>
      <c r="H15" s="5" t="str">
        <v>MOHAMMED SHUAIB K M</v>
      </c>
      <c r="I15" s="5">
        <v>1</v>
      </c>
      <c r="K15" s="5">
        <v>9</v>
      </c>
      <c r="L15" s="5" t="str">
        <v>A136</v>
      </c>
      <c r="M15" s="5" t="str">
        <v>MUHAMMED UVAIS.P. S</v>
      </c>
      <c r="N15" s="5">
        <v>1</v>
      </c>
      <c r="P15" s="5">
        <v>9</v>
      </c>
      <c r="Q15" s="5" t="str">
        <v>A130</v>
      </c>
      <c r="R15" s="5" t="str">
        <v>MOHAMMAD AJWAD</v>
      </c>
      <c r="S15" s="5">
        <v>1</v>
      </c>
    </row>
    <row r="16" spans="1:20" x14ac:dyDescent="0.5">
      <c r="P16" s="5">
        <v>10</v>
      </c>
      <c r="Q16" s="5" t="str">
        <v>A133</v>
      </c>
      <c r="R16" s="5" t="str">
        <v>JAUHAR ASHFAQUE MUHSIN</v>
      </c>
      <c r="S16" s="5">
        <v>1</v>
      </c>
    </row>
  </sheetData>
  <mergeCells count="8">
    <mergeCell ref="B3:D3"/>
    <mergeCell ref="B4:C4"/>
    <mergeCell ref="Q3:S3"/>
    <mergeCell ref="G3:I3"/>
    <mergeCell ref="L3:N3"/>
    <mergeCell ref="Q4:R4"/>
    <mergeCell ref="L4:M4"/>
    <mergeCell ref="G4:H4"/>
  </mergeCells>
  <dataValidations count="1">
    <dataValidation type="list" allowBlank="1" showInputMessage="1" showErrorMessage="1" sqref="C5" xr:uid="{B0F82EAF-11A5-46AA-94B7-0F82F65D6921}">
      <formula1>"1,2,3,4,5,6,7,8,9,10"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4FDA8-8165-43DD-9C8C-96A76E402CA0}">
          <x14:formula1>
            <xm:f>fetcher!$C$3:$C$8</xm:f>
          </x14:formula1>
          <xm:sqref>G4 B4 L4 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BC4D7-DED7-4B98-BB8D-919F670FAC11}">
  <sheetPr codeName="Sheet6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fetcher</vt:lpstr>
      <vt:lpstr>LIVE PREVIEW (4t)</vt:lpstr>
      <vt:lpstr>Sheet1</vt:lpstr>
      <vt:lpstr>Chart2</vt:lpstr>
      <vt:lpstr>Chart1</vt:lpstr>
      <vt:lpstr>f_detailsof_candi_chests_and_names</vt:lpstr>
      <vt:lpstr>f_detailsof_candidates</vt:lpstr>
      <vt:lpstr>f_detailsof_programs</vt:lpstr>
      <vt:lpstr>f_detailsof_teams</vt:lpstr>
      <vt:lpstr>f_lisof_teams_codes</vt:lpstr>
      <vt:lpstr>f_listof_candidate_classes</vt:lpstr>
      <vt:lpstr>f_listof_candidate_names</vt:lpstr>
      <vt:lpstr>f_listof_candidate_program_code</vt:lpstr>
      <vt:lpstr>f_listof_candidate_sections</vt:lpstr>
      <vt:lpstr>f_listof_candidate_teams</vt:lpstr>
      <vt:lpstr>f_listof_chest_nos</vt:lpstr>
      <vt:lpstr>f_listof_program_candi_count</vt:lpstr>
      <vt:lpstr>f_listof_program_candidate_number_in_team</vt:lpstr>
      <vt:lpstr>f_listof_program_candidate_teams</vt:lpstr>
      <vt:lpstr>f_listof_program_candidates</vt:lpstr>
      <vt:lpstr>f_listof_program_codes</vt:lpstr>
      <vt:lpstr>f_listof_program_names</vt:lpstr>
      <vt:lpstr>f_listof_program_sections</vt:lpstr>
      <vt:lpstr>f_listof_program_single_or_group</vt:lpstr>
      <vt:lpstr>f_listof_sections</vt:lpstr>
      <vt:lpstr>f_listof_stage_or_non_stg</vt:lpstr>
      <vt:lpstr>f_listof_teams_names</vt:lpstr>
      <vt:lpstr>f_str_festname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Muhammed Ashraf</dc:creator>
  <cp:keywords/>
  <dc:description/>
  <cp:lastModifiedBy>Muhammed Ashraf</cp:lastModifiedBy>
  <cp:revision/>
  <cp:lastPrinted>2023-09-11T17:59:24Z</cp:lastPrinted>
  <dcterms:created xsi:type="dcterms:W3CDTF">2023-08-02T16:19:22Z</dcterms:created>
  <dcterms:modified xsi:type="dcterms:W3CDTF">2023-09-21T16:40:52Z</dcterms:modified>
  <cp:category/>
  <cp:contentStatus/>
</cp:coreProperties>
</file>