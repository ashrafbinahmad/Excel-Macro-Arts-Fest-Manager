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2bead5a87975f/Documents/MDIA FEST 2023/"/>
    </mc:Choice>
  </mc:AlternateContent>
  <xr:revisionPtr revIDLastSave="934" documentId="8_{20E36185-9CEF-4F40-8C17-26D946F164FF}" xr6:coauthVersionLast="47" xr6:coauthVersionMax="47" xr10:uidLastSave="{3E4313D1-4DA0-4EA2-B206-5FAF9BA38A77}"/>
  <bookViews>
    <workbookView xWindow="-98" yWindow="-98" windowWidth="24196" windowHeight="14476" tabRatio="543" firstSheet="3" activeTab="8" xr2:uid="{CEFB558D-11A8-47E1-AC40-2B888A289FB4}"/>
  </bookViews>
  <sheets>
    <sheet name="fetcher" sheetId="4" r:id="rId1"/>
    <sheet name="ARTS GENIUS" sheetId="1" r:id="rId2"/>
    <sheet name="CLASS BASED" sheetId="9" r:id="rId3"/>
    <sheet name="SPORTS GENIUS" sheetId="2" r:id="rId4"/>
    <sheet name="Gift committee" sheetId="5" r:id="rId5"/>
    <sheet name="ARTS" sheetId="6" r:id="rId6"/>
    <sheet name="SPORTS" sheetId="7" r:id="rId7"/>
    <sheet name="BEST" sheetId="8" r:id="rId8"/>
    <sheet name="Single Program Count" sheetId="10" r:id="rId9"/>
    <sheet name="Sheet2" sheetId="11" r:id="rId10"/>
  </sheets>
  <externalReferences>
    <externalReference r:id="rId11"/>
    <externalReference r:id="rId12"/>
  </externalReferences>
  <definedNames>
    <definedName name="f_details_of_candidates">fetcher!$B$5:$L$504</definedName>
    <definedName name="f_details_of_sports_candidates">fetcher!$N$5:$X$504</definedName>
    <definedName name="listof_chest_nos">[1]CANDIDATES!$C$7:$C$327</definedName>
    <definedName name="listof_sections">[1]BASIC!$E$7:$E$16</definedName>
    <definedName name="listof_teamcodes">[1]TEAMS!$C$7:$C$10</definedName>
    <definedName name="_xlnm.Print_Area" localSheetId="4">'Gift committee'!$F$2:$M$325</definedName>
  </definedNames>
  <calcPr calcId="191029"/>
  <pivotCaches>
    <pivotCache cacheId="3" r:id="rId13"/>
    <pivotCache cacheId="4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1" l="1" a="1"/>
  <c r="A2" i="11" s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5" i="1"/>
  <c r="B3" i="7" l="1" a="1"/>
  <c r="B3" i="7" s="1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5" i="2"/>
  <c r="B3" i="6" a="1"/>
  <c r="B3" i="6" s="1"/>
  <c r="D9" i="5"/>
  <c r="D6" i="5"/>
  <c r="D7" i="5"/>
  <c r="D8" i="5"/>
  <c r="D10" i="5"/>
  <c r="D11" i="5"/>
  <c r="D12" i="5"/>
  <c r="D13" i="5"/>
  <c r="D14" i="5"/>
  <c r="D15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5" i="5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K5" i="2" a="1"/>
  <c r="K5" i="2" s="1"/>
  <c r="E5" i="2"/>
  <c r="B5" i="2" a="1"/>
  <c r="B5" i="2" s="1"/>
  <c r="K5" i="1" a="1"/>
  <c r="K5" i="1" s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5" i="1"/>
  <c r="B5" i="1" a="1"/>
  <c r="B5" i="1" s="1"/>
  <c r="N5" i="4" a="1"/>
  <c r="N5" i="4" s="1"/>
  <c r="S315" i="2" l="1"/>
  <c r="S251" i="2"/>
  <c r="S187" i="2"/>
  <c r="S123" i="2"/>
  <c r="S59" i="2"/>
  <c r="S307" i="2"/>
  <c r="S243" i="2"/>
  <c r="S179" i="2"/>
  <c r="S115" i="2"/>
  <c r="S51" i="2"/>
  <c r="S299" i="2"/>
  <c r="S235" i="2"/>
  <c r="S171" i="2"/>
  <c r="S107" i="2"/>
  <c r="S43" i="2"/>
  <c r="S291" i="2"/>
  <c r="S227" i="2"/>
  <c r="S163" i="2"/>
  <c r="S99" i="2"/>
  <c r="S35" i="2"/>
  <c r="S283" i="2"/>
  <c r="S219" i="2"/>
  <c r="S155" i="2"/>
  <c r="S91" i="2"/>
  <c r="S27" i="2"/>
  <c r="S275" i="2"/>
  <c r="S211" i="2"/>
  <c r="S147" i="2"/>
  <c r="S83" i="2"/>
  <c r="S19" i="2"/>
  <c r="S267" i="2"/>
  <c r="S203" i="2"/>
  <c r="S139" i="2"/>
  <c r="S75" i="2"/>
  <c r="S11" i="2"/>
  <c r="S323" i="2"/>
  <c r="S259" i="2"/>
  <c r="S195" i="2"/>
  <c r="S131" i="2"/>
  <c r="S67" i="2"/>
  <c r="S322" i="2"/>
  <c r="S314" i="2"/>
  <c r="S306" i="2"/>
  <c r="S298" i="2"/>
  <c r="S290" i="2"/>
  <c r="S282" i="2"/>
  <c r="S274" i="2"/>
  <c r="S266" i="2"/>
  <c r="S258" i="2"/>
  <c r="S250" i="2"/>
  <c r="S242" i="2"/>
  <c r="S234" i="2"/>
  <c r="S226" i="2"/>
  <c r="S218" i="2"/>
  <c r="S210" i="2"/>
  <c r="S202" i="2"/>
  <c r="S194" i="2"/>
  <c r="S186" i="2"/>
  <c r="S178" i="2"/>
  <c r="S170" i="2"/>
  <c r="S162" i="2"/>
  <c r="S154" i="2"/>
  <c r="S146" i="2"/>
  <c r="S138" i="2"/>
  <c r="S130" i="2"/>
  <c r="S122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321" i="2"/>
  <c r="S313" i="2"/>
  <c r="S305" i="2"/>
  <c r="S297" i="2"/>
  <c r="S289" i="2"/>
  <c r="S281" i="2"/>
  <c r="S273" i="2"/>
  <c r="S265" i="2"/>
  <c r="S257" i="2"/>
  <c r="S249" i="2"/>
  <c r="S241" i="2"/>
  <c r="S233" i="2"/>
  <c r="S225" i="2"/>
  <c r="S217" i="2"/>
  <c r="S209" i="2"/>
  <c r="S201" i="2"/>
  <c r="S193" i="2"/>
  <c r="S185" i="2"/>
  <c r="S177" i="2"/>
  <c r="S169" i="2"/>
  <c r="S161" i="2"/>
  <c r="S153" i="2"/>
  <c r="S145" i="2"/>
  <c r="S137" i="2"/>
  <c r="S129" i="2"/>
  <c r="S121" i="2"/>
  <c r="S113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320" i="2"/>
  <c r="S312" i="2"/>
  <c r="S304" i="2"/>
  <c r="S296" i="2"/>
  <c r="S288" i="2"/>
  <c r="S280" i="2"/>
  <c r="S272" i="2"/>
  <c r="S264" i="2"/>
  <c r="S256" i="2"/>
  <c r="S248" i="2"/>
  <c r="S240" i="2"/>
  <c r="S232" i="2"/>
  <c r="S224" i="2"/>
  <c r="S216" i="2"/>
  <c r="S208" i="2"/>
  <c r="S200" i="2"/>
  <c r="S192" i="2"/>
  <c r="S184" i="2"/>
  <c r="S176" i="2"/>
  <c r="S168" i="2"/>
  <c r="S160" i="2"/>
  <c r="S152" i="2"/>
  <c r="S144" i="2"/>
  <c r="S136" i="2"/>
  <c r="S128" i="2"/>
  <c r="S120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5" i="2"/>
  <c r="S319" i="2"/>
  <c r="S311" i="2"/>
  <c r="S303" i="2"/>
  <c r="S295" i="2"/>
  <c r="S287" i="2"/>
  <c r="S279" i="2"/>
  <c r="S271" i="2"/>
  <c r="S263" i="2"/>
  <c r="S255" i="2"/>
  <c r="S247" i="2"/>
  <c r="S239" i="2"/>
  <c r="S231" i="2"/>
  <c r="S223" i="2"/>
  <c r="S215" i="2"/>
  <c r="S207" i="2"/>
  <c r="S199" i="2"/>
  <c r="S191" i="2"/>
  <c r="S183" i="2"/>
  <c r="S175" i="2"/>
  <c r="S167" i="2"/>
  <c r="S159" i="2"/>
  <c r="S151" i="2"/>
  <c r="S143" i="2"/>
  <c r="S135" i="2"/>
  <c r="S127" i="2"/>
  <c r="S119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6" i="2"/>
  <c r="S326" i="2"/>
  <c r="S318" i="2"/>
  <c r="S310" i="2"/>
  <c r="S302" i="2"/>
  <c r="S294" i="2"/>
  <c r="S286" i="2"/>
  <c r="S278" i="2"/>
  <c r="S270" i="2"/>
  <c r="S262" i="2"/>
  <c r="S254" i="2"/>
  <c r="S246" i="2"/>
  <c r="S238" i="2"/>
  <c r="S230" i="2"/>
  <c r="S222" i="2"/>
  <c r="S214" i="2"/>
  <c r="S206" i="2"/>
  <c r="S198" i="2"/>
  <c r="S190" i="2"/>
  <c r="S182" i="2"/>
  <c r="S174" i="2"/>
  <c r="S166" i="2"/>
  <c r="S158" i="2"/>
  <c r="S150" i="2"/>
  <c r="S142" i="2"/>
  <c r="S134" i="2"/>
  <c r="S126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7" i="2"/>
  <c r="S325" i="2"/>
  <c r="S317" i="2"/>
  <c r="S309" i="2"/>
  <c r="S301" i="2"/>
  <c r="S293" i="2"/>
  <c r="S285" i="2"/>
  <c r="S277" i="2"/>
  <c r="S269" i="2"/>
  <c r="S261" i="2"/>
  <c r="S253" i="2"/>
  <c r="S245" i="2"/>
  <c r="S237" i="2"/>
  <c r="S229" i="2"/>
  <c r="S221" i="2"/>
  <c r="S213" i="2"/>
  <c r="S205" i="2"/>
  <c r="S197" i="2"/>
  <c r="S189" i="2"/>
  <c r="S181" i="2"/>
  <c r="S173" i="2"/>
  <c r="S165" i="2"/>
  <c r="S157" i="2"/>
  <c r="S149" i="2"/>
  <c r="S141" i="2"/>
  <c r="S133" i="2"/>
  <c r="S125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324" i="2"/>
  <c r="S316" i="2"/>
  <c r="S308" i="2"/>
  <c r="S300" i="2"/>
  <c r="S292" i="2"/>
  <c r="S284" i="2"/>
  <c r="S276" i="2"/>
  <c r="S268" i="2"/>
  <c r="S260" i="2"/>
  <c r="S252" i="2"/>
  <c r="S244" i="2"/>
  <c r="S236" i="2"/>
  <c r="S228" i="2"/>
  <c r="S220" i="2"/>
  <c r="S212" i="2"/>
  <c r="S204" i="2"/>
  <c r="S196" i="2"/>
  <c r="S188" i="2"/>
  <c r="S180" i="2"/>
  <c r="S172" i="2"/>
  <c r="S164" i="2"/>
  <c r="S156" i="2"/>
  <c r="S148" i="2"/>
  <c r="S140" i="2"/>
  <c r="S132" i="2"/>
  <c r="S124" i="2"/>
  <c r="S116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D16" i="5"/>
  <c r="F5" i="5" l="1" a="1"/>
  <c r="F5" i="5" s="1"/>
  <c r="C4" i="5" l="1"/>
  <c r="B5" i="4" l="1" a="1"/>
  <c r="B5" i="4" s="1"/>
  <c r="L41" i="1" l="1"/>
  <c r="L49" i="1"/>
  <c r="L57" i="1"/>
  <c r="L65" i="1"/>
  <c r="L73" i="1"/>
  <c r="L81" i="1"/>
  <c r="L89" i="1"/>
  <c r="L97" i="1"/>
  <c r="L105" i="1"/>
  <c r="L113" i="1"/>
  <c r="L121" i="1"/>
  <c r="L129" i="1"/>
  <c r="L137" i="1"/>
  <c r="L145" i="1"/>
  <c r="L153" i="1"/>
  <c r="L161" i="1"/>
  <c r="L169" i="1"/>
  <c r="L177" i="1"/>
  <c r="L185" i="1"/>
  <c r="L193" i="1"/>
  <c r="L201" i="1"/>
  <c r="L209" i="1"/>
  <c r="L217" i="1"/>
  <c r="L225" i="1"/>
  <c r="L233" i="1"/>
  <c r="L241" i="1"/>
  <c r="L249" i="1"/>
  <c r="L257" i="1"/>
  <c r="L265" i="1"/>
  <c r="L273" i="1"/>
  <c r="L281" i="1"/>
  <c r="L289" i="1"/>
  <c r="L297" i="1"/>
  <c r="L305" i="1"/>
  <c r="L313" i="1"/>
  <c r="L321" i="1"/>
  <c r="M37" i="1"/>
  <c r="M45" i="1"/>
  <c r="M53" i="1"/>
  <c r="M61" i="1"/>
  <c r="M69" i="1"/>
  <c r="M77" i="1"/>
  <c r="M85" i="1"/>
  <c r="M93" i="1"/>
  <c r="M101" i="1"/>
  <c r="M109" i="1"/>
  <c r="M117" i="1"/>
  <c r="M125" i="1"/>
  <c r="M133" i="1"/>
  <c r="M141" i="1"/>
  <c r="M149" i="1"/>
  <c r="M157" i="1"/>
  <c r="M165" i="1"/>
  <c r="M173" i="1"/>
  <c r="M181" i="1"/>
  <c r="M189" i="1"/>
  <c r="M197" i="1"/>
  <c r="M205" i="1"/>
  <c r="M213" i="1"/>
  <c r="M221" i="1"/>
  <c r="M229" i="1"/>
  <c r="M237" i="1"/>
  <c r="M245" i="1"/>
  <c r="M253" i="1"/>
  <c r="M261" i="1"/>
  <c r="M269" i="1"/>
  <c r="M277" i="1"/>
  <c r="M285" i="1"/>
  <c r="M293" i="1"/>
  <c r="M301" i="1"/>
  <c r="M309" i="1"/>
  <c r="M317" i="1"/>
  <c r="M325" i="1"/>
  <c r="O41" i="1"/>
  <c r="O49" i="1"/>
  <c r="O57" i="1"/>
  <c r="O65" i="1"/>
  <c r="O73" i="1"/>
  <c r="O81" i="1"/>
  <c r="O89" i="1"/>
  <c r="O97" i="1"/>
  <c r="O105" i="1"/>
  <c r="O113" i="1"/>
  <c r="O121" i="1"/>
  <c r="O129" i="1"/>
  <c r="L42" i="1"/>
  <c r="L50" i="1"/>
  <c r="L58" i="1"/>
  <c r="L66" i="1"/>
  <c r="L74" i="1"/>
  <c r="L82" i="1"/>
  <c r="L90" i="1"/>
  <c r="L98" i="1"/>
  <c r="L106" i="1"/>
  <c r="L114" i="1"/>
  <c r="L122" i="1"/>
  <c r="L130" i="1"/>
  <c r="L138" i="1"/>
  <c r="L146" i="1"/>
  <c r="L154" i="1"/>
  <c r="L162" i="1"/>
  <c r="L170" i="1"/>
  <c r="L178" i="1"/>
  <c r="L186" i="1"/>
  <c r="L194" i="1"/>
  <c r="L202" i="1"/>
  <c r="L210" i="1"/>
  <c r="L218" i="1"/>
  <c r="L226" i="1"/>
  <c r="L234" i="1"/>
  <c r="L242" i="1"/>
  <c r="L250" i="1"/>
  <c r="L258" i="1"/>
  <c r="L266" i="1"/>
  <c r="L274" i="1"/>
  <c r="L282" i="1"/>
  <c r="L290" i="1"/>
  <c r="L298" i="1"/>
  <c r="L306" i="1"/>
  <c r="L314" i="1"/>
  <c r="L322" i="1"/>
  <c r="M38" i="1"/>
  <c r="M46" i="1"/>
  <c r="M54" i="1"/>
  <c r="M62" i="1"/>
  <c r="M70" i="1"/>
  <c r="M78" i="1"/>
  <c r="M86" i="1"/>
  <c r="M94" i="1"/>
  <c r="M102" i="1"/>
  <c r="M110" i="1"/>
  <c r="M118" i="1"/>
  <c r="M126" i="1"/>
  <c r="M134" i="1"/>
  <c r="M142" i="1"/>
  <c r="M150" i="1"/>
  <c r="M158" i="1"/>
  <c r="M166" i="1"/>
  <c r="M174" i="1"/>
  <c r="M182" i="1"/>
  <c r="M190" i="1"/>
  <c r="M198" i="1"/>
  <c r="M206" i="1"/>
  <c r="M214" i="1"/>
  <c r="M222" i="1"/>
  <c r="M230" i="1"/>
  <c r="M238" i="1"/>
  <c r="M246" i="1"/>
  <c r="M254" i="1"/>
  <c r="M262" i="1"/>
  <c r="M270" i="1"/>
  <c r="M278" i="1"/>
  <c r="M286" i="1"/>
  <c r="M294" i="1"/>
  <c r="M302" i="1"/>
  <c r="M310" i="1"/>
  <c r="M318" i="1"/>
  <c r="M326" i="1"/>
  <c r="O42" i="1"/>
  <c r="O50" i="1"/>
  <c r="O58" i="1"/>
  <c r="O66" i="1"/>
  <c r="O74" i="1"/>
  <c r="O82" i="1"/>
  <c r="O90" i="1"/>
  <c r="O98" i="1"/>
  <c r="O106" i="1"/>
  <c r="O114" i="1"/>
  <c r="O122" i="1"/>
  <c r="O130" i="1"/>
  <c r="L35" i="1"/>
  <c r="L43" i="1"/>
  <c r="L51" i="1"/>
  <c r="L59" i="1"/>
  <c r="L67" i="1"/>
  <c r="L75" i="1"/>
  <c r="L83" i="1"/>
  <c r="L91" i="1"/>
  <c r="L99" i="1"/>
  <c r="L107" i="1"/>
  <c r="L115" i="1"/>
  <c r="L123" i="1"/>
  <c r="L131" i="1"/>
  <c r="L139" i="1"/>
  <c r="L147" i="1"/>
  <c r="L155" i="1"/>
  <c r="L163" i="1"/>
  <c r="L171" i="1"/>
  <c r="L179" i="1"/>
  <c r="L187" i="1"/>
  <c r="L195" i="1"/>
  <c r="L203" i="1"/>
  <c r="L211" i="1"/>
  <c r="L219" i="1"/>
  <c r="L227" i="1"/>
  <c r="L235" i="1"/>
  <c r="L243" i="1"/>
  <c r="L251" i="1"/>
  <c r="L259" i="1"/>
  <c r="L267" i="1"/>
  <c r="L275" i="1"/>
  <c r="L283" i="1"/>
  <c r="L291" i="1"/>
  <c r="L299" i="1"/>
  <c r="L307" i="1"/>
  <c r="L315" i="1"/>
  <c r="L323" i="1"/>
  <c r="M39" i="1"/>
  <c r="M47" i="1"/>
  <c r="M55" i="1"/>
  <c r="M63" i="1"/>
  <c r="M71" i="1"/>
  <c r="M79" i="1"/>
  <c r="M87" i="1"/>
  <c r="M95" i="1"/>
  <c r="M103" i="1"/>
  <c r="M111" i="1"/>
  <c r="M119" i="1"/>
  <c r="M127" i="1"/>
  <c r="M135" i="1"/>
  <c r="M143" i="1"/>
  <c r="M151" i="1"/>
  <c r="M159" i="1"/>
  <c r="M167" i="1"/>
  <c r="M175" i="1"/>
  <c r="M183" i="1"/>
  <c r="M191" i="1"/>
  <c r="M199" i="1"/>
  <c r="M207" i="1"/>
  <c r="M215" i="1"/>
  <c r="M223" i="1"/>
  <c r="M231" i="1"/>
  <c r="M239" i="1"/>
  <c r="M247" i="1"/>
  <c r="M255" i="1"/>
  <c r="M263" i="1"/>
  <c r="M271" i="1"/>
  <c r="M279" i="1"/>
  <c r="M287" i="1"/>
  <c r="M295" i="1"/>
  <c r="M303" i="1"/>
  <c r="M311" i="1"/>
  <c r="M319" i="1"/>
  <c r="O35" i="1"/>
  <c r="O43" i="1"/>
  <c r="O51" i="1"/>
  <c r="O59" i="1"/>
  <c r="O67" i="1"/>
  <c r="O75" i="1"/>
  <c r="O83" i="1"/>
  <c r="O91" i="1"/>
  <c r="O99" i="1"/>
  <c r="O107" i="1"/>
  <c r="O115" i="1"/>
  <c r="O123" i="1"/>
  <c r="L36" i="1"/>
  <c r="L44" i="1"/>
  <c r="L52" i="1"/>
  <c r="L60" i="1"/>
  <c r="L68" i="1"/>
  <c r="L76" i="1"/>
  <c r="L84" i="1"/>
  <c r="L92" i="1"/>
  <c r="L100" i="1"/>
  <c r="L108" i="1"/>
  <c r="L116" i="1"/>
  <c r="L124" i="1"/>
  <c r="L132" i="1"/>
  <c r="L140" i="1"/>
  <c r="L148" i="1"/>
  <c r="L156" i="1"/>
  <c r="L164" i="1"/>
  <c r="L172" i="1"/>
  <c r="L180" i="1"/>
  <c r="L188" i="1"/>
  <c r="L196" i="1"/>
  <c r="L204" i="1"/>
  <c r="L212" i="1"/>
  <c r="L220" i="1"/>
  <c r="L228" i="1"/>
  <c r="L236" i="1"/>
  <c r="L244" i="1"/>
  <c r="L252" i="1"/>
  <c r="L260" i="1"/>
  <c r="L268" i="1"/>
  <c r="L276" i="1"/>
  <c r="L284" i="1"/>
  <c r="L292" i="1"/>
  <c r="L300" i="1"/>
  <c r="L308" i="1"/>
  <c r="L316" i="1"/>
  <c r="L324" i="1"/>
  <c r="M40" i="1"/>
  <c r="M48" i="1"/>
  <c r="M56" i="1"/>
  <c r="M64" i="1"/>
  <c r="M72" i="1"/>
  <c r="M80" i="1"/>
  <c r="M88" i="1"/>
  <c r="M96" i="1"/>
  <c r="M104" i="1"/>
  <c r="M112" i="1"/>
  <c r="M120" i="1"/>
  <c r="M128" i="1"/>
  <c r="M136" i="1"/>
  <c r="M144" i="1"/>
  <c r="M152" i="1"/>
  <c r="M160" i="1"/>
  <c r="M168" i="1"/>
  <c r="M176" i="1"/>
  <c r="M184" i="1"/>
  <c r="M192" i="1"/>
  <c r="M200" i="1"/>
  <c r="M208" i="1"/>
  <c r="M216" i="1"/>
  <c r="M224" i="1"/>
  <c r="M232" i="1"/>
  <c r="M240" i="1"/>
  <c r="M248" i="1"/>
  <c r="M256" i="1"/>
  <c r="M264" i="1"/>
  <c r="M272" i="1"/>
  <c r="M280" i="1"/>
  <c r="M288" i="1"/>
  <c r="M296" i="1"/>
  <c r="M304" i="1"/>
  <c r="M312" i="1"/>
  <c r="M320" i="1"/>
  <c r="O36" i="1"/>
  <c r="O44" i="1"/>
  <c r="O52" i="1"/>
  <c r="O60" i="1"/>
  <c r="O68" i="1"/>
  <c r="O76" i="1"/>
  <c r="O84" i="1"/>
  <c r="O92" i="1"/>
  <c r="O100" i="1"/>
  <c r="O108" i="1"/>
  <c r="O116" i="1"/>
  <c r="O124" i="1"/>
  <c r="L37" i="1"/>
  <c r="L45" i="1"/>
  <c r="L53" i="1"/>
  <c r="L61" i="1"/>
  <c r="L69" i="1"/>
  <c r="L77" i="1"/>
  <c r="L85" i="1"/>
  <c r="L93" i="1"/>
  <c r="L101" i="1"/>
  <c r="L109" i="1"/>
  <c r="L117" i="1"/>
  <c r="L125" i="1"/>
  <c r="L133" i="1"/>
  <c r="L141" i="1"/>
  <c r="L149" i="1"/>
  <c r="L157" i="1"/>
  <c r="L165" i="1"/>
  <c r="L173" i="1"/>
  <c r="L181" i="1"/>
  <c r="L189" i="1"/>
  <c r="L197" i="1"/>
  <c r="L205" i="1"/>
  <c r="L213" i="1"/>
  <c r="L221" i="1"/>
  <c r="L229" i="1"/>
  <c r="L237" i="1"/>
  <c r="L245" i="1"/>
  <c r="L253" i="1"/>
  <c r="L261" i="1"/>
  <c r="L269" i="1"/>
  <c r="L277" i="1"/>
  <c r="L285" i="1"/>
  <c r="L293" i="1"/>
  <c r="L301" i="1"/>
  <c r="L309" i="1"/>
  <c r="L317" i="1"/>
  <c r="L325" i="1"/>
  <c r="M41" i="1"/>
  <c r="M49" i="1"/>
  <c r="M57" i="1"/>
  <c r="M65" i="1"/>
  <c r="M73" i="1"/>
  <c r="M81" i="1"/>
  <c r="M89" i="1"/>
  <c r="M97" i="1"/>
  <c r="M105" i="1"/>
  <c r="M113" i="1"/>
  <c r="M121" i="1"/>
  <c r="M129" i="1"/>
  <c r="M137" i="1"/>
  <c r="M145" i="1"/>
  <c r="M153" i="1"/>
  <c r="M161" i="1"/>
  <c r="M169" i="1"/>
  <c r="M177" i="1"/>
  <c r="M185" i="1"/>
  <c r="M193" i="1"/>
  <c r="M201" i="1"/>
  <c r="M209" i="1"/>
  <c r="M217" i="1"/>
  <c r="M225" i="1"/>
  <c r="M233" i="1"/>
  <c r="M241" i="1"/>
  <c r="M249" i="1"/>
  <c r="M257" i="1"/>
  <c r="M265" i="1"/>
  <c r="M273" i="1"/>
  <c r="M281" i="1"/>
  <c r="M289" i="1"/>
  <c r="M297" i="1"/>
  <c r="M305" i="1"/>
  <c r="M313" i="1"/>
  <c r="M321" i="1"/>
  <c r="O37" i="1"/>
  <c r="O45" i="1"/>
  <c r="O53" i="1"/>
  <c r="O61" i="1"/>
  <c r="O69" i="1"/>
  <c r="O77" i="1"/>
  <c r="O85" i="1"/>
  <c r="O93" i="1"/>
  <c r="O101" i="1"/>
  <c r="O109" i="1"/>
  <c r="O117" i="1"/>
  <c r="O125" i="1"/>
  <c r="L38" i="1"/>
  <c r="L46" i="1"/>
  <c r="L54" i="1"/>
  <c r="L62" i="1"/>
  <c r="L70" i="1"/>
  <c r="L78" i="1"/>
  <c r="L86" i="1"/>
  <c r="L94" i="1"/>
  <c r="L102" i="1"/>
  <c r="L110" i="1"/>
  <c r="L118" i="1"/>
  <c r="L126" i="1"/>
  <c r="L134" i="1"/>
  <c r="L142" i="1"/>
  <c r="L150" i="1"/>
  <c r="L158" i="1"/>
  <c r="L166" i="1"/>
  <c r="L174" i="1"/>
  <c r="L182" i="1"/>
  <c r="L190" i="1"/>
  <c r="L198" i="1"/>
  <c r="L206" i="1"/>
  <c r="L214" i="1"/>
  <c r="L222" i="1"/>
  <c r="L230" i="1"/>
  <c r="L238" i="1"/>
  <c r="L246" i="1"/>
  <c r="L254" i="1"/>
  <c r="L262" i="1"/>
  <c r="L270" i="1"/>
  <c r="L278" i="1"/>
  <c r="L286" i="1"/>
  <c r="L294" i="1"/>
  <c r="L302" i="1"/>
  <c r="L310" i="1"/>
  <c r="L318" i="1"/>
  <c r="L326" i="1"/>
  <c r="M42" i="1"/>
  <c r="M50" i="1"/>
  <c r="M58" i="1"/>
  <c r="M66" i="1"/>
  <c r="M74" i="1"/>
  <c r="M82" i="1"/>
  <c r="M90" i="1"/>
  <c r="M98" i="1"/>
  <c r="M106" i="1"/>
  <c r="M114" i="1"/>
  <c r="M122" i="1"/>
  <c r="M130" i="1"/>
  <c r="M138" i="1"/>
  <c r="M146" i="1"/>
  <c r="M154" i="1"/>
  <c r="M162" i="1"/>
  <c r="M170" i="1"/>
  <c r="M178" i="1"/>
  <c r="M186" i="1"/>
  <c r="M194" i="1"/>
  <c r="M202" i="1"/>
  <c r="M210" i="1"/>
  <c r="M218" i="1"/>
  <c r="M226" i="1"/>
  <c r="M234" i="1"/>
  <c r="M242" i="1"/>
  <c r="M250" i="1"/>
  <c r="M258" i="1"/>
  <c r="M266" i="1"/>
  <c r="M274" i="1"/>
  <c r="M282" i="1"/>
  <c r="M290" i="1"/>
  <c r="M298" i="1"/>
  <c r="M306" i="1"/>
  <c r="M314" i="1"/>
  <c r="M322" i="1"/>
  <c r="O38" i="1"/>
  <c r="O46" i="1"/>
  <c r="O54" i="1"/>
  <c r="O62" i="1"/>
  <c r="O70" i="1"/>
  <c r="O78" i="1"/>
  <c r="O86" i="1"/>
  <c r="O94" i="1"/>
  <c r="O102" i="1"/>
  <c r="O110" i="1"/>
  <c r="O118" i="1"/>
  <c r="O126" i="1"/>
  <c r="L39" i="1"/>
  <c r="L47" i="1"/>
  <c r="L55" i="1"/>
  <c r="L63" i="1"/>
  <c r="L71" i="1"/>
  <c r="L79" i="1"/>
  <c r="L87" i="1"/>
  <c r="L95" i="1"/>
  <c r="L103" i="1"/>
  <c r="L111" i="1"/>
  <c r="L119" i="1"/>
  <c r="L127" i="1"/>
  <c r="L135" i="1"/>
  <c r="L143" i="1"/>
  <c r="L151" i="1"/>
  <c r="L159" i="1"/>
  <c r="L167" i="1"/>
  <c r="L175" i="1"/>
  <c r="L183" i="1"/>
  <c r="L191" i="1"/>
  <c r="L199" i="1"/>
  <c r="L207" i="1"/>
  <c r="L215" i="1"/>
  <c r="L223" i="1"/>
  <c r="L231" i="1"/>
  <c r="L239" i="1"/>
  <c r="L247" i="1"/>
  <c r="L255" i="1"/>
  <c r="L263" i="1"/>
  <c r="L271" i="1"/>
  <c r="L279" i="1"/>
  <c r="L287" i="1"/>
  <c r="L295" i="1"/>
  <c r="L303" i="1"/>
  <c r="L311" i="1"/>
  <c r="L319" i="1"/>
  <c r="M35" i="1"/>
  <c r="M43" i="1"/>
  <c r="M51" i="1"/>
  <c r="M59" i="1"/>
  <c r="M67" i="1"/>
  <c r="M75" i="1"/>
  <c r="M83" i="1"/>
  <c r="M91" i="1"/>
  <c r="M99" i="1"/>
  <c r="M107" i="1"/>
  <c r="M115" i="1"/>
  <c r="M123" i="1"/>
  <c r="M131" i="1"/>
  <c r="M139" i="1"/>
  <c r="M147" i="1"/>
  <c r="M155" i="1"/>
  <c r="M163" i="1"/>
  <c r="M171" i="1"/>
  <c r="M179" i="1"/>
  <c r="M187" i="1"/>
  <c r="M195" i="1"/>
  <c r="M203" i="1"/>
  <c r="M211" i="1"/>
  <c r="M219" i="1"/>
  <c r="M227" i="1"/>
  <c r="M235" i="1"/>
  <c r="M243" i="1"/>
  <c r="M251" i="1"/>
  <c r="M259" i="1"/>
  <c r="M267" i="1"/>
  <c r="M275" i="1"/>
  <c r="M283" i="1"/>
  <c r="M291" i="1"/>
  <c r="M299" i="1"/>
  <c r="M307" i="1"/>
  <c r="M315" i="1"/>
  <c r="M323" i="1"/>
  <c r="O39" i="1"/>
  <c r="O47" i="1"/>
  <c r="O55" i="1"/>
  <c r="O63" i="1"/>
  <c r="O71" i="1"/>
  <c r="O79" i="1"/>
  <c r="O87" i="1"/>
  <c r="O95" i="1"/>
  <c r="O103" i="1"/>
  <c r="O111" i="1"/>
  <c r="O119" i="1"/>
  <c r="O127" i="1"/>
  <c r="L88" i="1"/>
  <c r="L152" i="1"/>
  <c r="L216" i="1"/>
  <c r="L280" i="1"/>
  <c r="M52" i="1"/>
  <c r="M116" i="1"/>
  <c r="M180" i="1"/>
  <c r="M244" i="1"/>
  <c r="M308" i="1"/>
  <c r="O80" i="1"/>
  <c r="O132" i="1"/>
  <c r="O140" i="1"/>
  <c r="O148" i="1"/>
  <c r="O156" i="1"/>
  <c r="O164" i="1"/>
  <c r="O172" i="1"/>
  <c r="O180" i="1"/>
  <c r="O188" i="1"/>
  <c r="O196" i="1"/>
  <c r="O204" i="1"/>
  <c r="O212" i="1"/>
  <c r="O220" i="1"/>
  <c r="O228" i="1"/>
  <c r="O236" i="1"/>
  <c r="O244" i="1"/>
  <c r="O252" i="1"/>
  <c r="O260" i="1"/>
  <c r="O268" i="1"/>
  <c r="O276" i="1"/>
  <c r="O308" i="1"/>
  <c r="O324" i="1"/>
  <c r="L96" i="1"/>
  <c r="L160" i="1"/>
  <c r="L224" i="1"/>
  <c r="L288" i="1"/>
  <c r="M60" i="1"/>
  <c r="M124" i="1"/>
  <c r="M188" i="1"/>
  <c r="M252" i="1"/>
  <c r="M316" i="1"/>
  <c r="O88" i="1"/>
  <c r="O133" i="1"/>
  <c r="O141" i="1"/>
  <c r="O149" i="1"/>
  <c r="O157" i="1"/>
  <c r="O165" i="1"/>
  <c r="O173" i="1"/>
  <c r="O181" i="1"/>
  <c r="O189" i="1"/>
  <c r="O197" i="1"/>
  <c r="O205" i="1"/>
  <c r="O213" i="1"/>
  <c r="O221" i="1"/>
  <c r="O229" i="1"/>
  <c r="O237" i="1"/>
  <c r="O245" i="1"/>
  <c r="O253" i="1"/>
  <c r="O261" i="1"/>
  <c r="O269" i="1"/>
  <c r="O277" i="1"/>
  <c r="O285" i="1"/>
  <c r="O293" i="1"/>
  <c r="O301" i="1"/>
  <c r="O309" i="1"/>
  <c r="O317" i="1"/>
  <c r="O325" i="1"/>
  <c r="L40" i="1"/>
  <c r="L104" i="1"/>
  <c r="L168" i="1"/>
  <c r="L232" i="1"/>
  <c r="L296" i="1"/>
  <c r="M68" i="1"/>
  <c r="M132" i="1"/>
  <c r="M196" i="1"/>
  <c r="M260" i="1"/>
  <c r="M324" i="1"/>
  <c r="O9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O262" i="1"/>
  <c r="O270" i="1"/>
  <c r="O278" i="1"/>
  <c r="O286" i="1"/>
  <c r="O294" i="1"/>
  <c r="O302" i="1"/>
  <c r="O310" i="1"/>
  <c r="O318" i="1"/>
  <c r="O326" i="1"/>
  <c r="L112" i="1"/>
  <c r="L176" i="1"/>
  <c r="L240" i="1"/>
  <c r="L304" i="1"/>
  <c r="M140" i="1"/>
  <c r="M204" i="1"/>
  <c r="O40" i="1"/>
  <c r="O135" i="1"/>
  <c r="O151" i="1"/>
  <c r="O167" i="1"/>
  <c r="O183" i="1"/>
  <c r="O199" i="1"/>
  <c r="O215" i="1"/>
  <c r="O231" i="1"/>
  <c r="O239" i="1"/>
  <c r="O255" i="1"/>
  <c r="O271" i="1"/>
  <c r="O287" i="1"/>
  <c r="O303" i="1"/>
  <c r="O319" i="1"/>
  <c r="O259" i="1"/>
  <c r="O299" i="1"/>
  <c r="O292" i="1"/>
  <c r="L48" i="1"/>
  <c r="M76" i="1"/>
  <c r="M268" i="1"/>
  <c r="O104" i="1"/>
  <c r="O143" i="1"/>
  <c r="O159" i="1"/>
  <c r="O175" i="1"/>
  <c r="O191" i="1"/>
  <c r="O207" i="1"/>
  <c r="O223" i="1"/>
  <c r="O247" i="1"/>
  <c r="O263" i="1"/>
  <c r="O279" i="1"/>
  <c r="O295" i="1"/>
  <c r="O311" i="1"/>
  <c r="L56" i="1"/>
  <c r="L120" i="1"/>
  <c r="L184" i="1"/>
  <c r="L248" i="1"/>
  <c r="L312" i="1"/>
  <c r="M84" i="1"/>
  <c r="M148" i="1"/>
  <c r="M212" i="1"/>
  <c r="M276" i="1"/>
  <c r="O48" i="1"/>
  <c r="O112" i="1"/>
  <c r="O136" i="1"/>
  <c r="O144" i="1"/>
  <c r="O152" i="1"/>
  <c r="O160" i="1"/>
  <c r="O168" i="1"/>
  <c r="O176" i="1"/>
  <c r="O184" i="1"/>
  <c r="O192" i="1"/>
  <c r="O200" i="1"/>
  <c r="O208" i="1"/>
  <c r="O216" i="1"/>
  <c r="O224" i="1"/>
  <c r="O232" i="1"/>
  <c r="O240" i="1"/>
  <c r="O248" i="1"/>
  <c r="O256" i="1"/>
  <c r="O264" i="1"/>
  <c r="O272" i="1"/>
  <c r="O280" i="1"/>
  <c r="O288" i="1"/>
  <c r="O296" i="1"/>
  <c r="O304" i="1"/>
  <c r="O312" i="1"/>
  <c r="O320" i="1"/>
  <c r="L128" i="1"/>
  <c r="L192" i="1"/>
  <c r="L256" i="1"/>
  <c r="L320" i="1"/>
  <c r="M92" i="1"/>
  <c r="M156" i="1"/>
  <c r="M284" i="1"/>
  <c r="O56" i="1"/>
  <c r="O137" i="1"/>
  <c r="O145" i="1"/>
  <c r="O161" i="1"/>
  <c r="O177" i="1"/>
  <c r="O193" i="1"/>
  <c r="O209" i="1"/>
  <c r="O217" i="1"/>
  <c r="O273" i="1"/>
  <c r="O289" i="1"/>
  <c r="O305" i="1"/>
  <c r="O321" i="1"/>
  <c r="O243" i="1"/>
  <c r="O291" i="1"/>
  <c r="O315" i="1"/>
  <c r="O300" i="1"/>
  <c r="L64" i="1"/>
  <c r="M220" i="1"/>
  <c r="O120" i="1"/>
  <c r="O153" i="1"/>
  <c r="O169" i="1"/>
  <c r="O185" i="1"/>
  <c r="O201" i="1"/>
  <c r="O225" i="1"/>
  <c r="O233" i="1"/>
  <c r="O241" i="1"/>
  <c r="O249" i="1"/>
  <c r="O257" i="1"/>
  <c r="O265" i="1"/>
  <c r="O281" i="1"/>
  <c r="O297" i="1"/>
  <c r="O313" i="1"/>
  <c r="O267" i="1"/>
  <c r="O323" i="1"/>
  <c r="O316" i="1"/>
  <c r="L72" i="1"/>
  <c r="L136" i="1"/>
  <c r="L200" i="1"/>
  <c r="L264" i="1"/>
  <c r="M36" i="1"/>
  <c r="M100" i="1"/>
  <c r="M164" i="1"/>
  <c r="M228" i="1"/>
  <c r="M292" i="1"/>
  <c r="O64" i="1"/>
  <c r="O128" i="1"/>
  <c r="O138" i="1"/>
  <c r="O146" i="1"/>
  <c r="O154" i="1"/>
  <c r="O162" i="1"/>
  <c r="O170" i="1"/>
  <c r="O178" i="1"/>
  <c r="O186" i="1"/>
  <c r="O194" i="1"/>
  <c r="O202" i="1"/>
  <c r="O210" i="1"/>
  <c r="O218" i="1"/>
  <c r="O226" i="1"/>
  <c r="O234" i="1"/>
  <c r="O242" i="1"/>
  <c r="O250" i="1"/>
  <c r="O258" i="1"/>
  <c r="O266" i="1"/>
  <c r="O274" i="1"/>
  <c r="O282" i="1"/>
  <c r="O290" i="1"/>
  <c r="O298" i="1"/>
  <c r="O306" i="1"/>
  <c r="O314" i="1"/>
  <c r="O322" i="1"/>
  <c r="L80" i="1"/>
  <c r="L144" i="1"/>
  <c r="L208" i="1"/>
  <c r="L272" i="1"/>
  <c r="M44" i="1"/>
  <c r="M108" i="1"/>
  <c r="M172" i="1"/>
  <c r="M236" i="1"/>
  <c r="M300" i="1"/>
  <c r="O72" i="1"/>
  <c r="O131" i="1"/>
  <c r="O139" i="1"/>
  <c r="O147" i="1"/>
  <c r="O155" i="1"/>
  <c r="O163" i="1"/>
  <c r="O171" i="1"/>
  <c r="O179" i="1"/>
  <c r="O187" i="1"/>
  <c r="O195" i="1"/>
  <c r="O203" i="1"/>
  <c r="O211" i="1"/>
  <c r="O219" i="1"/>
  <c r="O227" i="1"/>
  <c r="O235" i="1"/>
  <c r="O251" i="1"/>
  <c r="O275" i="1"/>
  <c r="O283" i="1"/>
  <c r="O307" i="1"/>
  <c r="O284" i="1"/>
  <c r="H125" i="5"/>
  <c r="L38" i="2"/>
  <c r="L46" i="2"/>
  <c r="L54" i="2"/>
  <c r="L62" i="2"/>
  <c r="L70" i="2"/>
  <c r="L78" i="2"/>
  <c r="L86" i="2"/>
  <c r="L94" i="2"/>
  <c r="L102" i="2"/>
  <c r="L110" i="2"/>
  <c r="L118" i="2"/>
  <c r="L126" i="2"/>
  <c r="L134" i="2"/>
  <c r="L142" i="2"/>
  <c r="L150" i="2"/>
  <c r="L158" i="2"/>
  <c r="L166" i="2"/>
  <c r="L174" i="2"/>
  <c r="L182" i="2"/>
  <c r="L190" i="2"/>
  <c r="L198" i="2"/>
  <c r="L206" i="2"/>
  <c r="K17" i="5"/>
  <c r="L39" i="2"/>
  <c r="L47" i="2"/>
  <c r="L55" i="2"/>
  <c r="L63" i="2"/>
  <c r="L71" i="2"/>
  <c r="L79" i="2"/>
  <c r="L87" i="2"/>
  <c r="L95" i="2"/>
  <c r="L103" i="2"/>
  <c r="L111" i="2"/>
  <c r="L119" i="2"/>
  <c r="L127" i="2"/>
  <c r="L135" i="2"/>
  <c r="L143" i="2"/>
  <c r="L151" i="2"/>
  <c r="L159" i="2"/>
  <c r="L167" i="2"/>
  <c r="L175" i="2"/>
  <c r="L183" i="2"/>
  <c r="L191" i="2"/>
  <c r="L199" i="2"/>
  <c r="L207" i="2"/>
  <c r="L215" i="2"/>
  <c r="L223" i="2"/>
  <c r="L231" i="2"/>
  <c r="L239" i="2"/>
  <c r="L247" i="2"/>
  <c r="L255" i="2"/>
  <c r="L263" i="2"/>
  <c r="L271" i="2"/>
  <c r="L279" i="2"/>
  <c r="L287" i="2"/>
  <c r="L295" i="2"/>
  <c r="L303" i="2"/>
  <c r="L311" i="2"/>
  <c r="L319" i="2"/>
  <c r="M35" i="2"/>
  <c r="M43" i="2"/>
  <c r="M51" i="2"/>
  <c r="M59" i="2"/>
  <c r="M67" i="2"/>
  <c r="M75" i="2"/>
  <c r="M83" i="2"/>
  <c r="M91" i="2"/>
  <c r="M99" i="2"/>
  <c r="M107" i="2"/>
  <c r="M115" i="2"/>
  <c r="M123" i="2"/>
  <c r="M131" i="2"/>
  <c r="M139" i="2"/>
  <c r="M147" i="2"/>
  <c r="M155" i="2"/>
  <c r="M163" i="2"/>
  <c r="M171" i="2"/>
  <c r="M179" i="2"/>
  <c r="M187" i="2"/>
  <c r="M195" i="2"/>
  <c r="M203" i="2"/>
  <c r="M211" i="2"/>
  <c r="M219" i="2"/>
  <c r="M227" i="2"/>
  <c r="M235" i="2"/>
  <c r="M243" i="2"/>
  <c r="L44" i="2"/>
  <c r="L56" i="2"/>
  <c r="L66" i="2"/>
  <c r="L76" i="2"/>
  <c r="L88" i="2"/>
  <c r="L98" i="2"/>
  <c r="L108" i="2"/>
  <c r="L120" i="2"/>
  <c r="L130" i="2"/>
  <c r="L140" i="2"/>
  <c r="L152" i="2"/>
  <c r="L162" i="2"/>
  <c r="L172" i="2"/>
  <c r="L184" i="2"/>
  <c r="L194" i="2"/>
  <c r="L204" i="2"/>
  <c r="L214" i="2"/>
  <c r="L224" i="2"/>
  <c r="L233" i="2"/>
  <c r="L242" i="2"/>
  <c r="L251" i="2"/>
  <c r="L260" i="2"/>
  <c r="L269" i="2"/>
  <c r="L278" i="2"/>
  <c r="L288" i="2"/>
  <c r="L297" i="2"/>
  <c r="L306" i="2"/>
  <c r="L315" i="2"/>
  <c r="L324" i="2"/>
  <c r="M41" i="2"/>
  <c r="M50" i="2"/>
  <c r="M60" i="2"/>
  <c r="M69" i="2"/>
  <c r="M78" i="2"/>
  <c r="M87" i="2"/>
  <c r="M96" i="2"/>
  <c r="M105" i="2"/>
  <c r="M114" i="2"/>
  <c r="L35" i="2"/>
  <c r="L36" i="2"/>
  <c r="L48" i="2"/>
  <c r="L58" i="2"/>
  <c r="L68" i="2"/>
  <c r="L80" i="2"/>
  <c r="L90" i="2"/>
  <c r="L100" i="2"/>
  <c r="L112" i="2"/>
  <c r="L122" i="2"/>
  <c r="L132" i="2"/>
  <c r="L144" i="2"/>
  <c r="L154" i="2"/>
  <c r="L164" i="2"/>
  <c r="L176" i="2"/>
  <c r="L186" i="2"/>
  <c r="L196" i="2"/>
  <c r="L208" i="2"/>
  <c r="L217" i="2"/>
  <c r="L226" i="2"/>
  <c r="L235" i="2"/>
  <c r="L244" i="2"/>
  <c r="L253" i="2"/>
  <c r="L262" i="2"/>
  <c r="L272" i="2"/>
  <c r="L281" i="2"/>
  <c r="L290" i="2"/>
  <c r="L299" i="2"/>
  <c r="L308" i="2"/>
  <c r="L317" i="2"/>
  <c r="L326" i="2"/>
  <c r="M44" i="2"/>
  <c r="M53" i="2"/>
  <c r="M62" i="2"/>
  <c r="M71" i="2"/>
  <c r="M80" i="2"/>
  <c r="M89" i="2"/>
  <c r="M98" i="2"/>
  <c r="M108" i="2"/>
  <c r="M117" i="2"/>
  <c r="M126" i="2"/>
  <c r="M135" i="2"/>
  <c r="M144" i="2"/>
  <c r="M153" i="2"/>
  <c r="M162" i="2"/>
  <c r="M172" i="2"/>
  <c r="M181" i="2"/>
  <c r="M190" i="2"/>
  <c r="M199" i="2"/>
  <c r="M208" i="2"/>
  <c r="M217" i="2"/>
  <c r="M226" i="2"/>
  <c r="M236" i="2"/>
  <c r="M245" i="2"/>
  <c r="M253" i="2"/>
  <c r="M261" i="2"/>
  <c r="M269" i="2"/>
  <c r="M277" i="2"/>
  <c r="M285" i="2"/>
  <c r="M293" i="2"/>
  <c r="M301" i="2"/>
  <c r="M309" i="2"/>
  <c r="M317" i="2"/>
  <c r="M325" i="2"/>
  <c r="O41" i="2"/>
  <c r="O49" i="2"/>
  <c r="O57" i="2"/>
  <c r="O65" i="2"/>
  <c r="O73" i="2"/>
  <c r="O81" i="2"/>
  <c r="O89" i="2"/>
  <c r="O97" i="2"/>
  <c r="O105" i="2"/>
  <c r="O113" i="2"/>
  <c r="O121" i="2"/>
  <c r="O129" i="2"/>
  <c r="O137" i="2"/>
  <c r="O145" i="2"/>
  <c r="O153" i="2"/>
  <c r="O161" i="2"/>
  <c r="O169" i="2"/>
  <c r="O177" i="2"/>
  <c r="O185" i="2"/>
  <c r="L37" i="2"/>
  <c r="L49" i="2"/>
  <c r="L59" i="2"/>
  <c r="L69" i="2"/>
  <c r="L81" i="2"/>
  <c r="L91" i="2"/>
  <c r="L101" i="2"/>
  <c r="L113" i="2"/>
  <c r="L123" i="2"/>
  <c r="L133" i="2"/>
  <c r="L145" i="2"/>
  <c r="L155" i="2"/>
  <c r="L165" i="2"/>
  <c r="L177" i="2"/>
  <c r="L187" i="2"/>
  <c r="L197" i="2"/>
  <c r="L209" i="2"/>
  <c r="L40" i="2"/>
  <c r="L50" i="2"/>
  <c r="L60" i="2"/>
  <c r="L72" i="2"/>
  <c r="L82" i="2"/>
  <c r="L92" i="2"/>
  <c r="L104" i="2"/>
  <c r="L114" i="2"/>
  <c r="L124" i="2"/>
  <c r="L136" i="2"/>
  <c r="L146" i="2"/>
  <c r="L156" i="2"/>
  <c r="L168" i="2"/>
  <c r="L178" i="2"/>
  <c r="L188" i="2"/>
  <c r="L200" i="2"/>
  <c r="L210" i="2"/>
  <c r="L219" i="2"/>
  <c r="L228" i="2"/>
  <c r="L237" i="2"/>
  <c r="L246" i="2"/>
  <c r="L256" i="2"/>
  <c r="L265" i="2"/>
  <c r="L274" i="2"/>
  <c r="L283" i="2"/>
  <c r="L292" i="2"/>
  <c r="L301" i="2"/>
  <c r="L310" i="2"/>
  <c r="L320" i="2"/>
  <c r="M37" i="2"/>
  <c r="M46" i="2"/>
  <c r="M55" i="2"/>
  <c r="M64" i="2"/>
  <c r="M73" i="2"/>
  <c r="M82" i="2"/>
  <c r="M92" i="2"/>
  <c r="M101" i="2"/>
  <c r="M110" i="2"/>
  <c r="M119" i="2"/>
  <c r="M128" i="2"/>
  <c r="M137" i="2"/>
  <c r="M146" i="2"/>
  <c r="M156" i="2"/>
  <c r="M165" i="2"/>
  <c r="M174" i="2"/>
  <c r="M183" i="2"/>
  <c r="M192" i="2"/>
  <c r="M201" i="2"/>
  <c r="M210" i="2"/>
  <c r="M220" i="2"/>
  <c r="M229" i="2"/>
  <c r="M238" i="2"/>
  <c r="M247" i="2"/>
  <c r="M255" i="2"/>
  <c r="M263" i="2"/>
  <c r="M271" i="2"/>
  <c r="M279" i="2"/>
  <c r="M287" i="2"/>
  <c r="M295" i="2"/>
  <c r="M303" i="2"/>
  <c r="M311" i="2"/>
  <c r="M319" i="2"/>
  <c r="O35" i="2"/>
  <c r="O43" i="2"/>
  <c r="O51" i="2"/>
  <c r="L43" i="2"/>
  <c r="L65" i="2"/>
  <c r="L85" i="2"/>
  <c r="L107" i="2"/>
  <c r="L129" i="2"/>
  <c r="L149" i="2"/>
  <c r="L171" i="2"/>
  <c r="L193" i="2"/>
  <c r="L213" i="2"/>
  <c r="L229" i="2"/>
  <c r="L243" i="2"/>
  <c r="L258" i="2"/>
  <c r="L273" i="2"/>
  <c r="L286" i="2"/>
  <c r="L302" i="2"/>
  <c r="L316" i="2"/>
  <c r="M39" i="2"/>
  <c r="M54" i="2"/>
  <c r="M68" i="2"/>
  <c r="M84" i="2"/>
  <c r="M97" i="2"/>
  <c r="M112" i="2"/>
  <c r="M125" i="2"/>
  <c r="M138" i="2"/>
  <c r="M150" i="2"/>
  <c r="M161" i="2"/>
  <c r="M175" i="2"/>
  <c r="M186" i="2"/>
  <c r="M198" i="2"/>
  <c r="M212" i="2"/>
  <c r="M223" i="2"/>
  <c r="M234" i="2"/>
  <c r="M248" i="2"/>
  <c r="M258" i="2"/>
  <c r="M268" i="2"/>
  <c r="M280" i="2"/>
  <c r="M290" i="2"/>
  <c r="M300" i="2"/>
  <c r="M312" i="2"/>
  <c r="M322" i="2"/>
  <c r="O40" i="2"/>
  <c r="O52" i="2"/>
  <c r="O61" i="2"/>
  <c r="O70" i="2"/>
  <c r="O79" i="2"/>
  <c r="O88" i="2"/>
  <c r="O98" i="2"/>
  <c r="O107" i="2"/>
  <c r="O116" i="2"/>
  <c r="O125" i="2"/>
  <c r="O134" i="2"/>
  <c r="O143" i="2"/>
  <c r="O152" i="2"/>
  <c r="O162" i="2"/>
  <c r="O171" i="2"/>
  <c r="O180" i="2"/>
  <c r="O189" i="2"/>
  <c r="O197" i="2"/>
  <c r="O205" i="2"/>
  <c r="O213" i="2"/>
  <c r="O221" i="2"/>
  <c r="O229" i="2"/>
  <c r="O237" i="2"/>
  <c r="O245" i="2"/>
  <c r="O253" i="2"/>
  <c r="O261" i="2"/>
  <c r="O269" i="2"/>
  <c r="O277" i="2"/>
  <c r="O285" i="2"/>
  <c r="O293" i="2"/>
  <c r="O301" i="2"/>
  <c r="O309" i="2"/>
  <c r="O317" i="2"/>
  <c r="O325" i="2"/>
  <c r="O12" i="2"/>
  <c r="O20" i="2"/>
  <c r="O28" i="2"/>
  <c r="M241" i="2"/>
  <c r="O84" i="2"/>
  <c r="O139" i="2"/>
  <c r="O193" i="2"/>
  <c r="O233" i="2"/>
  <c r="O273" i="2"/>
  <c r="L45" i="2"/>
  <c r="L67" i="2"/>
  <c r="L89" i="2"/>
  <c r="L109" i="2"/>
  <c r="L131" i="2"/>
  <c r="L153" i="2"/>
  <c r="L173" i="2"/>
  <c r="L195" i="2"/>
  <c r="L216" i="2"/>
  <c r="L230" i="2"/>
  <c r="L245" i="2"/>
  <c r="L259" i="2"/>
  <c r="L275" i="2"/>
  <c r="L289" i="2"/>
  <c r="L304" i="2"/>
  <c r="L318" i="2"/>
  <c r="M40" i="2"/>
  <c r="M56" i="2"/>
  <c r="M70" i="2"/>
  <c r="M85" i="2"/>
  <c r="M100" i="2"/>
  <c r="M113" i="2"/>
  <c r="M127" i="2"/>
  <c r="M140" i="2"/>
  <c r="M151" i="2"/>
  <c r="M164" i="2"/>
  <c r="M176" i="2"/>
  <c r="M188" i="2"/>
  <c r="M200" i="2"/>
  <c r="M213" i="2"/>
  <c r="M224" i="2"/>
  <c r="M237" i="2"/>
  <c r="M249" i="2"/>
  <c r="M259" i="2"/>
  <c r="M270" i="2"/>
  <c r="M281" i="2"/>
  <c r="M291" i="2"/>
  <c r="M302" i="2"/>
  <c r="M313" i="2"/>
  <c r="M323" i="2"/>
  <c r="O42" i="2"/>
  <c r="O53" i="2"/>
  <c r="O62" i="2"/>
  <c r="O71" i="2"/>
  <c r="O80" i="2"/>
  <c r="O90" i="2"/>
  <c r="O99" i="2"/>
  <c r="O108" i="2"/>
  <c r="O117" i="2"/>
  <c r="O126" i="2"/>
  <c r="O135" i="2"/>
  <c r="O144" i="2"/>
  <c r="O154" i="2"/>
  <c r="O163" i="2"/>
  <c r="O172" i="2"/>
  <c r="O181" i="2"/>
  <c r="O190" i="2"/>
  <c r="O198" i="2"/>
  <c r="O206" i="2"/>
  <c r="O214" i="2"/>
  <c r="O222" i="2"/>
  <c r="O230" i="2"/>
  <c r="O238" i="2"/>
  <c r="O246" i="2"/>
  <c r="O254" i="2"/>
  <c r="O262" i="2"/>
  <c r="O270" i="2"/>
  <c r="O278" i="2"/>
  <c r="O286" i="2"/>
  <c r="O294" i="2"/>
  <c r="O302" i="2"/>
  <c r="O310" i="2"/>
  <c r="O318" i="2"/>
  <c r="O326" i="2"/>
  <c r="O13" i="2"/>
  <c r="O21" i="2"/>
  <c r="O29" i="2"/>
  <c r="M230" i="2"/>
  <c r="M306" i="2"/>
  <c r="O75" i="2"/>
  <c r="O120" i="2"/>
  <c r="O175" i="2"/>
  <c r="O209" i="2"/>
  <c r="O249" i="2"/>
  <c r="L51" i="2"/>
  <c r="L73" i="2"/>
  <c r="L93" i="2"/>
  <c r="L115" i="2"/>
  <c r="L137" i="2"/>
  <c r="L157" i="2"/>
  <c r="L179" i="2"/>
  <c r="L201" i="2"/>
  <c r="L218" i="2"/>
  <c r="L232" i="2"/>
  <c r="L248" i="2"/>
  <c r="L261" i="2"/>
  <c r="L276" i="2"/>
  <c r="L291" i="2"/>
  <c r="L305" i="2"/>
  <c r="L321" i="2"/>
  <c r="M42" i="2"/>
  <c r="M57" i="2"/>
  <c r="M72" i="2"/>
  <c r="M86" i="2"/>
  <c r="M102" i="2"/>
  <c r="M116" i="2"/>
  <c r="M129" i="2"/>
  <c r="M141" i="2"/>
  <c r="M152" i="2"/>
  <c r="M166" i="2"/>
  <c r="M177" i="2"/>
  <c r="M189" i="2"/>
  <c r="M202" i="2"/>
  <c r="M214" i="2"/>
  <c r="M225" i="2"/>
  <c r="M239" i="2"/>
  <c r="M250" i="2"/>
  <c r="M260" i="2"/>
  <c r="M272" i="2"/>
  <c r="M282" i="2"/>
  <c r="M292" i="2"/>
  <c r="M304" i="2"/>
  <c r="M314" i="2"/>
  <c r="M324" i="2"/>
  <c r="O44" i="2"/>
  <c r="O54" i="2"/>
  <c r="O63" i="2"/>
  <c r="O72" i="2"/>
  <c r="O82" i="2"/>
  <c r="O91" i="2"/>
  <c r="O100" i="2"/>
  <c r="O109" i="2"/>
  <c r="O118" i="2"/>
  <c r="O127" i="2"/>
  <c r="O136" i="2"/>
  <c r="O146" i="2"/>
  <c r="O155" i="2"/>
  <c r="O164" i="2"/>
  <c r="O173" i="2"/>
  <c r="O182" i="2"/>
  <c r="O191" i="2"/>
  <c r="O199" i="2"/>
  <c r="O207" i="2"/>
  <c r="O215" i="2"/>
  <c r="O223" i="2"/>
  <c r="O231" i="2"/>
  <c r="O239" i="2"/>
  <c r="O247" i="2"/>
  <c r="O255" i="2"/>
  <c r="O263" i="2"/>
  <c r="O271" i="2"/>
  <c r="O279" i="2"/>
  <c r="O287" i="2"/>
  <c r="O295" i="2"/>
  <c r="O303" i="2"/>
  <c r="O311" i="2"/>
  <c r="O319" i="2"/>
  <c r="O6" i="2"/>
  <c r="O14" i="2"/>
  <c r="O22" i="2"/>
  <c r="O30" i="2"/>
  <c r="M252" i="2"/>
  <c r="O46" i="2"/>
  <c r="O93" i="2"/>
  <c r="O130" i="2"/>
  <c r="O157" i="2"/>
  <c r="O201" i="2"/>
  <c r="O241" i="2"/>
  <c r="O281" i="2"/>
  <c r="L52" i="2"/>
  <c r="L74" i="2"/>
  <c r="L96" i="2"/>
  <c r="L116" i="2"/>
  <c r="L138" i="2"/>
  <c r="L160" i="2"/>
  <c r="L180" i="2"/>
  <c r="L202" i="2"/>
  <c r="L220" i="2"/>
  <c r="L234" i="2"/>
  <c r="L249" i="2"/>
  <c r="L264" i="2"/>
  <c r="L277" i="2"/>
  <c r="L293" i="2"/>
  <c r="L307" i="2"/>
  <c r="L322" i="2"/>
  <c r="M45" i="2"/>
  <c r="M58" i="2"/>
  <c r="M74" i="2"/>
  <c r="M88" i="2"/>
  <c r="M103" i="2"/>
  <c r="M118" i="2"/>
  <c r="M130" i="2"/>
  <c r="M142" i="2"/>
  <c r="M154" i="2"/>
  <c r="M167" i="2"/>
  <c r="M178" i="2"/>
  <c r="M191" i="2"/>
  <c r="M204" i="2"/>
  <c r="M215" i="2"/>
  <c r="M228" i="2"/>
  <c r="M240" i="2"/>
  <c r="M251" i="2"/>
  <c r="M262" i="2"/>
  <c r="M273" i="2"/>
  <c r="M283" i="2"/>
  <c r="M294" i="2"/>
  <c r="M305" i="2"/>
  <c r="M315" i="2"/>
  <c r="M326" i="2"/>
  <c r="O45" i="2"/>
  <c r="O55" i="2"/>
  <c r="O64" i="2"/>
  <c r="O74" i="2"/>
  <c r="O83" i="2"/>
  <c r="O92" i="2"/>
  <c r="O101" i="2"/>
  <c r="O110" i="2"/>
  <c r="O119" i="2"/>
  <c r="O128" i="2"/>
  <c r="O138" i="2"/>
  <c r="O147" i="2"/>
  <c r="O156" i="2"/>
  <c r="O165" i="2"/>
  <c r="O174" i="2"/>
  <c r="O183" i="2"/>
  <c r="O192" i="2"/>
  <c r="O200" i="2"/>
  <c r="O208" i="2"/>
  <c r="O216" i="2"/>
  <c r="O224" i="2"/>
  <c r="O232" i="2"/>
  <c r="O240" i="2"/>
  <c r="O248" i="2"/>
  <c r="O256" i="2"/>
  <c r="O264" i="2"/>
  <c r="O272" i="2"/>
  <c r="O280" i="2"/>
  <c r="O288" i="2"/>
  <c r="O296" i="2"/>
  <c r="O304" i="2"/>
  <c r="O312" i="2"/>
  <c r="O320" i="2"/>
  <c r="O7" i="2"/>
  <c r="O15" i="2"/>
  <c r="O23" i="2"/>
  <c r="O31" i="2"/>
  <c r="M216" i="2"/>
  <c r="M316" i="2"/>
  <c r="O66" i="2"/>
  <c r="O111" i="2"/>
  <c r="O166" i="2"/>
  <c r="O217" i="2"/>
  <c r="O257" i="2"/>
  <c r="O297" i="2"/>
  <c r="L53" i="2"/>
  <c r="L75" i="2"/>
  <c r="L97" i="2"/>
  <c r="L117" i="2"/>
  <c r="L139" i="2"/>
  <c r="L161" i="2"/>
  <c r="L181" i="2"/>
  <c r="L203" i="2"/>
  <c r="L221" i="2"/>
  <c r="L236" i="2"/>
  <c r="L250" i="2"/>
  <c r="L266" i="2"/>
  <c r="L280" i="2"/>
  <c r="L294" i="2"/>
  <c r="L309" i="2"/>
  <c r="L323" i="2"/>
  <c r="M47" i="2"/>
  <c r="M61" i="2"/>
  <c r="M76" i="2"/>
  <c r="M90" i="2"/>
  <c r="M104" i="2"/>
  <c r="M120" i="2"/>
  <c r="M132" i="2"/>
  <c r="M143" i="2"/>
  <c r="M157" i="2"/>
  <c r="M168" i="2"/>
  <c r="M180" i="2"/>
  <c r="M193" i="2"/>
  <c r="M205" i="2"/>
  <c r="M264" i="2"/>
  <c r="M274" i="2"/>
  <c r="M284" i="2"/>
  <c r="M296" i="2"/>
  <c r="O36" i="2"/>
  <c r="O56" i="2"/>
  <c r="O102" i="2"/>
  <c r="O148" i="2"/>
  <c r="O184" i="2"/>
  <c r="O225" i="2"/>
  <c r="O265" i="2"/>
  <c r="L57" i="2"/>
  <c r="L77" i="2"/>
  <c r="L99" i="2"/>
  <c r="L121" i="2"/>
  <c r="L141" i="2"/>
  <c r="L163" i="2"/>
  <c r="L185" i="2"/>
  <c r="L205" i="2"/>
  <c r="L222" i="2"/>
  <c r="L238" i="2"/>
  <c r="L252" i="2"/>
  <c r="L267" i="2"/>
  <c r="L282" i="2"/>
  <c r="L296" i="2"/>
  <c r="L312" i="2"/>
  <c r="L325" i="2"/>
  <c r="M48" i="2"/>
  <c r="M63" i="2"/>
  <c r="M77" i="2"/>
  <c r="M93" i="2"/>
  <c r="M106" i="2"/>
  <c r="M121" i="2"/>
  <c r="M133" i="2"/>
  <c r="M145" i="2"/>
  <c r="M158" i="2"/>
  <c r="M169" i="2"/>
  <c r="M182" i="2"/>
  <c r="M194" i="2"/>
  <c r="M206" i="2"/>
  <c r="M218" i="2"/>
  <c r="M231" i="2"/>
  <c r="M242" i="2"/>
  <c r="M254" i="2"/>
  <c r="M265" i="2"/>
  <c r="M275" i="2"/>
  <c r="M286" i="2"/>
  <c r="M297" i="2"/>
  <c r="M307" i="2"/>
  <c r="M318" i="2"/>
  <c r="O37" i="2"/>
  <c r="O47" i="2"/>
  <c r="O58" i="2"/>
  <c r="O67" i="2"/>
  <c r="O76" i="2"/>
  <c r="O85" i="2"/>
  <c r="O94" i="2"/>
  <c r="O103" i="2"/>
  <c r="O112" i="2"/>
  <c r="O122" i="2"/>
  <c r="O131" i="2"/>
  <c r="O140" i="2"/>
  <c r="O149" i="2"/>
  <c r="O158" i="2"/>
  <c r="O167" i="2"/>
  <c r="O176" i="2"/>
  <c r="O186" i="2"/>
  <c r="O194" i="2"/>
  <c r="O202" i="2"/>
  <c r="O210" i="2"/>
  <c r="O218" i="2"/>
  <c r="O226" i="2"/>
  <c r="O234" i="2"/>
  <c r="O242" i="2"/>
  <c r="O250" i="2"/>
  <c r="O258" i="2"/>
  <c r="O266" i="2"/>
  <c r="O274" i="2"/>
  <c r="O282" i="2"/>
  <c r="O290" i="2"/>
  <c r="O298" i="2"/>
  <c r="O306" i="2"/>
  <c r="O314" i="2"/>
  <c r="O322" i="2"/>
  <c r="O9" i="2"/>
  <c r="O17" i="2"/>
  <c r="O25" i="2"/>
  <c r="O33" i="2"/>
  <c r="L241" i="2"/>
  <c r="M81" i="2"/>
  <c r="M136" i="2"/>
  <c r="M173" i="2"/>
  <c r="M209" i="2"/>
  <c r="L41" i="2"/>
  <c r="L61" i="2"/>
  <c r="L83" i="2"/>
  <c r="L105" i="2"/>
  <c r="L125" i="2"/>
  <c r="L147" i="2"/>
  <c r="L169" i="2"/>
  <c r="L189" i="2"/>
  <c r="L211" i="2"/>
  <c r="L225" i="2"/>
  <c r="L240" i="2"/>
  <c r="L254" i="2"/>
  <c r="L268" i="2"/>
  <c r="L284" i="2"/>
  <c r="L298" i="2"/>
  <c r="L313" i="2"/>
  <c r="M36" i="2"/>
  <c r="M49" i="2"/>
  <c r="M65" i="2"/>
  <c r="M79" i="2"/>
  <c r="M94" i="2"/>
  <c r="M109" i="2"/>
  <c r="M122" i="2"/>
  <c r="M134" i="2"/>
  <c r="M148" i="2"/>
  <c r="M159" i="2"/>
  <c r="M170" i="2"/>
  <c r="M184" i="2"/>
  <c r="M196" i="2"/>
  <c r="M207" i="2"/>
  <c r="M221" i="2"/>
  <c r="M232" i="2"/>
  <c r="M244" i="2"/>
  <c r="M256" i="2"/>
  <c r="M266" i="2"/>
  <c r="M276" i="2"/>
  <c r="M288" i="2"/>
  <c r="M298" i="2"/>
  <c r="M308" i="2"/>
  <c r="M320" i="2"/>
  <c r="O38" i="2"/>
  <c r="O48" i="2"/>
  <c r="O59" i="2"/>
  <c r="O68" i="2"/>
  <c r="O77" i="2"/>
  <c r="O86" i="2"/>
  <c r="O95" i="2"/>
  <c r="O104" i="2"/>
  <c r="O114" i="2"/>
  <c r="O123" i="2"/>
  <c r="O132" i="2"/>
  <c r="O141" i="2"/>
  <c r="O150" i="2"/>
  <c r="O159" i="2"/>
  <c r="O168" i="2"/>
  <c r="O178" i="2"/>
  <c r="O187" i="2"/>
  <c r="O195" i="2"/>
  <c r="O203" i="2"/>
  <c r="O211" i="2"/>
  <c r="O219" i="2"/>
  <c r="O227" i="2"/>
  <c r="O235" i="2"/>
  <c r="O243" i="2"/>
  <c r="O251" i="2"/>
  <c r="O259" i="2"/>
  <c r="O267" i="2"/>
  <c r="O275" i="2"/>
  <c r="O283" i="2"/>
  <c r="O291" i="2"/>
  <c r="O299" i="2"/>
  <c r="O307" i="2"/>
  <c r="O315" i="2"/>
  <c r="O323" i="2"/>
  <c r="O10" i="2"/>
  <c r="O18" i="2"/>
  <c r="O26" i="2"/>
  <c r="O34" i="2"/>
  <c r="L227" i="2"/>
  <c r="M38" i="2"/>
  <c r="M66" i="2"/>
  <c r="M111" i="2"/>
  <c r="M149" i="2"/>
  <c r="M185" i="2"/>
  <c r="L42" i="2"/>
  <c r="L64" i="2"/>
  <c r="L84" i="2"/>
  <c r="L106" i="2"/>
  <c r="L128" i="2"/>
  <c r="L148" i="2"/>
  <c r="L170" i="2"/>
  <c r="L192" i="2"/>
  <c r="L212" i="2"/>
  <c r="L257" i="2"/>
  <c r="L270" i="2"/>
  <c r="L285" i="2"/>
  <c r="L300" i="2"/>
  <c r="L314" i="2"/>
  <c r="M52" i="2"/>
  <c r="M95" i="2"/>
  <c r="M124" i="2"/>
  <c r="M160" i="2"/>
  <c r="M197" i="2"/>
  <c r="M233" i="2"/>
  <c r="M321" i="2"/>
  <c r="O106" i="2"/>
  <c r="O179" i="2"/>
  <c r="O244" i="2"/>
  <c r="O300" i="2"/>
  <c r="O11" i="2"/>
  <c r="O292" i="2"/>
  <c r="M246" i="2"/>
  <c r="O39" i="2"/>
  <c r="O115" i="2"/>
  <c r="O188" i="2"/>
  <c r="O252" i="2"/>
  <c r="O305" i="2"/>
  <c r="O16" i="2"/>
  <c r="O212" i="2"/>
  <c r="O27" i="2"/>
  <c r="O87" i="2"/>
  <c r="M310" i="2"/>
  <c r="M257" i="2"/>
  <c r="O50" i="2"/>
  <c r="O124" i="2"/>
  <c r="O196" i="2"/>
  <c r="O260" i="2"/>
  <c r="O308" i="2"/>
  <c r="O19" i="2"/>
  <c r="O142" i="2"/>
  <c r="O316" i="2"/>
  <c r="O160" i="2"/>
  <c r="O170" i="2"/>
  <c r="M267" i="2"/>
  <c r="O60" i="2"/>
  <c r="O133" i="2"/>
  <c r="O204" i="2"/>
  <c r="O268" i="2"/>
  <c r="O313" i="2"/>
  <c r="O24" i="2"/>
  <c r="O69" i="2"/>
  <c r="O276" i="2"/>
  <c r="O228" i="2"/>
  <c r="O96" i="2"/>
  <c r="M278" i="2"/>
  <c r="O236" i="2"/>
  <c r="M289" i="2"/>
  <c r="O78" i="2"/>
  <c r="O151" i="2"/>
  <c r="O220" i="2"/>
  <c r="O284" i="2"/>
  <c r="O321" i="2"/>
  <c r="O32" i="2"/>
  <c r="M299" i="2"/>
  <c r="O289" i="2"/>
  <c r="O324" i="2"/>
  <c r="M222" i="2"/>
  <c r="O8" i="2"/>
  <c r="H40" i="5"/>
  <c r="K21" i="5"/>
  <c r="M11" i="2"/>
  <c r="K304" i="5"/>
  <c r="K94" i="5"/>
  <c r="H52" i="5"/>
  <c r="K306" i="5"/>
  <c r="I66" i="5"/>
  <c r="D24" i="2"/>
  <c r="I290" i="5"/>
  <c r="K199" i="5"/>
  <c r="L31" i="2"/>
  <c r="H141" i="5"/>
  <c r="H139" i="5"/>
  <c r="K89" i="5"/>
  <c r="F24" i="2"/>
  <c r="I212" i="5"/>
  <c r="D18" i="2"/>
  <c r="K127" i="5"/>
  <c r="I119" i="5"/>
  <c r="D18" i="1"/>
  <c r="O6" i="1"/>
  <c r="I108" i="5"/>
  <c r="H20" i="5"/>
  <c r="H198" i="5"/>
  <c r="G74" i="5"/>
  <c r="K285" i="5"/>
  <c r="H220" i="5"/>
  <c r="F23" i="1"/>
  <c r="K133" i="5"/>
  <c r="L17" i="2"/>
  <c r="O8" i="1"/>
  <c r="I138" i="5"/>
  <c r="G77" i="5"/>
  <c r="K121" i="5"/>
  <c r="G5" i="5"/>
  <c r="G178" i="5"/>
  <c r="K296" i="5"/>
  <c r="H42" i="5"/>
  <c r="I19" i="5"/>
  <c r="H153" i="5"/>
  <c r="H18" i="5"/>
  <c r="K176" i="5"/>
  <c r="I221" i="5"/>
  <c r="D11" i="1"/>
  <c r="H301" i="5"/>
  <c r="I267" i="5"/>
  <c r="G236" i="5"/>
  <c r="O30" i="1"/>
  <c r="I283" i="5"/>
  <c r="O27" i="1"/>
  <c r="D30" i="1"/>
  <c r="G96" i="5"/>
  <c r="I186" i="5"/>
  <c r="I227" i="5"/>
  <c r="F16" i="1"/>
  <c r="I279" i="5"/>
  <c r="I140" i="5"/>
  <c r="I75" i="5"/>
  <c r="G243" i="5"/>
  <c r="G64" i="5"/>
  <c r="H205" i="5"/>
  <c r="M26" i="2"/>
  <c r="C34" i="1"/>
  <c r="O9" i="1"/>
  <c r="H183" i="5"/>
  <c r="G172" i="5"/>
  <c r="G245" i="5"/>
  <c r="I225" i="5"/>
  <c r="K262" i="5"/>
  <c r="G122" i="5"/>
  <c r="G282" i="5"/>
  <c r="G286" i="5"/>
  <c r="K212" i="5"/>
  <c r="G281" i="5"/>
  <c r="I79" i="5"/>
  <c r="G48" i="5"/>
  <c r="H251" i="5"/>
  <c r="G58" i="5"/>
  <c r="K87" i="5"/>
  <c r="C21" i="2"/>
  <c r="K203" i="5"/>
  <c r="C31" i="1"/>
  <c r="O5" i="1"/>
  <c r="I33" i="5"/>
  <c r="I86" i="5"/>
  <c r="K95" i="5"/>
  <c r="G92" i="5"/>
  <c r="K273" i="5"/>
  <c r="H140" i="5"/>
  <c r="H288" i="5"/>
  <c r="L13" i="2"/>
  <c r="G181" i="5"/>
  <c r="I26" i="5"/>
  <c r="I139" i="5"/>
  <c r="C24" i="1"/>
  <c r="H37" i="5"/>
  <c r="H244" i="5"/>
  <c r="K81" i="5"/>
  <c r="G44" i="5"/>
  <c r="L19" i="2"/>
  <c r="G298" i="5"/>
  <c r="H31" i="5"/>
  <c r="G120" i="5"/>
  <c r="H11" i="5"/>
  <c r="G182" i="5"/>
  <c r="I269" i="5"/>
  <c r="G156" i="5"/>
  <c r="G262" i="5"/>
  <c r="G315" i="5"/>
  <c r="K108" i="5"/>
  <c r="G50" i="5"/>
  <c r="G316" i="5"/>
  <c r="H250" i="5"/>
  <c r="K24" i="5"/>
  <c r="H187" i="5"/>
  <c r="C26" i="2"/>
  <c r="D34" i="2"/>
  <c r="I294" i="5"/>
  <c r="I278" i="5"/>
  <c r="C17" i="1"/>
  <c r="I5" i="5"/>
  <c r="K148" i="5"/>
  <c r="K75" i="5"/>
  <c r="I58" i="5"/>
  <c r="M28" i="1"/>
  <c r="H24" i="5"/>
  <c r="H212" i="5"/>
  <c r="K22" i="5"/>
  <c r="G189" i="5"/>
  <c r="G132" i="5"/>
  <c r="O17" i="1"/>
  <c r="F25" i="1"/>
  <c r="K8" i="5"/>
  <c r="F6" i="2"/>
  <c r="G209" i="5"/>
  <c r="D9" i="2"/>
  <c r="K226" i="5"/>
  <c r="H56" i="5"/>
  <c r="M22" i="1"/>
  <c r="I268" i="5"/>
  <c r="G70" i="5"/>
  <c r="K234" i="5"/>
  <c r="M24" i="2"/>
  <c r="L7" i="2"/>
  <c r="K131" i="5"/>
  <c r="I275" i="5"/>
  <c r="K25" i="5"/>
  <c r="G41" i="5"/>
  <c r="C19" i="2"/>
  <c r="H180" i="5"/>
  <c r="I323" i="5"/>
  <c r="K65" i="5"/>
  <c r="K200" i="5"/>
  <c r="H44" i="5"/>
  <c r="I318" i="5"/>
  <c r="K27" i="5"/>
  <c r="H61" i="5"/>
  <c r="K120" i="5"/>
  <c r="H157" i="5"/>
  <c r="G153" i="5"/>
  <c r="K67" i="5"/>
  <c r="I324" i="5"/>
  <c r="I217" i="5"/>
  <c r="F19" i="2"/>
  <c r="H247" i="5"/>
  <c r="M26" i="1"/>
  <c r="H227" i="5"/>
  <c r="F15" i="1"/>
  <c r="G149" i="5"/>
  <c r="C24" i="2"/>
  <c r="G9" i="5"/>
  <c r="K74" i="5"/>
  <c r="I319" i="5"/>
  <c r="G205" i="5"/>
  <c r="H70" i="5"/>
  <c r="H12" i="5"/>
  <c r="O26" i="1"/>
  <c r="L24" i="2"/>
  <c r="K318" i="5"/>
  <c r="K115" i="5"/>
  <c r="O7" i="1"/>
  <c r="D16" i="1"/>
  <c r="I60" i="5"/>
  <c r="H21" i="5"/>
  <c r="H206" i="5"/>
  <c r="L9" i="2"/>
  <c r="I215" i="5"/>
  <c r="F17" i="1"/>
  <c r="H203" i="5"/>
  <c r="M17" i="2"/>
  <c r="H321" i="5"/>
  <c r="H96" i="5"/>
  <c r="K62" i="5"/>
  <c r="K7" i="5"/>
  <c r="I143" i="5"/>
  <c r="G276" i="5"/>
  <c r="F27" i="1"/>
  <c r="K213" i="5"/>
  <c r="C7" i="2"/>
  <c r="I239" i="5"/>
  <c r="M13" i="2"/>
  <c r="H190" i="5"/>
  <c r="M20" i="2"/>
  <c r="G28" i="5"/>
  <c r="L23" i="1"/>
  <c r="H240" i="5"/>
  <c r="H151" i="5"/>
  <c r="F34" i="2"/>
  <c r="F30" i="1"/>
  <c r="K109" i="5"/>
  <c r="H317" i="5"/>
  <c r="G145" i="5"/>
  <c r="G65" i="5"/>
  <c r="H166" i="5"/>
  <c r="H102" i="5"/>
  <c r="M27" i="2"/>
  <c r="K232" i="5"/>
  <c r="I206" i="5"/>
  <c r="K100" i="5"/>
  <c r="H106" i="5"/>
  <c r="F5" i="2"/>
  <c r="L11" i="1"/>
  <c r="G115" i="5"/>
  <c r="C20" i="1"/>
  <c r="G201" i="5"/>
  <c r="H231" i="5"/>
  <c r="I250" i="5"/>
  <c r="M29" i="1"/>
  <c r="K178" i="5"/>
  <c r="K54" i="5"/>
  <c r="K73" i="5"/>
  <c r="D16" i="2"/>
  <c r="K276" i="5"/>
  <c r="H76" i="5"/>
  <c r="K201" i="5"/>
  <c r="K43" i="5"/>
  <c r="K152" i="5"/>
  <c r="H142" i="5"/>
  <c r="G196" i="5"/>
  <c r="I25" i="5"/>
  <c r="G204" i="5"/>
  <c r="M16" i="2"/>
  <c r="K153" i="5"/>
  <c r="G275" i="5"/>
  <c r="K39" i="5"/>
  <c r="I13" i="5"/>
  <c r="M7" i="1"/>
  <c r="I232" i="5"/>
  <c r="G62" i="5"/>
  <c r="L31" i="1"/>
  <c r="I113" i="5"/>
  <c r="F9" i="1"/>
  <c r="H217" i="5"/>
  <c r="H194" i="5"/>
  <c r="D25" i="2"/>
  <c r="H95" i="5"/>
  <c r="G271" i="5"/>
  <c r="I170" i="5"/>
  <c r="K145" i="5"/>
  <c r="D24" i="1"/>
  <c r="H97" i="5"/>
  <c r="H122" i="5"/>
  <c r="H33" i="5"/>
  <c r="G217" i="5"/>
  <c r="G18" i="5"/>
  <c r="G125" i="5"/>
  <c r="H110" i="5"/>
  <c r="H100" i="5"/>
  <c r="G313" i="5"/>
  <c r="M23" i="2"/>
  <c r="M28" i="2"/>
  <c r="H242" i="5"/>
  <c r="G35" i="5"/>
  <c r="M33" i="1"/>
  <c r="K64" i="5"/>
  <c r="M22" i="2"/>
  <c r="K217" i="5"/>
  <c r="L19" i="1"/>
  <c r="C13" i="1"/>
  <c r="I23" i="5"/>
  <c r="G291" i="5"/>
  <c r="H195" i="5"/>
  <c r="K279" i="5"/>
  <c r="I70" i="5"/>
  <c r="C31" i="2"/>
  <c r="G124" i="5"/>
  <c r="K311" i="5"/>
  <c r="I229" i="5"/>
  <c r="G136" i="5"/>
  <c r="H316" i="5"/>
  <c r="I45" i="5"/>
  <c r="G170" i="5"/>
  <c r="K19" i="5"/>
  <c r="I297" i="5"/>
  <c r="I249" i="5"/>
  <c r="K209" i="5"/>
  <c r="K237" i="5"/>
  <c r="F7" i="1"/>
  <c r="I252" i="5"/>
  <c r="K179" i="5"/>
  <c r="F21" i="1"/>
  <c r="K101" i="5"/>
  <c r="H45" i="5"/>
  <c r="K250" i="5"/>
  <c r="I207" i="5"/>
  <c r="K280" i="5"/>
  <c r="K150" i="5"/>
  <c r="G251" i="5"/>
  <c r="I127" i="5"/>
  <c r="I42" i="5"/>
  <c r="K283" i="5"/>
  <c r="H15" i="5"/>
  <c r="I191" i="5"/>
  <c r="K252" i="5"/>
  <c r="C10" i="1"/>
  <c r="I198" i="5"/>
  <c r="K162" i="5"/>
  <c r="G218" i="5"/>
  <c r="G111" i="5"/>
  <c r="M5" i="2"/>
  <c r="I226" i="5"/>
  <c r="H26" i="5"/>
  <c r="F19" i="1"/>
  <c r="I172" i="5"/>
  <c r="O11" i="1"/>
  <c r="K128" i="5"/>
  <c r="K156" i="5"/>
  <c r="M29" i="2"/>
  <c r="L13" i="1"/>
  <c r="L12" i="1"/>
  <c r="G295" i="5"/>
  <c r="F10" i="2"/>
  <c r="G26" i="5"/>
  <c r="K60" i="5"/>
  <c r="K236" i="5"/>
  <c r="F22" i="2"/>
  <c r="G84" i="5"/>
  <c r="K141" i="5"/>
  <c r="H34" i="5"/>
  <c r="G60" i="5"/>
  <c r="D5" i="1"/>
  <c r="G123" i="5"/>
  <c r="H313" i="5"/>
  <c r="H238" i="5"/>
  <c r="G113" i="5"/>
  <c r="I137" i="5"/>
  <c r="G146" i="5"/>
  <c r="C11" i="1"/>
  <c r="I236" i="5"/>
  <c r="I125" i="5"/>
  <c r="K154" i="5"/>
  <c r="G318" i="5"/>
  <c r="C30" i="2"/>
  <c r="G312" i="5"/>
  <c r="K48" i="5"/>
  <c r="H113" i="5"/>
  <c r="H28" i="5"/>
  <c r="K239" i="5"/>
  <c r="H146" i="5"/>
  <c r="L5" i="1"/>
  <c r="K235" i="5"/>
  <c r="K248" i="5"/>
  <c r="H324" i="5"/>
  <c r="L11" i="2"/>
  <c r="K125" i="5"/>
  <c r="G319" i="5"/>
  <c r="F29" i="2"/>
  <c r="K114" i="5"/>
  <c r="K88" i="5"/>
  <c r="G185" i="5"/>
  <c r="K215" i="5"/>
  <c r="M10" i="2"/>
  <c r="G152" i="5"/>
  <c r="H287" i="5"/>
  <c r="F9" i="2"/>
  <c r="O16" i="1"/>
  <c r="K220" i="5"/>
  <c r="K264" i="5"/>
  <c r="L5" i="2"/>
  <c r="K185" i="5"/>
  <c r="G326" i="5"/>
  <c r="K136" i="5"/>
  <c r="G261" i="5"/>
  <c r="K56" i="5"/>
  <c r="I120" i="5"/>
  <c r="I107" i="5"/>
  <c r="G75" i="5"/>
  <c r="I301" i="5"/>
  <c r="H46" i="5"/>
  <c r="K295" i="5"/>
  <c r="K105" i="5"/>
  <c r="I71" i="5"/>
  <c r="G277" i="5"/>
  <c r="G73" i="5"/>
  <c r="O21" i="1"/>
  <c r="I306" i="5"/>
  <c r="I29" i="5"/>
  <c r="G242" i="5"/>
  <c r="K263" i="5"/>
  <c r="H150" i="5"/>
  <c r="K31" i="5"/>
  <c r="H159" i="5"/>
  <c r="K287" i="5"/>
  <c r="D8" i="2"/>
  <c r="L30" i="1"/>
  <c r="H311" i="5"/>
  <c r="K84" i="5"/>
  <c r="I231" i="5"/>
  <c r="K72" i="5"/>
  <c r="K155" i="5"/>
  <c r="H115" i="5"/>
  <c r="H135" i="5"/>
  <c r="H249" i="5"/>
  <c r="G214" i="5"/>
  <c r="H325" i="5"/>
  <c r="G220" i="5"/>
  <c r="I63" i="5"/>
  <c r="H222" i="5"/>
  <c r="H271" i="5"/>
  <c r="L12" i="2"/>
  <c r="G317" i="5"/>
  <c r="I69" i="5"/>
  <c r="F20" i="2"/>
  <c r="G267" i="5"/>
  <c r="G213" i="5"/>
  <c r="K228" i="5"/>
  <c r="G114" i="5"/>
  <c r="D7" i="1"/>
  <c r="D22" i="1"/>
  <c r="H78" i="5"/>
  <c r="D23" i="1"/>
  <c r="F26" i="1"/>
  <c r="K246" i="5"/>
  <c r="H243" i="5"/>
  <c r="L26" i="2"/>
  <c r="K151" i="5"/>
  <c r="K282" i="5"/>
  <c r="L6" i="1"/>
  <c r="K291" i="5"/>
  <c r="K223" i="5"/>
  <c r="M19" i="1"/>
  <c r="H17" i="5"/>
  <c r="K243" i="5"/>
  <c r="L7" i="1"/>
  <c r="H248" i="5"/>
  <c r="H188" i="5"/>
  <c r="I289" i="5"/>
  <c r="G72" i="5"/>
  <c r="G42" i="5"/>
  <c r="K168" i="5"/>
  <c r="H32" i="5"/>
  <c r="I142" i="5"/>
  <c r="H105" i="5"/>
  <c r="H148" i="5"/>
  <c r="D29" i="1"/>
  <c r="M30" i="2"/>
  <c r="K53" i="5"/>
  <c r="K284" i="5"/>
  <c r="H199" i="5"/>
  <c r="D27" i="1"/>
  <c r="H184" i="5"/>
  <c r="K117" i="5"/>
  <c r="G87" i="5"/>
  <c r="L32" i="1"/>
  <c r="K113" i="5"/>
  <c r="H269" i="5"/>
  <c r="K230" i="5"/>
  <c r="H172" i="5"/>
  <c r="I164" i="5"/>
  <c r="I168" i="5"/>
  <c r="F20" i="1"/>
  <c r="G321" i="5"/>
  <c r="K190" i="5"/>
  <c r="D12" i="1"/>
  <c r="I62" i="5"/>
  <c r="G197" i="5"/>
  <c r="D19" i="2"/>
  <c r="I163" i="5"/>
  <c r="H232" i="5"/>
  <c r="I238" i="5"/>
  <c r="K157" i="5"/>
  <c r="H306" i="5"/>
  <c r="I112" i="5"/>
  <c r="H225" i="5"/>
  <c r="L6" i="2"/>
  <c r="K261" i="5"/>
  <c r="K281" i="5"/>
  <c r="H58" i="5"/>
  <c r="K307" i="5"/>
  <c r="K110" i="5"/>
  <c r="I302" i="5"/>
  <c r="K231" i="5"/>
  <c r="L34" i="1"/>
  <c r="I141" i="5"/>
  <c r="K6" i="5"/>
  <c r="C12" i="2"/>
  <c r="I154" i="5"/>
  <c r="H13" i="5"/>
  <c r="H284" i="5"/>
  <c r="O19" i="1"/>
  <c r="C7" i="1"/>
  <c r="I274" i="5"/>
  <c r="L15" i="1"/>
  <c r="G314" i="5"/>
  <c r="K266" i="5"/>
  <c r="K305" i="5"/>
  <c r="G249" i="5"/>
  <c r="I36" i="5"/>
  <c r="G167" i="5"/>
  <c r="I264" i="5"/>
  <c r="O23" i="1"/>
  <c r="I156" i="5"/>
  <c r="K207" i="5"/>
  <c r="I61" i="5"/>
  <c r="G121" i="5"/>
  <c r="H99" i="5"/>
  <c r="I51" i="5"/>
  <c r="L25" i="2"/>
  <c r="M12" i="1"/>
  <c r="K135" i="5"/>
  <c r="H120" i="5"/>
  <c r="C22" i="2"/>
  <c r="G104" i="5"/>
  <c r="K44" i="5"/>
  <c r="I87" i="5"/>
  <c r="I214" i="5"/>
  <c r="H133" i="5"/>
  <c r="G256" i="5"/>
  <c r="M5" i="1"/>
  <c r="H200" i="5"/>
  <c r="K278" i="5"/>
  <c r="H261" i="5"/>
  <c r="G225" i="5"/>
  <c r="K300" i="5"/>
  <c r="D34" i="1"/>
  <c r="K34" i="5"/>
  <c r="G39" i="5"/>
  <c r="I304" i="5"/>
  <c r="G34" i="5"/>
  <c r="H315" i="5"/>
  <c r="K204" i="5"/>
  <c r="I52" i="5"/>
  <c r="G233" i="5"/>
  <c r="M32" i="1"/>
  <c r="G259" i="5"/>
  <c r="H30" i="5"/>
  <c r="I233" i="5"/>
  <c r="K147" i="5"/>
  <c r="C22" i="1"/>
  <c r="H290" i="5"/>
  <c r="K92" i="5"/>
  <c r="I189" i="5"/>
  <c r="H281" i="5"/>
  <c r="I202" i="5"/>
  <c r="H164" i="5"/>
  <c r="H117" i="5"/>
  <c r="G252" i="5"/>
  <c r="I150" i="5"/>
  <c r="G117" i="5"/>
  <c r="M21" i="1"/>
  <c r="K301" i="5"/>
  <c r="G95" i="5"/>
  <c r="I47" i="5"/>
  <c r="I8" i="5"/>
  <c r="K210" i="5"/>
  <c r="H155" i="5"/>
  <c r="K302" i="5"/>
  <c r="F31" i="2"/>
  <c r="G151" i="5"/>
  <c r="H53" i="5"/>
  <c r="I305" i="5"/>
  <c r="K241" i="5"/>
  <c r="H82" i="5"/>
  <c r="C5" i="2"/>
  <c r="L9" i="1"/>
  <c r="D32" i="2"/>
  <c r="K265" i="5"/>
  <c r="K277" i="5"/>
  <c r="K23" i="5"/>
  <c r="G299" i="5"/>
  <c r="O33" i="1"/>
  <c r="H229" i="5"/>
  <c r="K5" i="5"/>
  <c r="D28" i="2"/>
  <c r="H283" i="5"/>
  <c r="C33" i="1"/>
  <c r="H77" i="5"/>
  <c r="H260" i="5"/>
  <c r="H72" i="5"/>
  <c r="I21" i="5"/>
  <c r="I147" i="5"/>
  <c r="C9" i="1"/>
  <c r="H191" i="5"/>
  <c r="I133" i="5"/>
  <c r="K11" i="5"/>
  <c r="F32" i="1"/>
  <c r="I78" i="5"/>
  <c r="G288" i="5"/>
  <c r="I220" i="5"/>
  <c r="I157" i="5"/>
  <c r="G200" i="5"/>
  <c r="D13" i="1"/>
  <c r="I312" i="5"/>
  <c r="I193" i="5"/>
  <c r="K46" i="5"/>
  <c r="H276" i="5"/>
  <c r="I200" i="5"/>
  <c r="O18" i="1"/>
  <c r="K294" i="5"/>
  <c r="H221" i="5"/>
  <c r="L14" i="2"/>
  <c r="K33" i="5"/>
  <c r="C28" i="2"/>
  <c r="H270" i="5"/>
  <c r="C15" i="1"/>
  <c r="H41" i="5"/>
  <c r="K247" i="5"/>
  <c r="I95" i="5"/>
  <c r="M27" i="1"/>
  <c r="I282" i="5"/>
  <c r="K309" i="5"/>
  <c r="I216" i="5"/>
  <c r="I10" i="5"/>
  <c r="G268" i="5"/>
  <c r="H138" i="5"/>
  <c r="O24" i="1"/>
  <c r="K149" i="5"/>
  <c r="G94" i="5"/>
  <c r="F12" i="2"/>
  <c r="I160" i="5"/>
  <c r="G164" i="5"/>
  <c r="H323" i="5"/>
  <c r="D28" i="1"/>
  <c r="G306" i="5"/>
  <c r="C15" i="2"/>
  <c r="G91" i="5"/>
  <c r="H14" i="5"/>
  <c r="C19" i="1"/>
  <c r="K9" i="5"/>
  <c r="G109" i="5"/>
  <c r="C14" i="2"/>
  <c r="K41" i="5"/>
  <c r="G15" i="5"/>
  <c r="L29" i="2"/>
  <c r="I322" i="5"/>
  <c r="H48" i="5"/>
  <c r="K132" i="5"/>
  <c r="G279" i="5"/>
  <c r="G180" i="5"/>
  <c r="I88" i="5"/>
  <c r="F14" i="2"/>
  <c r="G231" i="5"/>
  <c r="K320" i="5"/>
  <c r="D13" i="2"/>
  <c r="D29" i="2"/>
  <c r="H319" i="5"/>
  <c r="I151" i="5"/>
  <c r="I251" i="5"/>
  <c r="F28" i="1"/>
  <c r="G52" i="5"/>
  <c r="H208" i="5"/>
  <c r="G221" i="5"/>
  <c r="I253" i="5"/>
  <c r="D8" i="1"/>
  <c r="I272" i="5"/>
  <c r="C6" i="1"/>
  <c r="D33" i="2"/>
  <c r="G68" i="5"/>
  <c r="L32" i="2"/>
  <c r="G160" i="5"/>
  <c r="F28" i="2"/>
  <c r="H54" i="5"/>
  <c r="M34" i="1"/>
  <c r="G103" i="5"/>
  <c r="K126" i="5"/>
  <c r="G89" i="5"/>
  <c r="G228" i="5"/>
  <c r="K314" i="5"/>
  <c r="C34" i="2"/>
  <c r="I54" i="5"/>
  <c r="L33" i="2"/>
  <c r="G148" i="5"/>
  <c r="G284" i="5"/>
  <c r="M9" i="2"/>
  <c r="G258" i="5"/>
  <c r="I300" i="5"/>
  <c r="G158" i="5"/>
  <c r="H71" i="5"/>
  <c r="K134" i="5"/>
  <c r="I187" i="5"/>
  <c r="H295" i="5"/>
  <c r="I177" i="5"/>
  <c r="I80" i="5"/>
  <c r="H285" i="5"/>
  <c r="F33" i="2"/>
  <c r="H19" i="5"/>
  <c r="I128" i="5"/>
  <c r="I92" i="5"/>
  <c r="L34" i="2"/>
  <c r="G301" i="5"/>
  <c r="G37" i="5"/>
  <c r="F26" i="2"/>
  <c r="G198" i="5"/>
  <c r="H265" i="5"/>
  <c r="G203" i="5"/>
  <c r="I57" i="5"/>
  <c r="H214" i="5"/>
  <c r="G14" i="5"/>
  <c r="I18" i="5"/>
  <c r="G127" i="5"/>
  <c r="H162" i="5"/>
  <c r="L18" i="1"/>
  <c r="G43" i="5"/>
  <c r="K259" i="5"/>
  <c r="G222" i="5"/>
  <c r="M12" i="2"/>
  <c r="H258" i="5"/>
  <c r="K86" i="5"/>
  <c r="K270" i="5"/>
  <c r="K77" i="5"/>
  <c r="H268" i="5"/>
  <c r="O13" i="1"/>
  <c r="K267" i="5"/>
  <c r="K251" i="5"/>
  <c r="G190" i="5"/>
  <c r="I291" i="5"/>
  <c r="H8" i="5"/>
  <c r="H7" i="5"/>
  <c r="G86" i="5"/>
  <c r="H112" i="5"/>
  <c r="O31" i="1"/>
  <c r="K240" i="5"/>
  <c r="H35" i="5"/>
  <c r="G159" i="5"/>
  <c r="G303" i="5"/>
  <c r="I287" i="5"/>
  <c r="G147" i="5"/>
  <c r="I131" i="5"/>
  <c r="I28" i="5"/>
  <c r="H176" i="5"/>
  <c r="I16" i="5"/>
  <c r="K218" i="5"/>
  <c r="K298" i="5"/>
  <c r="H111" i="5"/>
  <c r="I277" i="5"/>
  <c r="H179" i="5"/>
  <c r="H230" i="5"/>
  <c r="M16" i="1"/>
  <c r="F16" i="2"/>
  <c r="H108" i="5"/>
  <c r="L29" i="1"/>
  <c r="H216" i="5"/>
  <c r="D30" i="2"/>
  <c r="K129" i="5"/>
  <c r="I273" i="5"/>
  <c r="I203" i="5"/>
  <c r="G199" i="5"/>
  <c r="G240" i="5"/>
  <c r="K174" i="5"/>
  <c r="L20" i="1"/>
  <c r="H57" i="5"/>
  <c r="I144" i="5"/>
  <c r="G134" i="5"/>
  <c r="G272" i="5"/>
  <c r="G179" i="5"/>
  <c r="H59" i="5"/>
  <c r="K78" i="5"/>
  <c r="H310" i="5"/>
  <c r="C16" i="2"/>
  <c r="C18" i="2"/>
  <c r="I325" i="5"/>
  <c r="K69" i="5"/>
  <c r="D12" i="2"/>
  <c r="H174" i="5"/>
  <c r="H101" i="5"/>
  <c r="I270" i="5"/>
  <c r="K198" i="5"/>
  <c r="I209" i="5"/>
  <c r="K13" i="5"/>
  <c r="I68" i="5"/>
  <c r="G183" i="5"/>
  <c r="K229" i="5"/>
  <c r="G263" i="5"/>
  <c r="I314" i="5"/>
  <c r="I34" i="5"/>
  <c r="K249" i="5"/>
  <c r="H64" i="5"/>
  <c r="H267" i="5"/>
  <c r="G257" i="5"/>
  <c r="H50" i="5"/>
  <c r="G162" i="5"/>
  <c r="D10" i="1"/>
  <c r="I111" i="5"/>
  <c r="I208" i="5"/>
  <c r="I166" i="5"/>
  <c r="G206" i="5"/>
  <c r="I101" i="5"/>
  <c r="G210" i="5"/>
  <c r="G82" i="5"/>
  <c r="K256" i="5"/>
  <c r="H98" i="5"/>
  <c r="K194" i="5"/>
  <c r="I223" i="5"/>
  <c r="I76" i="5"/>
  <c r="H210" i="5"/>
  <c r="H152" i="5"/>
  <c r="I82" i="5"/>
  <c r="M25" i="1"/>
  <c r="G194" i="5"/>
  <c r="H136" i="5"/>
  <c r="G101" i="5"/>
  <c r="K324" i="5"/>
  <c r="K98" i="5"/>
  <c r="M34" i="2"/>
  <c r="K187" i="5"/>
  <c r="G310" i="5"/>
  <c r="K68" i="5"/>
  <c r="F31" i="1"/>
  <c r="I285" i="5"/>
  <c r="D10" i="2"/>
  <c r="G40" i="5"/>
  <c r="H94" i="5"/>
  <c r="G302" i="5"/>
  <c r="I37" i="5"/>
  <c r="H286" i="5"/>
  <c r="K36" i="5"/>
  <c r="I55" i="5"/>
  <c r="M18" i="2"/>
  <c r="I192" i="5"/>
  <c r="G49" i="5"/>
  <c r="L21" i="1"/>
  <c r="I205" i="5"/>
  <c r="I102" i="5"/>
  <c r="I240" i="5"/>
  <c r="K30" i="5"/>
  <c r="C6" i="2"/>
  <c r="H160" i="5"/>
  <c r="G165" i="5"/>
  <c r="I116" i="5"/>
  <c r="K165" i="5"/>
  <c r="C18" i="1"/>
  <c r="K28" i="5"/>
  <c r="I99" i="5"/>
  <c r="H189" i="5"/>
  <c r="G99" i="5"/>
  <c r="O12" i="1"/>
  <c r="K180" i="5"/>
  <c r="D14" i="2"/>
  <c r="I97" i="5"/>
  <c r="H299" i="5"/>
  <c r="I7" i="5"/>
  <c r="H302" i="5"/>
  <c r="D31" i="1"/>
  <c r="C14" i="1"/>
  <c r="G175" i="5"/>
  <c r="O20" i="1"/>
  <c r="D19" i="1"/>
  <c r="L30" i="2"/>
  <c r="I117" i="5"/>
  <c r="M31" i="2"/>
  <c r="H257" i="5"/>
  <c r="H181" i="5"/>
  <c r="F29" i="1"/>
  <c r="D11" i="2"/>
  <c r="K297" i="5"/>
  <c r="K299" i="5"/>
  <c r="F7" i="2"/>
  <c r="I213" i="5"/>
  <c r="D15" i="1"/>
  <c r="K293" i="5"/>
  <c r="H128" i="5"/>
  <c r="K216" i="5"/>
  <c r="G133" i="5"/>
  <c r="I178" i="5"/>
  <c r="C12" i="1"/>
  <c r="G51" i="5"/>
  <c r="F11" i="2"/>
  <c r="K91" i="5"/>
  <c r="D15" i="2"/>
  <c r="H38" i="5"/>
  <c r="G294" i="5"/>
  <c r="I35" i="5"/>
  <c r="G255" i="5"/>
  <c r="K82" i="5"/>
  <c r="K15" i="5"/>
  <c r="K163" i="5"/>
  <c r="K189" i="5"/>
  <c r="K142" i="5"/>
  <c r="H170" i="5"/>
  <c r="G119" i="5"/>
  <c r="I188" i="5"/>
  <c r="K61" i="5"/>
  <c r="K32" i="5"/>
  <c r="F5" i="1"/>
  <c r="O22" i="1"/>
  <c r="H213" i="5"/>
  <c r="G254" i="5"/>
  <c r="I31" i="5"/>
  <c r="G154" i="5"/>
  <c r="H93" i="5"/>
  <c r="M20" i="1"/>
  <c r="H65" i="5"/>
  <c r="G54" i="5"/>
  <c r="F13" i="2"/>
  <c r="K253" i="5"/>
  <c r="G16" i="5"/>
  <c r="I288" i="5"/>
  <c r="G55" i="5"/>
  <c r="M13" i="1"/>
  <c r="D9" i="1"/>
  <c r="G69" i="5"/>
  <c r="L24" i="1"/>
  <c r="I53" i="5"/>
  <c r="H143" i="5"/>
  <c r="K70" i="5"/>
  <c r="D17" i="1"/>
  <c r="F6" i="1"/>
  <c r="K20" i="5"/>
  <c r="F18" i="1"/>
  <c r="G166" i="5"/>
  <c r="G98" i="5"/>
  <c r="K40" i="5"/>
  <c r="L28" i="2"/>
  <c r="H79" i="5"/>
  <c r="H234" i="5"/>
  <c r="I307" i="5"/>
  <c r="K66" i="5"/>
  <c r="K258" i="5"/>
  <c r="K10" i="5"/>
  <c r="I185" i="5"/>
  <c r="K167" i="5"/>
  <c r="G289" i="5"/>
  <c r="G192" i="5"/>
  <c r="G6" i="5"/>
  <c r="G278" i="5"/>
  <c r="K122" i="5"/>
  <c r="H309" i="5"/>
  <c r="G174" i="5"/>
  <c r="H39" i="5"/>
  <c r="H224" i="5"/>
  <c r="G297" i="5"/>
  <c r="K171" i="5"/>
  <c r="K192" i="5"/>
  <c r="L23" i="2"/>
  <c r="G20" i="5"/>
  <c r="M24" i="1"/>
  <c r="K169" i="5"/>
  <c r="G90" i="5"/>
  <c r="K103" i="5"/>
  <c r="M8" i="1"/>
  <c r="H109" i="5"/>
  <c r="M30" i="1"/>
  <c r="G219" i="5"/>
  <c r="K182" i="5"/>
  <c r="H127" i="5"/>
  <c r="O32" i="1"/>
  <c r="K51" i="5"/>
  <c r="F8" i="2"/>
  <c r="I280" i="5"/>
  <c r="I266" i="5"/>
  <c r="G135" i="5"/>
  <c r="K274" i="5"/>
  <c r="G232" i="5"/>
  <c r="K170" i="5"/>
  <c r="I308" i="5"/>
  <c r="K79" i="5"/>
  <c r="M21" i="2"/>
  <c r="K312" i="5"/>
  <c r="O25" i="1"/>
  <c r="H278" i="5"/>
  <c r="K119" i="5"/>
  <c r="K268" i="5"/>
  <c r="G24" i="5"/>
  <c r="H201" i="5"/>
  <c r="K137" i="5"/>
  <c r="K181" i="5"/>
  <c r="F24" i="1"/>
  <c r="H168" i="5"/>
  <c r="H158" i="5"/>
  <c r="I310" i="5"/>
  <c r="K97" i="5"/>
  <c r="H123" i="5"/>
  <c r="K58" i="5"/>
  <c r="F34" i="1"/>
  <c r="I149" i="5"/>
  <c r="K14" i="5"/>
  <c r="H192" i="5"/>
  <c r="M7" i="2"/>
  <c r="G187" i="5"/>
  <c r="G76" i="5"/>
  <c r="G325" i="5"/>
  <c r="D17" i="2"/>
  <c r="G102" i="5"/>
  <c r="K286" i="5"/>
  <c r="G108" i="5"/>
  <c r="I73" i="5"/>
  <c r="D33" i="1"/>
  <c r="I46" i="5"/>
  <c r="I67" i="5"/>
  <c r="D27" i="2"/>
  <c r="K219" i="5"/>
  <c r="I118" i="5"/>
  <c r="K195" i="5"/>
  <c r="H215" i="5"/>
  <c r="G248" i="5"/>
  <c r="K118" i="5"/>
  <c r="G106" i="5"/>
  <c r="K111" i="5"/>
  <c r="G31" i="5"/>
  <c r="G169" i="5"/>
  <c r="H322" i="5"/>
  <c r="H255" i="5"/>
  <c r="G239" i="5"/>
  <c r="G129" i="5"/>
  <c r="G81" i="5"/>
  <c r="K164" i="5"/>
  <c r="G10" i="5"/>
  <c r="F14" i="1"/>
  <c r="H185" i="5"/>
  <c r="G63" i="5"/>
  <c r="F10" i="1"/>
  <c r="G46" i="5"/>
  <c r="H91" i="5"/>
  <c r="H85" i="5"/>
  <c r="C10" i="2"/>
  <c r="G215" i="5"/>
  <c r="K172" i="5"/>
  <c r="K196" i="5"/>
  <c r="K57" i="5"/>
  <c r="G97" i="5"/>
  <c r="G171" i="5"/>
  <c r="K193" i="5"/>
  <c r="I146" i="5"/>
  <c r="L10" i="1"/>
  <c r="G19" i="5"/>
  <c r="K290" i="5"/>
  <c r="I320" i="5"/>
  <c r="G7" i="5"/>
  <c r="C27" i="2"/>
  <c r="H182" i="5"/>
  <c r="L22" i="1"/>
  <c r="K245" i="5"/>
  <c r="I195" i="5"/>
  <c r="H308" i="5"/>
  <c r="G38" i="5"/>
  <c r="G80" i="5"/>
  <c r="K317" i="5"/>
  <c r="I39" i="5"/>
  <c r="G304" i="5"/>
  <c r="H219" i="5"/>
  <c r="H55" i="5"/>
  <c r="G247" i="5"/>
  <c r="I262" i="5"/>
  <c r="C23" i="1"/>
  <c r="C25" i="1"/>
  <c r="H126" i="5"/>
  <c r="K116" i="5"/>
  <c r="G85" i="5"/>
  <c r="C11" i="2"/>
  <c r="H264" i="5"/>
  <c r="I15" i="5"/>
  <c r="H245" i="5"/>
  <c r="G238" i="5"/>
  <c r="I276" i="5"/>
  <c r="I83" i="5"/>
  <c r="H304" i="5"/>
  <c r="D6" i="1"/>
  <c r="I162" i="5"/>
  <c r="M11" i="1"/>
  <c r="H132" i="5"/>
  <c r="K146" i="5"/>
  <c r="I158" i="5"/>
  <c r="H73" i="5"/>
  <c r="I20" i="5"/>
  <c r="H204" i="5"/>
  <c r="G177" i="5"/>
  <c r="F13" i="1"/>
  <c r="D20" i="1"/>
  <c r="H163" i="5"/>
  <c r="G36" i="5"/>
  <c r="I181" i="5"/>
  <c r="H207" i="5"/>
  <c r="K12" i="5"/>
  <c r="G195" i="5"/>
  <c r="H129" i="5"/>
  <c r="G235" i="5"/>
  <c r="K206" i="5"/>
  <c r="M31" i="1"/>
  <c r="L22" i="2"/>
  <c r="G12" i="5"/>
  <c r="F11" i="1"/>
  <c r="G23" i="5"/>
  <c r="I100" i="5"/>
  <c r="I243" i="5"/>
  <c r="L16" i="1"/>
  <c r="G57" i="5"/>
  <c r="H88" i="5"/>
  <c r="D6" i="2"/>
  <c r="M15" i="1"/>
  <c r="I109" i="5"/>
  <c r="I72" i="5"/>
  <c r="H144" i="5"/>
  <c r="I22" i="5"/>
  <c r="G17" i="5"/>
  <c r="G285" i="5"/>
  <c r="G79" i="5"/>
  <c r="G320" i="5"/>
  <c r="I56" i="5"/>
  <c r="I159" i="5"/>
  <c r="M19" i="2"/>
  <c r="G59" i="5"/>
  <c r="K35" i="5"/>
  <c r="I174" i="5"/>
  <c r="H69" i="5"/>
  <c r="H293" i="5"/>
  <c r="L20" i="2"/>
  <c r="K221" i="5"/>
  <c r="H145" i="5"/>
  <c r="F17" i="2"/>
  <c r="M6" i="1"/>
  <c r="L16" i="2"/>
  <c r="H262" i="5"/>
  <c r="H241" i="5"/>
  <c r="K242" i="5"/>
  <c r="I173" i="5"/>
  <c r="G107" i="5"/>
  <c r="H75" i="5"/>
  <c r="H89" i="5"/>
  <c r="H266" i="5"/>
  <c r="I311" i="5"/>
  <c r="G300" i="5"/>
  <c r="G296" i="5"/>
  <c r="G33" i="5"/>
  <c r="G274" i="5"/>
  <c r="K26" i="5"/>
  <c r="K183" i="5"/>
  <c r="H6" i="5"/>
  <c r="K159" i="5"/>
  <c r="G208" i="5"/>
  <c r="G293" i="5"/>
  <c r="D26" i="2"/>
  <c r="H10" i="5"/>
  <c r="G128" i="5"/>
  <c r="I235" i="5"/>
  <c r="G184" i="5"/>
  <c r="I167" i="5"/>
  <c r="M32" i="2"/>
  <c r="I89" i="5"/>
  <c r="K52" i="5"/>
  <c r="I98" i="5"/>
  <c r="H149" i="5"/>
  <c r="H86" i="5"/>
  <c r="I259" i="5"/>
  <c r="C5" i="1"/>
  <c r="H36" i="5"/>
  <c r="O10" i="1"/>
  <c r="G280" i="5"/>
  <c r="I155" i="5"/>
  <c r="K50" i="5"/>
  <c r="H63" i="5"/>
  <c r="H119" i="5"/>
  <c r="I105" i="5"/>
  <c r="K214" i="5"/>
  <c r="L28" i="1"/>
  <c r="I234" i="5"/>
  <c r="H209" i="5"/>
  <c r="H239" i="5"/>
  <c r="I196" i="5"/>
  <c r="G161" i="5"/>
  <c r="I326" i="5"/>
  <c r="H5" i="5"/>
  <c r="I284" i="5"/>
  <c r="K76" i="5"/>
  <c r="G141" i="5"/>
  <c r="I17" i="5"/>
  <c r="G273" i="5"/>
  <c r="I230" i="5"/>
  <c r="L17" i="1"/>
  <c r="I309" i="5"/>
  <c r="I90" i="5"/>
  <c r="K211" i="5"/>
  <c r="M9" i="1"/>
  <c r="G264" i="5"/>
  <c r="K310" i="5"/>
  <c r="H235" i="5"/>
  <c r="G176" i="5"/>
  <c r="F21" i="2"/>
  <c r="I161" i="5"/>
  <c r="I126" i="5"/>
  <c r="I106" i="5"/>
  <c r="K186" i="5"/>
  <c r="K161" i="5"/>
  <c r="L8" i="2"/>
  <c r="I210" i="5"/>
  <c r="I136" i="5"/>
  <c r="K254" i="5"/>
  <c r="K325" i="5"/>
  <c r="K80" i="5"/>
  <c r="G311" i="5"/>
  <c r="G250" i="5"/>
  <c r="G100" i="5"/>
  <c r="H256" i="5"/>
  <c r="H218" i="5"/>
  <c r="G287" i="5"/>
  <c r="H43" i="5"/>
  <c r="C27" i="1"/>
  <c r="I9" i="5"/>
  <c r="K49" i="5"/>
  <c r="I122" i="5"/>
  <c r="H49" i="5"/>
  <c r="K55" i="5"/>
  <c r="I254" i="5"/>
  <c r="H228" i="5"/>
  <c r="F33" i="1"/>
  <c r="O29" i="1"/>
  <c r="H23" i="5"/>
  <c r="K38" i="5"/>
  <c r="I153" i="5"/>
  <c r="I27" i="5"/>
  <c r="K227" i="5"/>
  <c r="I299" i="5"/>
  <c r="K269" i="5"/>
  <c r="H66" i="5"/>
  <c r="I165" i="5"/>
  <c r="K323" i="5"/>
  <c r="I255" i="5"/>
  <c r="K93" i="5"/>
  <c r="I179" i="5"/>
  <c r="I85" i="5"/>
  <c r="I247" i="5"/>
  <c r="I292" i="5"/>
  <c r="C8" i="1"/>
  <c r="K188" i="5"/>
  <c r="I184" i="5"/>
  <c r="H307" i="5"/>
  <c r="I171" i="5"/>
  <c r="K99" i="5"/>
  <c r="G207" i="5"/>
  <c r="G78" i="5"/>
  <c r="L14" i="1"/>
  <c r="G309" i="5"/>
  <c r="H171" i="5"/>
  <c r="H27" i="5"/>
  <c r="I77" i="5"/>
  <c r="H197" i="5"/>
  <c r="C29" i="2"/>
  <c r="H116" i="5"/>
  <c r="O34" i="1"/>
  <c r="H104" i="5"/>
  <c r="G226" i="5"/>
  <c r="G11" i="5"/>
  <c r="G188" i="5"/>
  <c r="H274" i="5"/>
  <c r="D21" i="1"/>
  <c r="K16" i="5"/>
  <c r="F12" i="1"/>
  <c r="I104" i="5"/>
  <c r="C21" i="1"/>
  <c r="G13" i="5"/>
  <c r="H84" i="5"/>
  <c r="K175" i="5"/>
  <c r="G53" i="5"/>
  <c r="D21" i="2"/>
  <c r="K96" i="5"/>
  <c r="I303" i="5"/>
  <c r="C13" i="2"/>
  <c r="G56" i="5"/>
  <c r="H305" i="5"/>
  <c r="I201" i="5"/>
  <c r="G155" i="5"/>
  <c r="G269" i="5"/>
  <c r="K143" i="5"/>
  <c r="I74" i="5"/>
  <c r="I317" i="5"/>
  <c r="F8" i="1"/>
  <c r="I81" i="5"/>
  <c r="F32" i="2"/>
  <c r="I261" i="5"/>
  <c r="I199" i="5"/>
  <c r="G21" i="5"/>
  <c r="G246" i="5"/>
  <c r="L27" i="2"/>
  <c r="H154" i="5"/>
  <c r="G241" i="5"/>
  <c r="C33" i="2"/>
  <c r="I32" i="5"/>
  <c r="K222" i="5"/>
  <c r="C29" i="1"/>
  <c r="H83" i="5"/>
  <c r="M10" i="1"/>
  <c r="H67" i="5"/>
  <c r="C28" i="1"/>
  <c r="H169" i="5"/>
  <c r="I260" i="5"/>
  <c r="K288" i="5"/>
  <c r="I93" i="5"/>
  <c r="G290" i="5"/>
  <c r="K45" i="5"/>
  <c r="I94" i="5"/>
  <c r="M17" i="1"/>
  <c r="F30" i="2"/>
  <c r="K139" i="5"/>
  <c r="D26" i="1"/>
  <c r="K71" i="5"/>
  <c r="H279" i="5"/>
  <c r="I295" i="5"/>
  <c r="G223" i="5"/>
  <c r="G27" i="5"/>
  <c r="K319" i="5"/>
  <c r="H277" i="5"/>
  <c r="K303" i="5"/>
  <c r="K59" i="5"/>
  <c r="H81" i="5"/>
  <c r="H156" i="5"/>
  <c r="I257" i="5"/>
  <c r="I211" i="5"/>
  <c r="I30" i="5"/>
  <c r="L18" i="2"/>
  <c r="K106" i="5"/>
  <c r="F27" i="2"/>
  <c r="D32" i="1"/>
  <c r="G323" i="5"/>
  <c r="F18" i="2"/>
  <c r="I38" i="5"/>
  <c r="H22" i="5"/>
  <c r="H314" i="5"/>
  <c r="G88" i="5"/>
  <c r="I316" i="5"/>
  <c r="D20" i="2"/>
  <c r="G229" i="5"/>
  <c r="H289" i="5"/>
  <c r="I145" i="5"/>
  <c r="M14" i="1"/>
  <c r="G71" i="5"/>
  <c r="I48" i="5"/>
  <c r="I129" i="5"/>
  <c r="I132" i="5"/>
  <c r="K313" i="5"/>
  <c r="G168" i="5"/>
  <c r="K124" i="5"/>
  <c r="I313" i="5"/>
  <c r="I44" i="5"/>
  <c r="K107" i="5"/>
  <c r="G142" i="5"/>
  <c r="H186" i="5"/>
  <c r="G105" i="5"/>
  <c r="I248" i="5"/>
  <c r="K18" i="5"/>
  <c r="H74" i="5"/>
  <c r="D23" i="2"/>
  <c r="D14" i="1"/>
  <c r="G216" i="5"/>
  <c r="H9" i="5"/>
  <c r="I110" i="5"/>
  <c r="I6" i="5"/>
  <c r="K233" i="5"/>
  <c r="H161" i="5"/>
  <c r="O15" i="1"/>
  <c r="I59" i="5"/>
  <c r="D22" i="2"/>
  <c r="L15" i="2"/>
  <c r="G150" i="5"/>
  <c r="H298" i="5"/>
  <c r="H282" i="5"/>
  <c r="G131" i="5"/>
  <c r="G22" i="5"/>
  <c r="K225" i="5"/>
  <c r="I219" i="5"/>
  <c r="H193" i="5"/>
  <c r="K292" i="5"/>
  <c r="C23" i="2"/>
  <c r="H147" i="5"/>
  <c r="K308" i="5"/>
  <c r="I265" i="5"/>
  <c r="G29" i="5"/>
  <c r="K316" i="5"/>
  <c r="M6" i="2"/>
  <c r="I24" i="5"/>
  <c r="K197" i="5"/>
  <c r="G8" i="5"/>
  <c r="I176" i="5"/>
  <c r="I241" i="5"/>
  <c r="H202" i="5"/>
  <c r="H252" i="5"/>
  <c r="H68" i="5"/>
  <c r="F15" i="2"/>
  <c r="G191" i="5"/>
  <c r="H92" i="5"/>
  <c r="I182" i="5"/>
  <c r="H300" i="5"/>
  <c r="F22" i="1"/>
  <c r="I263" i="5"/>
  <c r="H118" i="5"/>
  <c r="H296" i="5"/>
  <c r="H130" i="5"/>
  <c r="G118" i="5"/>
  <c r="G45" i="5"/>
  <c r="G193" i="5"/>
  <c r="I286" i="5"/>
  <c r="F23" i="2"/>
  <c r="H178" i="5"/>
  <c r="K224" i="5"/>
  <c r="C30" i="1"/>
  <c r="G112" i="5"/>
  <c r="G67" i="5"/>
  <c r="I135" i="5"/>
  <c r="H233" i="5"/>
  <c r="G32" i="5"/>
  <c r="H51" i="5"/>
  <c r="H303" i="5"/>
  <c r="F25" i="2"/>
  <c r="H275" i="5"/>
  <c r="C9" i="2"/>
  <c r="G83" i="5"/>
  <c r="I152" i="5"/>
  <c r="K83" i="5"/>
  <c r="H318" i="5"/>
  <c r="G307" i="5"/>
  <c r="I96" i="5"/>
  <c r="G292" i="5"/>
  <c r="M8" i="2"/>
  <c r="G93" i="5"/>
  <c r="C8" i="2"/>
  <c r="I175" i="5"/>
  <c r="I244" i="5"/>
  <c r="I43" i="5"/>
  <c r="H297" i="5"/>
  <c r="K63" i="5"/>
  <c r="I115" i="5"/>
  <c r="I11" i="5"/>
  <c r="L27" i="1"/>
  <c r="K29" i="5"/>
  <c r="C20" i="2"/>
  <c r="G144" i="5"/>
  <c r="I293" i="5"/>
  <c r="K202" i="5"/>
  <c r="H326" i="5"/>
  <c r="H62" i="5"/>
  <c r="H253" i="5"/>
  <c r="I197" i="5"/>
  <c r="O5" i="2"/>
  <c r="I65" i="5"/>
  <c r="H292" i="5"/>
  <c r="I281" i="5"/>
  <c r="K140" i="5"/>
  <c r="C26" i="1"/>
  <c r="K289" i="5"/>
  <c r="I296" i="5"/>
  <c r="I258" i="5"/>
  <c r="I84" i="5"/>
  <c r="K42" i="5"/>
  <c r="H175" i="5"/>
  <c r="K102" i="5"/>
  <c r="I271" i="5"/>
  <c r="H211" i="5"/>
  <c r="G186" i="5"/>
  <c r="C16" i="1"/>
  <c r="H236" i="5"/>
  <c r="I218" i="5"/>
  <c r="G138" i="5"/>
  <c r="I134" i="5"/>
  <c r="K205" i="5"/>
  <c r="H273" i="5"/>
  <c r="O28" i="1"/>
  <c r="G265" i="5"/>
  <c r="G234" i="5"/>
  <c r="H167" i="5"/>
  <c r="H107" i="5"/>
  <c r="H137" i="5"/>
  <c r="H177" i="5"/>
  <c r="H124" i="5"/>
  <c r="K158" i="5"/>
  <c r="I103" i="5"/>
  <c r="I246" i="5"/>
  <c r="I64" i="5"/>
  <c r="K112" i="5"/>
  <c r="G66" i="5"/>
  <c r="K255" i="5"/>
  <c r="K160" i="5"/>
  <c r="K238" i="5"/>
  <c r="I14" i="5"/>
  <c r="M18" i="1"/>
  <c r="G163" i="5"/>
  <c r="I130" i="5"/>
  <c r="I91" i="5"/>
  <c r="G116" i="5"/>
  <c r="H263" i="5"/>
  <c r="O14" i="1"/>
  <c r="K208" i="5"/>
  <c r="G244" i="5"/>
  <c r="K191" i="5"/>
  <c r="K275" i="5"/>
  <c r="M15" i="2"/>
  <c r="G283" i="5"/>
  <c r="H272" i="5"/>
  <c r="H259" i="5"/>
  <c r="G308" i="5"/>
  <c r="G324" i="5"/>
  <c r="H165" i="5"/>
  <c r="G260" i="5"/>
  <c r="G139" i="5"/>
  <c r="K47" i="5"/>
  <c r="K177" i="5"/>
  <c r="H121" i="5"/>
  <c r="L33" i="1"/>
  <c r="H25" i="5"/>
  <c r="K123" i="5"/>
  <c r="H254" i="5"/>
  <c r="G25" i="5"/>
  <c r="I228" i="5"/>
  <c r="I204" i="5"/>
  <c r="K321" i="5"/>
  <c r="K90" i="5"/>
  <c r="H60" i="5"/>
  <c r="H87" i="5"/>
  <c r="I148" i="5"/>
  <c r="G253" i="5"/>
  <c r="G224" i="5"/>
  <c r="G110" i="5"/>
  <c r="G266" i="5"/>
  <c r="C32" i="1"/>
  <c r="I183" i="5"/>
  <c r="H173" i="5"/>
  <c r="K326" i="5"/>
  <c r="H103" i="5"/>
  <c r="I121" i="5"/>
  <c r="I41" i="5"/>
  <c r="G173" i="5"/>
  <c r="H223" i="5"/>
  <c r="G140" i="5"/>
  <c r="D7" i="2"/>
  <c r="M14" i="2"/>
  <c r="G305" i="5"/>
  <c r="L10" i="2"/>
  <c r="G126" i="5"/>
  <c r="G212" i="5"/>
  <c r="K271" i="5"/>
  <c r="C17" i="2"/>
  <c r="H131" i="5"/>
  <c r="G237" i="5"/>
  <c r="G47" i="5"/>
  <c r="I194" i="5"/>
  <c r="D5" i="2"/>
  <c r="H246" i="5"/>
  <c r="G130" i="5"/>
  <c r="I40" i="5"/>
  <c r="H196" i="5"/>
  <c r="I256" i="5"/>
  <c r="I169" i="5"/>
  <c r="G322" i="5"/>
  <c r="K85" i="5"/>
  <c r="G230" i="5"/>
  <c r="I124" i="5"/>
  <c r="G30" i="5"/>
  <c r="L26" i="1"/>
  <c r="I224" i="5"/>
  <c r="M25" i="2"/>
  <c r="K315" i="5"/>
  <c r="I222" i="5"/>
  <c r="K166" i="5"/>
  <c r="L8" i="1"/>
  <c r="G157" i="5"/>
  <c r="K272" i="5"/>
  <c r="C25" i="2"/>
  <c r="H16" i="5"/>
  <c r="G137" i="5"/>
  <c r="I245" i="5"/>
  <c r="H226" i="5"/>
  <c r="H134" i="5"/>
  <c r="I49" i="5"/>
  <c r="K244" i="5"/>
  <c r="K257" i="5"/>
  <c r="I237" i="5"/>
  <c r="K144" i="5"/>
  <c r="M33" i="2"/>
  <c r="K260" i="5"/>
  <c r="I315" i="5"/>
  <c r="I190" i="5"/>
  <c r="H291" i="5"/>
  <c r="H80" i="5"/>
  <c r="H47" i="5"/>
  <c r="I180" i="5"/>
  <c r="I298" i="5"/>
  <c r="K184" i="5"/>
  <c r="K130" i="5"/>
  <c r="G211" i="5"/>
  <c r="G202" i="5"/>
  <c r="I123" i="5"/>
  <c r="M23" i="1"/>
  <c r="L21" i="2"/>
  <c r="H320" i="5"/>
  <c r="G270" i="5"/>
  <c r="I321" i="5"/>
  <c r="K138" i="5"/>
  <c r="K37" i="5"/>
  <c r="G143" i="5"/>
  <c r="H237" i="5"/>
  <c r="L25" i="1"/>
  <c r="H280" i="5"/>
  <c r="K173" i="5"/>
  <c r="H90" i="5"/>
  <c r="G227" i="5"/>
  <c r="D31" i="2"/>
  <c r="I12" i="5"/>
  <c r="I114" i="5"/>
  <c r="H294" i="5"/>
  <c r="I242" i="5"/>
  <c r="K104" i="5"/>
  <c r="K322" i="5"/>
  <c r="I50" i="5"/>
  <c r="H312" i="5"/>
  <c r="G61" i="5"/>
  <c r="H29" i="5"/>
  <c r="C32" i="2"/>
  <c r="H114" i="5"/>
  <c r="D25" i="1"/>
  <c r="S279" i="1" l="1"/>
  <c r="S8" i="1"/>
  <c r="S28" i="1"/>
  <c r="S7" i="1"/>
  <c r="S26" i="1"/>
  <c r="S17" i="1"/>
  <c r="S10" i="1"/>
  <c r="S12" i="1"/>
  <c r="S31" i="1"/>
  <c r="S22" i="1"/>
  <c r="S13" i="1"/>
  <c r="S14" i="1"/>
  <c r="S24" i="1"/>
  <c r="S20" i="1"/>
  <c r="S18" i="1"/>
  <c r="S32" i="1"/>
  <c r="S5" i="1"/>
  <c r="S101" i="1"/>
  <c r="S165" i="1"/>
  <c r="S133" i="1"/>
  <c r="S261" i="1"/>
  <c r="S325" i="1"/>
  <c r="S197" i="1"/>
  <c r="S149" i="1"/>
  <c r="S213" i="1"/>
  <c r="S277" i="1"/>
  <c r="S301" i="1"/>
  <c r="S317" i="1"/>
  <c r="S309" i="1"/>
  <c r="S212" i="1"/>
  <c r="S44" i="1"/>
  <c r="S218" i="1"/>
  <c r="S154" i="1"/>
  <c r="S90" i="1"/>
  <c r="S211" i="1"/>
  <c r="S180" i="1"/>
  <c r="S274" i="1"/>
  <c r="S289" i="1"/>
  <c r="S225" i="1"/>
  <c r="S161" i="1"/>
  <c r="S97" i="1"/>
  <c r="S267" i="1"/>
  <c r="S224" i="1"/>
  <c r="S112" i="1"/>
  <c r="S319" i="1"/>
  <c r="S247" i="1"/>
  <c r="S183" i="1"/>
  <c r="S119" i="1"/>
  <c r="S55" i="1"/>
  <c r="S320" i="1"/>
  <c r="S88" i="1"/>
  <c r="S318" i="1"/>
  <c r="S254" i="1"/>
  <c r="S190" i="1"/>
  <c r="S126" i="1"/>
  <c r="S62" i="1"/>
  <c r="S51" i="1"/>
  <c r="S77" i="1"/>
  <c r="S171" i="1"/>
  <c r="S236" i="1"/>
  <c r="S36" i="1"/>
  <c r="S155" i="1"/>
  <c r="S269" i="1"/>
  <c r="S293" i="1"/>
  <c r="S285" i="1"/>
  <c r="S196" i="1"/>
  <c r="S322" i="1"/>
  <c r="S210" i="1"/>
  <c r="S146" i="1"/>
  <c r="S82" i="1"/>
  <c r="S147" i="1"/>
  <c r="S164" i="1"/>
  <c r="S266" i="1"/>
  <c r="S281" i="1"/>
  <c r="S217" i="1"/>
  <c r="S153" i="1"/>
  <c r="S89" i="1"/>
  <c r="S203" i="1"/>
  <c r="S216" i="1"/>
  <c r="S104" i="1"/>
  <c r="S311" i="1"/>
  <c r="S239" i="1"/>
  <c r="S175" i="1"/>
  <c r="S111" i="1"/>
  <c r="S47" i="1"/>
  <c r="S296" i="1"/>
  <c r="S80" i="1"/>
  <c r="S310" i="1"/>
  <c r="S246" i="1"/>
  <c r="S182" i="1"/>
  <c r="S118" i="1"/>
  <c r="S54" i="1"/>
  <c r="S304" i="1"/>
  <c r="S69" i="1"/>
  <c r="S107" i="1"/>
  <c r="S220" i="1"/>
  <c r="S291" i="1"/>
  <c r="S91" i="1"/>
  <c r="S245" i="1"/>
  <c r="S253" i="1"/>
  <c r="S237" i="1"/>
  <c r="S188" i="1"/>
  <c r="S306" i="1"/>
  <c r="S202" i="1"/>
  <c r="S138" i="1"/>
  <c r="S74" i="1"/>
  <c r="S83" i="1"/>
  <c r="S140" i="1"/>
  <c r="S250" i="1"/>
  <c r="S273" i="1"/>
  <c r="S209" i="1"/>
  <c r="S145" i="1"/>
  <c r="S81" i="1"/>
  <c r="S139" i="1"/>
  <c r="S192" i="1"/>
  <c r="S96" i="1"/>
  <c r="S303" i="1"/>
  <c r="S231" i="1"/>
  <c r="S167" i="1"/>
  <c r="S103" i="1"/>
  <c r="S39" i="1"/>
  <c r="S272" i="1"/>
  <c r="S72" i="1"/>
  <c r="S302" i="1"/>
  <c r="S238" i="1"/>
  <c r="S174" i="1"/>
  <c r="S110" i="1"/>
  <c r="S46" i="1"/>
  <c r="S280" i="1"/>
  <c r="S61" i="1"/>
  <c r="S43" i="1"/>
  <c r="S172" i="1"/>
  <c r="S227" i="1"/>
  <c r="S221" i="1"/>
  <c r="S229" i="1"/>
  <c r="S189" i="1"/>
  <c r="S156" i="1"/>
  <c r="S290" i="1"/>
  <c r="S194" i="1"/>
  <c r="S130" i="1"/>
  <c r="S66" i="1"/>
  <c r="S308" i="1"/>
  <c r="S108" i="1"/>
  <c r="S234" i="1"/>
  <c r="S265" i="1"/>
  <c r="S201" i="1"/>
  <c r="S137" i="1"/>
  <c r="S73" i="1"/>
  <c r="S75" i="1"/>
  <c r="S184" i="1"/>
  <c r="S64" i="1"/>
  <c r="S295" i="1"/>
  <c r="S223" i="1"/>
  <c r="S159" i="1"/>
  <c r="S95" i="1"/>
  <c r="S315" i="1"/>
  <c r="S232" i="1"/>
  <c r="S56" i="1"/>
  <c r="S294" i="1"/>
  <c r="S230" i="1"/>
  <c r="S166" i="1"/>
  <c r="S102" i="1"/>
  <c r="S38" i="1"/>
  <c r="S256" i="1"/>
  <c r="S53" i="1"/>
  <c r="S324" i="1"/>
  <c r="S148" i="1"/>
  <c r="S163" i="1"/>
  <c r="S181" i="1"/>
  <c r="S205" i="1"/>
  <c r="S117" i="1"/>
  <c r="S124" i="1"/>
  <c r="S282" i="1"/>
  <c r="S186" i="1"/>
  <c r="S122" i="1"/>
  <c r="S58" i="1"/>
  <c r="S300" i="1"/>
  <c r="S60" i="1"/>
  <c r="S321" i="1"/>
  <c r="S257" i="1"/>
  <c r="S193" i="1"/>
  <c r="S129" i="1"/>
  <c r="S65" i="1"/>
  <c r="S312" i="1"/>
  <c r="S160" i="1"/>
  <c r="S48" i="1"/>
  <c r="S287" i="1"/>
  <c r="S215" i="1"/>
  <c r="S151" i="1"/>
  <c r="S87" i="1"/>
  <c r="S251" i="1"/>
  <c r="S200" i="1"/>
  <c r="S40" i="1"/>
  <c r="S286" i="1"/>
  <c r="S222" i="1"/>
  <c r="S158" i="1"/>
  <c r="S94" i="1"/>
  <c r="S307" i="1"/>
  <c r="S240" i="1"/>
  <c r="S45" i="1"/>
  <c r="S316" i="1"/>
  <c r="S132" i="1"/>
  <c r="S99" i="1"/>
  <c r="S204" i="1"/>
  <c r="S85" i="1"/>
  <c r="S219" i="1"/>
  <c r="S157" i="1"/>
  <c r="S173" i="1"/>
  <c r="S292" i="1"/>
  <c r="S116" i="1"/>
  <c r="S258" i="1"/>
  <c r="S178" i="1"/>
  <c r="S114" i="1"/>
  <c r="S50" i="1"/>
  <c r="S260" i="1"/>
  <c r="S52" i="1"/>
  <c r="S313" i="1"/>
  <c r="S249" i="1"/>
  <c r="S185" i="1"/>
  <c r="S121" i="1"/>
  <c r="S57" i="1"/>
  <c r="S288" i="1"/>
  <c r="S144" i="1"/>
  <c r="S323" i="1"/>
  <c r="S271" i="1"/>
  <c r="S207" i="1"/>
  <c r="S143" i="1"/>
  <c r="S79" i="1"/>
  <c r="S187" i="1"/>
  <c r="S168" i="1"/>
  <c r="S259" i="1"/>
  <c r="S278" i="1"/>
  <c r="S214" i="1"/>
  <c r="S150" i="1"/>
  <c r="S86" i="1"/>
  <c r="S243" i="1"/>
  <c r="S208" i="1"/>
  <c r="S37" i="1"/>
  <c r="S284" i="1"/>
  <c r="S100" i="1"/>
  <c r="S35" i="1"/>
  <c r="S93" i="1"/>
  <c r="S252" i="1"/>
  <c r="S68" i="1"/>
  <c r="S226" i="1"/>
  <c r="S162" i="1"/>
  <c r="S98" i="1"/>
  <c r="S275" i="1"/>
  <c r="S298" i="1"/>
  <c r="S297" i="1"/>
  <c r="S169" i="1"/>
  <c r="S41" i="1"/>
  <c r="S120" i="1"/>
  <c r="S255" i="1"/>
  <c r="S127" i="1"/>
  <c r="S59" i="1"/>
  <c r="S326" i="1"/>
  <c r="S198" i="1"/>
  <c r="S70" i="1"/>
  <c r="S244" i="1"/>
  <c r="S125" i="1"/>
  <c r="S141" i="1"/>
  <c r="S276" i="1"/>
  <c r="S84" i="1"/>
  <c r="S242" i="1"/>
  <c r="S170" i="1"/>
  <c r="S106" i="1"/>
  <c r="S42" i="1"/>
  <c r="S228" i="1"/>
  <c r="S314" i="1"/>
  <c r="S305" i="1"/>
  <c r="S241" i="1"/>
  <c r="S177" i="1"/>
  <c r="S113" i="1"/>
  <c r="S49" i="1"/>
  <c r="S264" i="1"/>
  <c r="S136" i="1"/>
  <c r="S195" i="1"/>
  <c r="S263" i="1"/>
  <c r="S199" i="1"/>
  <c r="S135" i="1"/>
  <c r="S71" i="1"/>
  <c r="S123" i="1"/>
  <c r="S152" i="1"/>
  <c r="S131" i="1"/>
  <c r="S270" i="1"/>
  <c r="S206" i="1"/>
  <c r="S142" i="1"/>
  <c r="S78" i="1"/>
  <c r="S179" i="1"/>
  <c r="S176" i="1"/>
  <c r="S299" i="1"/>
  <c r="S268" i="1"/>
  <c r="S92" i="1"/>
  <c r="S283" i="1"/>
  <c r="S109" i="1"/>
  <c r="S233" i="1"/>
  <c r="S105" i="1"/>
  <c r="S248" i="1"/>
  <c r="S67" i="1"/>
  <c r="S191" i="1"/>
  <c r="S63" i="1"/>
  <c r="S128" i="1"/>
  <c r="S262" i="1"/>
  <c r="S134" i="1"/>
  <c r="S115" i="1"/>
  <c r="S235" i="1"/>
  <c r="S76" i="1"/>
  <c r="S27" i="1"/>
  <c r="S16" i="1"/>
  <c r="S21" i="1"/>
  <c r="S29" i="1"/>
  <c r="S9" i="1"/>
  <c r="S15" i="1"/>
  <c r="S6" i="1"/>
  <c r="S19" i="1"/>
  <c r="S11" i="1"/>
  <c r="S33" i="1"/>
  <c r="S25" i="1"/>
  <c r="S34" i="1"/>
  <c r="S30" i="1"/>
  <c r="S23" i="1"/>
  <c r="D3" i="7" a="1"/>
  <c r="D3" i="7" s="1"/>
  <c r="D3" i="6" a="1"/>
  <c r="R325" i="2" s="1"/>
  <c r="R45" i="2" l="1"/>
  <c r="R77" i="2"/>
  <c r="R85" i="2"/>
  <c r="R117" i="2"/>
  <c r="R37" i="2"/>
  <c r="R69" i="2"/>
  <c r="R93" i="2"/>
  <c r="R53" i="2"/>
  <c r="R109" i="2"/>
  <c r="R13" i="2"/>
  <c r="R21" i="2"/>
  <c r="R29" i="2"/>
  <c r="R61" i="2"/>
  <c r="R101" i="2"/>
  <c r="R125" i="2"/>
  <c r="R189" i="2"/>
  <c r="R253" i="2"/>
  <c r="R317" i="2"/>
  <c r="R133" i="2"/>
  <c r="R197" i="2"/>
  <c r="R261" i="2"/>
  <c r="R141" i="2"/>
  <c r="R205" i="2"/>
  <c r="R269" i="2"/>
  <c r="R149" i="2"/>
  <c r="R213" i="2"/>
  <c r="R277" i="2"/>
  <c r="R165" i="2"/>
  <c r="R293" i="2"/>
  <c r="R157" i="2"/>
  <c r="R221" i="2"/>
  <c r="R285" i="2"/>
  <c r="R229" i="2"/>
  <c r="R173" i="2"/>
  <c r="R237" i="2"/>
  <c r="R301" i="2"/>
  <c r="R181" i="2"/>
  <c r="R245" i="2"/>
  <c r="R309" i="2"/>
  <c r="R6" i="2"/>
  <c r="R268" i="2"/>
  <c r="R204" i="2"/>
  <c r="R140" i="2"/>
  <c r="R76" i="2"/>
  <c r="R12" i="2"/>
  <c r="R267" i="2"/>
  <c r="R203" i="2"/>
  <c r="R139" i="2"/>
  <c r="R75" i="2"/>
  <c r="R11" i="2"/>
  <c r="R266" i="2"/>
  <c r="R202" i="2"/>
  <c r="R138" i="2"/>
  <c r="R74" i="2"/>
  <c r="R10" i="2"/>
  <c r="R273" i="2"/>
  <c r="R209" i="2"/>
  <c r="R145" i="2"/>
  <c r="R81" i="2"/>
  <c r="R17" i="2"/>
  <c r="R280" i="2"/>
  <c r="R216" i="2"/>
  <c r="R152" i="2"/>
  <c r="R88" i="2"/>
  <c r="R24" i="2"/>
  <c r="R287" i="2"/>
  <c r="R223" i="2"/>
  <c r="R95" i="2"/>
  <c r="R294" i="2"/>
  <c r="R230" i="2"/>
  <c r="R94" i="2"/>
  <c r="R249" i="2"/>
  <c r="R57" i="2"/>
  <c r="R320" i="2"/>
  <c r="R256" i="2"/>
  <c r="R135" i="2"/>
  <c r="R7" i="2"/>
  <c r="R126" i="2"/>
  <c r="R324" i="2"/>
  <c r="R260" i="2"/>
  <c r="R196" i="2"/>
  <c r="R132" i="2"/>
  <c r="R68" i="2"/>
  <c r="R323" i="2"/>
  <c r="R259" i="2"/>
  <c r="R195" i="2"/>
  <c r="R131" i="2"/>
  <c r="R67" i="2"/>
  <c r="R322" i="2"/>
  <c r="R258" i="2"/>
  <c r="R194" i="2"/>
  <c r="R130" i="2"/>
  <c r="R66" i="2"/>
  <c r="R265" i="2"/>
  <c r="R201" i="2"/>
  <c r="R137" i="2"/>
  <c r="R73" i="2"/>
  <c r="R9" i="2"/>
  <c r="R272" i="2"/>
  <c r="R208" i="2"/>
  <c r="R144" i="2"/>
  <c r="R80" i="2"/>
  <c r="R16" i="2"/>
  <c r="R279" i="2"/>
  <c r="R215" i="2"/>
  <c r="R151" i="2"/>
  <c r="R87" i="2"/>
  <c r="R23" i="2"/>
  <c r="R286" i="2"/>
  <c r="R222" i="2"/>
  <c r="R114" i="2"/>
  <c r="R50" i="2"/>
  <c r="R313" i="2"/>
  <c r="R5" i="2"/>
  <c r="R270" i="2"/>
  <c r="R14" i="2"/>
  <c r="R316" i="2"/>
  <c r="R252" i="2"/>
  <c r="R188" i="2"/>
  <c r="R124" i="2"/>
  <c r="R60" i="2"/>
  <c r="R315" i="2"/>
  <c r="R251" i="2"/>
  <c r="R187" i="2"/>
  <c r="R123" i="2"/>
  <c r="R59" i="2"/>
  <c r="R314" i="2"/>
  <c r="R250" i="2"/>
  <c r="R186" i="2"/>
  <c r="R122" i="2"/>
  <c r="R58" i="2"/>
  <c r="R321" i="2"/>
  <c r="R257" i="2"/>
  <c r="R193" i="2"/>
  <c r="R129" i="2"/>
  <c r="R65" i="2"/>
  <c r="R264" i="2"/>
  <c r="R200" i="2"/>
  <c r="R136" i="2"/>
  <c r="R72" i="2"/>
  <c r="R8" i="2"/>
  <c r="R271" i="2"/>
  <c r="R207" i="2"/>
  <c r="R143" i="2"/>
  <c r="R79" i="2"/>
  <c r="R15" i="2"/>
  <c r="R278" i="2"/>
  <c r="R214" i="2"/>
  <c r="R150" i="2"/>
  <c r="R86" i="2"/>
  <c r="R22" i="2"/>
  <c r="R115" i="2"/>
  <c r="R178" i="2"/>
  <c r="R185" i="2"/>
  <c r="R192" i="2"/>
  <c r="R128" i="2"/>
  <c r="R64" i="2"/>
  <c r="R199" i="2"/>
  <c r="R142" i="2"/>
  <c r="R308" i="2"/>
  <c r="R244" i="2"/>
  <c r="R180" i="2"/>
  <c r="R116" i="2"/>
  <c r="R52" i="2"/>
  <c r="R307" i="2"/>
  <c r="R243" i="2"/>
  <c r="R179" i="2"/>
  <c r="R300" i="2"/>
  <c r="R236" i="2"/>
  <c r="R172" i="2"/>
  <c r="R108" i="2"/>
  <c r="R44" i="2"/>
  <c r="R299" i="2"/>
  <c r="R235" i="2"/>
  <c r="R171" i="2"/>
  <c r="R107" i="2"/>
  <c r="R43" i="2"/>
  <c r="R298" i="2"/>
  <c r="R234" i="2"/>
  <c r="R170" i="2"/>
  <c r="R106" i="2"/>
  <c r="R42" i="2"/>
  <c r="R305" i="2"/>
  <c r="R241" i="2"/>
  <c r="R177" i="2"/>
  <c r="R113" i="2"/>
  <c r="R49" i="2"/>
  <c r="R312" i="2"/>
  <c r="R248" i="2"/>
  <c r="R184" i="2"/>
  <c r="R120" i="2"/>
  <c r="R56" i="2"/>
  <c r="R319" i="2"/>
  <c r="R255" i="2"/>
  <c r="R191" i="2"/>
  <c r="R127" i="2"/>
  <c r="R63" i="2"/>
  <c r="R326" i="2"/>
  <c r="R262" i="2"/>
  <c r="R198" i="2"/>
  <c r="R134" i="2"/>
  <c r="R70" i="2"/>
  <c r="R119" i="2"/>
  <c r="R254" i="2"/>
  <c r="R190" i="2"/>
  <c r="R292" i="2"/>
  <c r="R228" i="2"/>
  <c r="R164" i="2"/>
  <c r="R100" i="2"/>
  <c r="R36" i="2"/>
  <c r="R291" i="2"/>
  <c r="R227" i="2"/>
  <c r="R163" i="2"/>
  <c r="R99" i="2"/>
  <c r="R35" i="2"/>
  <c r="R290" i="2"/>
  <c r="R226" i="2"/>
  <c r="R162" i="2"/>
  <c r="R98" i="2"/>
  <c r="R34" i="2"/>
  <c r="R297" i="2"/>
  <c r="R233" i="2"/>
  <c r="R169" i="2"/>
  <c r="R105" i="2"/>
  <c r="R41" i="2"/>
  <c r="R304" i="2"/>
  <c r="R240" i="2"/>
  <c r="R176" i="2"/>
  <c r="R112" i="2"/>
  <c r="R48" i="2"/>
  <c r="R311" i="2"/>
  <c r="R247" i="2"/>
  <c r="R183" i="2"/>
  <c r="R55" i="2"/>
  <c r="R318" i="2"/>
  <c r="R62" i="2"/>
  <c r="R284" i="2"/>
  <c r="R220" i="2"/>
  <c r="R156" i="2"/>
  <c r="R92" i="2"/>
  <c r="R28" i="2"/>
  <c r="R283" i="2"/>
  <c r="R219" i="2"/>
  <c r="R155" i="2"/>
  <c r="R91" i="2"/>
  <c r="R27" i="2"/>
  <c r="R282" i="2"/>
  <c r="R218" i="2"/>
  <c r="R154" i="2"/>
  <c r="R90" i="2"/>
  <c r="R26" i="2"/>
  <c r="R289" i="2"/>
  <c r="R225" i="2"/>
  <c r="R161" i="2"/>
  <c r="R97" i="2"/>
  <c r="R33" i="2"/>
  <c r="R296" i="2"/>
  <c r="R232" i="2"/>
  <c r="R168" i="2"/>
  <c r="R104" i="2"/>
  <c r="R40" i="2"/>
  <c r="R303" i="2"/>
  <c r="R239" i="2"/>
  <c r="R175" i="2"/>
  <c r="R111" i="2"/>
  <c r="R47" i="2"/>
  <c r="R310" i="2"/>
  <c r="R246" i="2"/>
  <c r="R182" i="2"/>
  <c r="R118" i="2"/>
  <c r="R54" i="2"/>
  <c r="R302" i="2"/>
  <c r="R238" i="2"/>
  <c r="R110" i="2"/>
  <c r="R159" i="2"/>
  <c r="R31" i="2"/>
  <c r="R166" i="2"/>
  <c r="R51" i="2"/>
  <c r="R242" i="2"/>
  <c r="R263" i="2"/>
  <c r="R206" i="2"/>
  <c r="R276" i="2"/>
  <c r="R212" i="2"/>
  <c r="R148" i="2"/>
  <c r="R84" i="2"/>
  <c r="R20" i="2"/>
  <c r="R275" i="2"/>
  <c r="R211" i="2"/>
  <c r="R147" i="2"/>
  <c r="R83" i="2"/>
  <c r="R19" i="2"/>
  <c r="R274" i="2"/>
  <c r="R210" i="2"/>
  <c r="R146" i="2"/>
  <c r="R82" i="2"/>
  <c r="R18" i="2"/>
  <c r="R281" i="2"/>
  <c r="R217" i="2"/>
  <c r="R153" i="2"/>
  <c r="R89" i="2"/>
  <c r="R25" i="2"/>
  <c r="R288" i="2"/>
  <c r="R224" i="2"/>
  <c r="R160" i="2"/>
  <c r="R96" i="2"/>
  <c r="R32" i="2"/>
  <c r="R295" i="2"/>
  <c r="R231" i="2"/>
  <c r="R167" i="2"/>
  <c r="R103" i="2"/>
  <c r="R39" i="2"/>
  <c r="R174" i="2"/>
  <c r="R46" i="2"/>
  <c r="R102" i="2"/>
  <c r="R38" i="2"/>
  <c r="R158" i="2"/>
  <c r="R30" i="2"/>
  <c r="R306" i="2"/>
  <c r="R121" i="2"/>
  <c r="R71" i="2"/>
  <c r="R78" i="2"/>
  <c r="D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<sst xmlns="http://schemas.openxmlformats.org/spreadsheetml/2006/main" count="3352" uniqueCount="695">
  <si>
    <t>ARTS</t>
  </si>
  <si>
    <t>SPORTS</t>
  </si>
  <si>
    <t>Chest</t>
  </si>
  <si>
    <t>Name</t>
  </si>
  <si>
    <t>Team</t>
  </si>
  <si>
    <t>Section</t>
  </si>
  <si>
    <t>Class</t>
  </si>
  <si>
    <t>Published</t>
  </si>
  <si>
    <t>Pub + To Pub</t>
  </si>
  <si>
    <t>Entered</t>
  </si>
  <si>
    <t>To Pub</t>
  </si>
  <si>
    <t>Rank</t>
  </si>
  <si>
    <t>Rank of entered</t>
  </si>
  <si>
    <t>A108</t>
  </si>
  <si>
    <t>A111</t>
  </si>
  <si>
    <t>A123</t>
  </si>
  <si>
    <t>A129</t>
  </si>
  <si>
    <t>A150</t>
  </si>
  <si>
    <t>A158</t>
  </si>
  <si>
    <t>A164</t>
  </si>
  <si>
    <t>B107</t>
  </si>
  <si>
    <t>B129</t>
  </si>
  <si>
    <t>B138</t>
  </si>
  <si>
    <t>B148</t>
  </si>
  <si>
    <t>B163</t>
  </si>
  <si>
    <t>B164</t>
  </si>
  <si>
    <t>C100</t>
  </si>
  <si>
    <t>C133</t>
  </si>
  <si>
    <t>C135</t>
  </si>
  <si>
    <t>C136</t>
  </si>
  <si>
    <t>C139</t>
  </si>
  <si>
    <t>C147</t>
  </si>
  <si>
    <t>C151</t>
  </si>
  <si>
    <t>C165</t>
  </si>
  <si>
    <t>C168</t>
  </si>
  <si>
    <t>C171</t>
  </si>
  <si>
    <t>C173</t>
  </si>
  <si>
    <t>C174</t>
  </si>
  <si>
    <t>C179</t>
  </si>
  <si>
    <t>D136</t>
  </si>
  <si>
    <t>D163</t>
  </si>
  <si>
    <t>D171</t>
  </si>
  <si>
    <t>D172</t>
  </si>
  <si>
    <t>D174</t>
  </si>
  <si>
    <t>D184</t>
  </si>
  <si>
    <t>Sl.</t>
  </si>
  <si>
    <t>ARTS GENIUS [ENTERED]</t>
  </si>
  <si>
    <t>RANK</t>
  </si>
  <si>
    <t>Total score</t>
  </si>
  <si>
    <t>Chest no.</t>
  </si>
  <si>
    <t>SPORTS GENIUS [PUBLISHED + TO PUBLISH] TOP 10</t>
  </si>
  <si>
    <t>SPORTS GENIUS [ALL ENTERED]  TOP 10</t>
  </si>
  <si>
    <t>ARTS GENIUS [PUBLISHED + TO PUBLISH]  TOP 10</t>
  </si>
  <si>
    <t>D140</t>
  </si>
  <si>
    <t>D147</t>
  </si>
  <si>
    <t>D162</t>
  </si>
  <si>
    <t>A100</t>
  </si>
  <si>
    <t>A101</t>
  </si>
  <si>
    <t>A102</t>
  </si>
  <si>
    <t>A103</t>
  </si>
  <si>
    <t>A104</t>
  </si>
  <si>
    <t>A105</t>
  </si>
  <si>
    <t>A106</t>
  </si>
  <si>
    <t>A107</t>
  </si>
  <si>
    <t>A109</t>
  </si>
  <si>
    <t>A110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</si>
  <si>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</si>
  <si>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</si>
  <si>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</si>
  <si>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</si>
  <si>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</si>
  <si>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</si>
  <si>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</si>
  <si>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</si>
  <si>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</si>
  <si>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</si>
  <si>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</si>
  <si>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A124</t>
  </si>
  <si>
    <t>A125</t>
  </si>
  <si>
    <t>A126</t>
  </si>
  <si>
    <t>A127</t>
  </si>
  <si>
    <t>A128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</si>
  <si>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</si>
  <si>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</si>
  <si>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</si>
  <si>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</si>
  <si>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</si>
  <si>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</si>
  <si>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</si>
  <si>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</si>
  <si>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</si>
  <si>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</si>
  <si>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</si>
  <si>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</si>
  <si>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</si>
  <si>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</si>
  <si>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</si>
  <si>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</si>
  <si>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</si>
  <si>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</si>
  <si>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</si>
  <si>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</si>
  <si>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A151</t>
  </si>
  <si>
    <t>A152</t>
  </si>
  <si>
    <t>A153</t>
  </si>
  <si>
    <t>A154</t>
  </si>
  <si>
    <t>A155</t>
  </si>
  <si>
    <t>A156</t>
  </si>
  <si>
    <t>A157</t>
  </si>
  <si>
    <t>A159</t>
  </si>
  <si>
    <t>A160</t>
  </si>
  <si>
    <t>A161</t>
  </si>
  <si>
    <t>A162</t>
  </si>
  <si>
    <t>A163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</si>
  <si>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</si>
  <si>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</si>
  <si>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</si>
  <si>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</si>
  <si>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</si>
  <si>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</si>
  <si>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</si>
  <si>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</si>
  <si>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</si>
  <si>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</si>
  <si>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</si>
  <si>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B100</t>
  </si>
  <si>
    <t>B101</t>
  </si>
  <si>
    <t>B102</t>
  </si>
  <si>
    <t>B103</t>
  </si>
  <si>
    <t>B104</t>
  </si>
  <si>
    <t>B105</t>
  </si>
  <si>
    <t>B106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</si>
  <si>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</si>
  <si>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</si>
  <si>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</si>
  <si>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</si>
  <si>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</si>
  <si>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</si>
  <si>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</si>
  <si>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</si>
  <si>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</si>
  <si>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</si>
  <si>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</si>
  <si>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</si>
  <si>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</si>
  <si>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</si>
  <si>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</si>
  <si>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</si>
  <si>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</si>
  <si>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</si>
  <si>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</si>
  <si>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</si>
  <si>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</si>
  <si>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B130</t>
  </si>
  <si>
    <t>B131</t>
  </si>
  <si>
    <t>B132</t>
  </si>
  <si>
    <t>B133</t>
  </si>
  <si>
    <t>B134</t>
  </si>
  <si>
    <t>B135</t>
  </si>
  <si>
    <t>B136</t>
  </si>
  <si>
    <t>B137</t>
  </si>
  <si>
    <t>B139</t>
  </si>
  <si>
    <t>B140</t>
  </si>
  <si>
    <t>B141</t>
  </si>
  <si>
    <t>B142</t>
  </si>
  <si>
    <t>B143</t>
  </si>
  <si>
    <t>B144</t>
  </si>
  <si>
    <t>B145</t>
  </si>
  <si>
    <t>B146</t>
  </si>
  <si>
    <t>B147</t>
  </si>
  <si>
    <t>B149</t>
  </si>
  <si>
    <t>B150</t>
  </si>
  <si>
    <t>B151</t>
  </si>
  <si>
    <t>B152</t>
  </si>
  <si>
    <t>B153</t>
  </si>
  <si>
    <t>B154</t>
  </si>
  <si>
    <t>B155</t>
  </si>
  <si>
    <t>B156</t>
  </si>
  <si>
    <t>B157</t>
  </si>
  <si>
    <t>B158</t>
  </si>
  <si>
    <t>B159</t>
  </si>
  <si>
    <t>B160</t>
  </si>
  <si>
    <t>B161</t>
  </si>
  <si>
    <t>B162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</si>
  <si>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</si>
  <si>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</si>
  <si>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</si>
  <si>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</si>
  <si>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</si>
  <si>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</si>
  <si>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</si>
  <si>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</si>
  <si>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</si>
  <si>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</si>
  <si>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</si>
  <si>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</si>
  <si>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</si>
  <si>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</si>
  <si>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</si>
  <si>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</si>
  <si>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</si>
  <si>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</si>
  <si>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</si>
  <si>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</si>
  <si>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</si>
  <si>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</si>
  <si>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</si>
  <si>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</si>
  <si>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</si>
  <si>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</si>
  <si>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</si>
  <si>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</si>
  <si>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</si>
  <si>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</si>
  <si>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</si>
  <si>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</si>
  <si>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C134</t>
  </si>
  <si>
    <t>C137</t>
  </si>
  <si>
    <t>C138</t>
  </si>
  <si>
    <t>C140</t>
  </si>
  <si>
    <t>C141</t>
  </si>
  <si>
    <t>C142</t>
  </si>
  <si>
    <t>C143</t>
  </si>
  <si>
    <t>C144</t>
  </si>
  <si>
    <t>C145</t>
  </si>
  <si>
    <t>C146</t>
  </si>
  <si>
    <t>C148</t>
  </si>
  <si>
    <t>C149</t>
  </si>
  <si>
    <t>C150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</si>
  <si>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</si>
  <si>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</si>
  <si>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</si>
  <si>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</si>
  <si>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</si>
  <si>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</si>
  <si>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</si>
  <si>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</si>
  <si>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</si>
  <si>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</si>
  <si>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</si>
  <si>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</si>
  <si>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</si>
  <si>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C166</t>
  </si>
  <si>
    <t>C167</t>
  </si>
  <si>
    <t>C169</t>
  </si>
  <si>
    <t>C170</t>
  </si>
  <si>
    <t>C172</t>
  </si>
  <si>
    <t>C175</t>
  </si>
  <si>
    <t>C176</t>
  </si>
  <si>
    <t>C177</t>
  </si>
  <si>
    <t>C178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</si>
  <si>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</si>
  <si>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</si>
  <si>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</si>
  <si>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</si>
  <si>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</si>
  <si>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</si>
  <si>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</si>
  <si>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</si>
  <si>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</si>
  <si>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</si>
  <si>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</si>
  <si>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</si>
  <si>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</si>
  <si>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</si>
  <si>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</si>
  <si>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</si>
  <si>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</si>
  <si>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</si>
  <si>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</si>
  <si>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</si>
  <si>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</si>
  <si>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</si>
  <si>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</si>
  <si>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</si>
  <si>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</si>
  <si>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</si>
  <si>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</si>
  <si>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</si>
  <si>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</si>
  <si>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</si>
  <si>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</si>
  <si>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</si>
  <si>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</si>
  <si>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</si>
  <si>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</si>
  <si>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</si>
  <si>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D137</t>
  </si>
  <si>
    <t>D138</t>
  </si>
  <si>
    <t>D139</t>
  </si>
  <si>
    <t>D141</t>
  </si>
  <si>
    <t>D142</t>
  </si>
  <si>
    <t>D143</t>
  </si>
  <si>
    <t>D144</t>
  </si>
  <si>
    <t>D145</t>
  </si>
  <si>
    <t>D146</t>
  </si>
  <si>
    <t>D148</t>
  </si>
  <si>
    <t>D149</t>
  </si>
  <si>
    <t>D150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</si>
  <si>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</si>
  <si>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</si>
  <si>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</si>
  <si>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</si>
  <si>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</si>
  <si>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</si>
  <si>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</si>
  <si>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</si>
  <si>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</si>
  <si>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D160</t>
  </si>
  <si>
    <t>D161</t>
  </si>
  <si>
    <t>D164</t>
  </si>
  <si>
    <t>D165</t>
  </si>
  <si>
    <t>D166</t>
  </si>
  <si>
    <t>D167</t>
  </si>
  <si>
    <t>D168</t>
  </si>
  <si>
    <t>D169</t>
  </si>
  <si>
    <t>D170</t>
  </si>
  <si>
    <t>D173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</si>
  <si>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</si>
  <si>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</si>
  <si>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</si>
  <si>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</si>
  <si>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</si>
  <si>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</si>
  <si>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</si>
  <si>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</si>
  <si>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</si>
  <si>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</si>
  <si>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</si>
  <si>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</si>
  <si>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</si>
  <si>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</si>
  <si>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</si>
  <si>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</si>
  <si>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</si>
  <si>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</si>
  <si>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D194</t>
  </si>
  <si>
    <t>D195</t>
  </si>
  <si>
    <t>D196</t>
  </si>
  <si>
    <t>D197</t>
  </si>
  <si>
    <t>D198</t>
  </si>
  <si>
    <t>D199</t>
  </si>
  <si>
    <t>Count</t>
  </si>
  <si>
    <t>To</t>
  </si>
  <si>
    <t>From</t>
  </si>
  <si>
    <t>Sum of Entered</t>
  </si>
  <si>
    <t>ARTS GENIUS [ENTERED]  TOP 10</t>
  </si>
  <si>
    <t>%</t>
  </si>
  <si>
    <t>Status</t>
  </si>
  <si>
    <t>SUPER SENIOR</t>
  </si>
  <si>
    <t>SENIOR</t>
  </si>
  <si>
    <t>SUB JUNIOR</t>
  </si>
  <si>
    <t>JUNIOR</t>
  </si>
  <si>
    <t>AJMAL KI</t>
  </si>
  <si>
    <t>ARTS RANK</t>
  </si>
  <si>
    <t>ARTS SCORE</t>
  </si>
  <si>
    <t>BEST DEBATER</t>
  </si>
  <si>
    <t>AFLALUL MUSHA'IR</t>
  </si>
  <si>
    <t>MUNALIRUL A'LAM</t>
  </si>
  <si>
    <t>ABDUL GHANI</t>
  </si>
  <si>
    <t>AS GENIUS FIND</t>
  </si>
  <si>
    <t>Sum of Class</t>
  </si>
  <si>
    <t>Row Labels</t>
  </si>
  <si>
    <t>Grand Total</t>
  </si>
  <si>
    <t>Sl. No.</t>
  </si>
  <si>
    <t>Chest No.</t>
  </si>
  <si>
    <t>Team Code</t>
  </si>
  <si>
    <r>
      <rPr>
        <sz val="16"/>
        <color theme="0"/>
        <rFont val="Calibri"/>
        <family val="2"/>
        <scheme val="minor"/>
      </rPr>
      <t xml:space="preserve">Class </t>
    </r>
    <r>
      <rPr>
        <sz val="14"/>
        <color theme="0"/>
        <rFont val="Calibri"/>
        <family val="2"/>
        <scheme val="minor"/>
      </rPr>
      <t xml:space="preserve">
</t>
    </r>
    <r>
      <rPr>
        <sz val="11"/>
        <color theme="0"/>
        <rFont val="Calibri"/>
        <family val="2"/>
        <scheme val="minor"/>
      </rPr>
      <t>(Optional)</t>
    </r>
  </si>
  <si>
    <t>ADINAN ABOOBACKER K</t>
  </si>
  <si>
    <t>FANT</t>
  </si>
  <si>
    <t>MUHAMMED TAMEEM</t>
  </si>
  <si>
    <t>JARF</t>
  </si>
  <si>
    <t>AJZAL ASHRAF OV</t>
  </si>
  <si>
    <t>MUHAMMED RIZIN AMAN</t>
  </si>
  <si>
    <t>MUHAMMAD AZEEM</t>
  </si>
  <si>
    <t>BADF</t>
  </si>
  <si>
    <t>MUHAMMED HAFIZ S T</t>
  </si>
  <si>
    <t>Abdul Khader Uvais K A</t>
  </si>
  <si>
    <t>MUHAMMED ADHIL C H</t>
  </si>
  <si>
    <t>Mohammed Sinan N.A</t>
  </si>
  <si>
    <t>AHMED RAZI MR</t>
  </si>
  <si>
    <t>Muhammed Hisham K M</t>
  </si>
  <si>
    <t>HUSSAIN MUHAVIZ B A</t>
  </si>
  <si>
    <t>HILAL ABDULLA C H</t>
  </si>
  <si>
    <t>DAHF</t>
  </si>
  <si>
    <t>MOIDEEN KAIS</t>
  </si>
  <si>
    <t>MUHAMMED SHAHID K A</t>
  </si>
  <si>
    <t>K MUHAMMAD JALAL</t>
  </si>
  <si>
    <t>MUHAMMED T K</t>
  </si>
  <si>
    <t>Muhammed Waheed R K</t>
  </si>
  <si>
    <t>ABOOBACKER SAFWAN C B</t>
  </si>
  <si>
    <t>MUHAMMED HASHIR A K</t>
  </si>
  <si>
    <t>MOHAMMED NAFIH</t>
  </si>
  <si>
    <t>BEERAN MUEENUDHEEN MH</t>
  </si>
  <si>
    <t>MOHAMMAD K A</t>
  </si>
  <si>
    <t>IBRAHIM KALEEL</t>
  </si>
  <si>
    <t>MOHAMMED JASEEM</t>
  </si>
  <si>
    <t>MUHAMMED RAZI A T</t>
  </si>
  <si>
    <t>MUHAMMED ZAID</t>
  </si>
  <si>
    <t>MUHAMMED HAFEEZ P</t>
  </si>
  <si>
    <t>MOHAMMED HAFEEZ B</t>
  </si>
  <si>
    <t>MUHAMMED BIN JAFAR</t>
  </si>
  <si>
    <t>MOHAMMAD AJWAD</t>
  </si>
  <si>
    <t>FAZIL ABDULLA</t>
  </si>
  <si>
    <t>MUHAMMED SHIRAZ ISHAQUE</t>
  </si>
  <si>
    <t>JAUHAR ASHFAQUE MUHSIN</t>
  </si>
  <si>
    <t>YASEEN MUHAMMED</t>
  </si>
  <si>
    <t>MOHAMMED RAFAN A</t>
  </si>
  <si>
    <t>MUHAMMED UVAIS.P. S</t>
  </si>
  <si>
    <t>MOHAMMED SHUAIB K M</t>
  </si>
  <si>
    <t>ziyad. K. M. C</t>
  </si>
  <si>
    <t>MUHAMMED MOIDEEN KUNHI</t>
  </si>
  <si>
    <t>MUHAMMED AFLAH.MK</t>
  </si>
  <si>
    <t>MUHAMMED SHUHAIR</t>
  </si>
  <si>
    <t>Muhammed Anshad A</t>
  </si>
  <si>
    <t>ABDUL AFEEZ C.F</t>
  </si>
  <si>
    <t>ABDULLA</t>
  </si>
  <si>
    <t>ABDULLAH A P</t>
  </si>
  <si>
    <t>AHAMED ADIL. A</t>
  </si>
  <si>
    <t>AHMED WALEED K A</t>
  </si>
  <si>
    <t>AYAAN ABOOBAKAR</t>
  </si>
  <si>
    <t>FADIL AMEEN ABDULLA</t>
  </si>
  <si>
    <t>MOHAMED JAWHAR J A</t>
  </si>
  <si>
    <t>Mohammad Yaseen</t>
  </si>
  <si>
    <t>MOHAMMED QUBAIB A H</t>
  </si>
  <si>
    <t>MOHAMMED SAWA T A</t>
  </si>
  <si>
    <t>MOHAMMED WASIM SHAHAD SM</t>
  </si>
  <si>
    <t>Muhammad M</t>
  </si>
  <si>
    <t>MUHAMMAD SHAHSAD HASAN</t>
  </si>
  <si>
    <t>MUHAMMED ADNAN K.A</t>
  </si>
  <si>
    <t>Muhammed Anas</t>
  </si>
  <si>
    <t>MUHAMMED ASHIR M</t>
  </si>
  <si>
    <t>MUHAMMED AYAAN</t>
  </si>
  <si>
    <t>MUHAMMED FAHAD</t>
  </si>
  <si>
    <t>MUHAMMED FAREED A S</t>
  </si>
  <si>
    <t>MUHAMMED LUQMAN TD</t>
  </si>
  <si>
    <t>MUHAMMED MICDAD RAMEES A H</t>
  </si>
  <si>
    <t>MUHAMMED MIDLAJ</t>
  </si>
  <si>
    <t>Muhammed Naieem</t>
  </si>
  <si>
    <t>MUHAMMED RAEES C A</t>
  </si>
  <si>
    <t>Muhammed Sinan D A</t>
  </si>
  <si>
    <t>NAZWAN MOHAMMED</t>
  </si>
  <si>
    <t>P.V.AHMAD ANAS</t>
  </si>
  <si>
    <t>SAYYED MOHAMMED SINAN AM</t>
  </si>
  <si>
    <t>SAYYED MUHAMMED ABOOBACKER</t>
  </si>
  <si>
    <t>SHAHUL HAMEED B.I</t>
  </si>
  <si>
    <t>THUFAIL</t>
  </si>
  <si>
    <t>YOUSUF FAHEEM P</t>
  </si>
  <si>
    <t>ZAINUL ABID K</t>
  </si>
  <si>
    <t>AHMED AFRAZ MB</t>
  </si>
  <si>
    <t>AHMAD MUBASHAR</t>
  </si>
  <si>
    <t>MOHAMMED NAFIH BA</t>
  </si>
  <si>
    <t>FAKRUDDIN NAFIL</t>
  </si>
  <si>
    <t>HASAN THAMMEEM</t>
  </si>
  <si>
    <t>MUHAMMED ROUHAN M.K</t>
  </si>
  <si>
    <t>MUHAMMED ZAMIL</t>
  </si>
  <si>
    <t>ABDUL RAHIMAN FAIZ T A</t>
  </si>
  <si>
    <t>AHAMMED SAFAR ZAKARIYA</t>
  </si>
  <si>
    <t>MUHAMMED MUHAZ P A</t>
  </si>
  <si>
    <t>MUHAMMED SAHEEM ASHRAF</t>
  </si>
  <si>
    <t>SHARAZ AHAMMED</t>
  </si>
  <si>
    <t>MUHAMMED IHTHISHAM P I</t>
  </si>
  <si>
    <t>AMEEN RAHMAN MTP</t>
  </si>
  <si>
    <t>HASSAN SAHAL N A</t>
  </si>
  <si>
    <t>MOHAMMED SABIK BM</t>
  </si>
  <si>
    <t>MUHAMMAD SABITH V K P</t>
  </si>
  <si>
    <t>Muhammad Muaaz</t>
  </si>
  <si>
    <t>ABDUL SA-AD</t>
  </si>
  <si>
    <t>MOHAMMED RIYAN</t>
  </si>
  <si>
    <t>MOHIDDEEN SHAHSHAD</t>
  </si>
  <si>
    <t>MUHAMMAD FAYIZ B</t>
  </si>
  <si>
    <t>MUHAMMED YASEEN</t>
  </si>
  <si>
    <t>MOHAMMED RAED. UA</t>
  </si>
  <si>
    <t>MUHAMMED SHANIFM P</t>
  </si>
  <si>
    <t>AHAMMED JABIR K H</t>
  </si>
  <si>
    <t>THANSEEHU RAHMAN</t>
  </si>
  <si>
    <t>MOHAMMED AFNAN</t>
  </si>
  <si>
    <t>MOHAMMED SABITH KU</t>
  </si>
  <si>
    <t>HAFIL ADIL AMANULLAH K K</t>
  </si>
  <si>
    <t>MUHAMMED BASSIM. E</t>
  </si>
  <si>
    <t>MUHAMMED SAEED THUFAIL</t>
  </si>
  <si>
    <t>MEERAN MOHIUDHEEN RAFIH</t>
  </si>
  <si>
    <t>ABDUL RAHIMAN AZAAN</t>
  </si>
  <si>
    <t>MOHAMMED RAFIH M R</t>
  </si>
  <si>
    <t>MUHAMMAD MIJVAD K</t>
  </si>
  <si>
    <t>MOHAMMAD IJAN</t>
  </si>
  <si>
    <t>HABEEB RAHMAN CA</t>
  </si>
  <si>
    <t>Muhammad</t>
  </si>
  <si>
    <t>MOHAMMED SHAHID</t>
  </si>
  <si>
    <t>RAFNAS P</t>
  </si>
  <si>
    <t>MUHAMMED HAMDAN A.P</t>
  </si>
  <si>
    <t>MOHAMMED SHADIL AP</t>
  </si>
  <si>
    <t>MUHAMMED NAFIH CI</t>
  </si>
  <si>
    <t>YASEEN NOORULLA PH</t>
  </si>
  <si>
    <t>WASEEM NIHAD A M</t>
  </si>
  <si>
    <t>MOHAMMED SHAMEEM B K</t>
  </si>
  <si>
    <t>MOHAMMED BAQIR TS</t>
  </si>
  <si>
    <t>MUHAMMED FARHAN PH</t>
  </si>
  <si>
    <t>ABDULLA FAHAD T.U</t>
  </si>
  <si>
    <t>ABDUL GAFOOR</t>
  </si>
  <si>
    <t>MUHAMMED MUNAZIR MM</t>
  </si>
  <si>
    <t>ABDUL KHADER ISHAQUE</t>
  </si>
  <si>
    <t>ABDULLA ALBAS</t>
  </si>
  <si>
    <t>MUHAMMED A</t>
  </si>
  <si>
    <t>MOHAMMED ANAS A.A</t>
  </si>
  <si>
    <t>MUHAMMED MIHRAZ</t>
  </si>
  <si>
    <t>FADIL MOHAMMED K M</t>
  </si>
  <si>
    <t>AJMAL AHMED MT</t>
  </si>
  <si>
    <t>MOHAMMED DAWOOD K</t>
  </si>
  <si>
    <t>MUHAMMED RAZI TM</t>
  </si>
  <si>
    <t>RAYHAN PH</t>
  </si>
  <si>
    <t>MOHAMMED YOUNUS</t>
  </si>
  <si>
    <t>RASALUL AMEEN T</t>
  </si>
  <si>
    <t>IBRAHIM AFIL</t>
  </si>
  <si>
    <t>MUHAMMED KASHIF</t>
  </si>
  <si>
    <t>AHAMMED MAHSHOOK M.B</t>
  </si>
  <si>
    <t>MUHAMMED ABDUL KADER</t>
  </si>
  <si>
    <t>HADIL RIJAS</t>
  </si>
  <si>
    <t>AHMAD MANAL KUDINGILA</t>
  </si>
  <si>
    <t>ABDUL RAHMAN ANFHAL M I</t>
  </si>
  <si>
    <t>ADIL ABDULLA A</t>
  </si>
  <si>
    <t>ABDULLA SALMAN FARIS M</t>
  </si>
  <si>
    <t>ABDULLA FARHAN M</t>
  </si>
  <si>
    <t>SHADIL AHAMED</t>
  </si>
  <si>
    <t>MUHAMMAD ISMAIL HAMDULLA V K</t>
  </si>
  <si>
    <t>MOHAMMED SA'DUDDEEN K</t>
  </si>
  <si>
    <t>SEYYAD MUHAMMED FAHMAN</t>
  </si>
  <si>
    <t>AJMAL RUWAIS</t>
  </si>
  <si>
    <t>MOHAMMED ABDUL KHADER K</t>
  </si>
  <si>
    <t>MUAHMMED ANAS P A</t>
  </si>
  <si>
    <t>Muhammed fahiz A K</t>
  </si>
  <si>
    <t>MUHAMMAD SHAMMAS</t>
  </si>
  <si>
    <t>ARIFUDEEN ABBAS A</t>
  </si>
  <si>
    <t>MAJID MUHAMMED M</t>
  </si>
  <si>
    <t>ABDUL SALAM ARIF</t>
  </si>
  <si>
    <t>MOHAMMED K H</t>
  </si>
  <si>
    <t>MOHAMMED FAQRUDDEEN RAZI</t>
  </si>
  <si>
    <t>MOHAMMED MUBASHIR</t>
  </si>
  <si>
    <t>AHAMMED MINHAJ E M</t>
  </si>
  <si>
    <t>ADNAN ABDULLAH B A</t>
  </si>
  <si>
    <t>SHAMMAZ P A</t>
  </si>
  <si>
    <t>MAHIN SINAN</t>
  </si>
  <si>
    <t>P K ZAMEEL AHMED</t>
  </si>
  <si>
    <t>MOHAMMED HISHAM</t>
  </si>
  <si>
    <t>IBRAHIM AHRAZ</t>
  </si>
  <si>
    <t>MUHAMMAD SHAZIN</t>
  </si>
  <si>
    <t>SALMANUL FARIS</t>
  </si>
  <si>
    <t>MUHAMMED ABDUL NASIF P.A</t>
  </si>
  <si>
    <t>AHAMAD SHABAB P A</t>
  </si>
  <si>
    <t>MOHAMMED SHAKIR HUSSAIN K.Y</t>
  </si>
  <si>
    <t>MUHAMMED SHUHAIB S</t>
  </si>
  <si>
    <t>MOHAMMED MOINUDDEEN CHISTY</t>
  </si>
  <si>
    <t>SULAIMAN FAHAD AP</t>
  </si>
  <si>
    <t>IJAS EBRAHIM</t>
  </si>
  <si>
    <t>AHMAD MINHAJ</t>
  </si>
  <si>
    <t>AHMAD AMEEN T S</t>
  </si>
  <si>
    <t>MUHAMMED SINAN M</t>
  </si>
  <si>
    <t>MUHAMMED ASHKKAR ALI</t>
  </si>
  <si>
    <t>SHAMEEL AHAMMED P</t>
  </si>
  <si>
    <t>IMRAN HUSSAIN TI</t>
  </si>
  <si>
    <t>AHAMED ZAKI FOUZAN T.Z</t>
  </si>
  <si>
    <t>MUHAMMED SHABEEB</t>
  </si>
  <si>
    <t>ABDUL BAAIS N.A</t>
  </si>
  <si>
    <t>MUHAMMED PK</t>
  </si>
  <si>
    <t>MOHAMMED ASHMIL K A</t>
  </si>
  <si>
    <t>MUHAMMED SABITH ALI TM</t>
  </si>
  <si>
    <t>MUHAMMED AHMASH K</t>
  </si>
  <si>
    <t>MOHAMMED RAZEEN S.P</t>
  </si>
  <si>
    <t>HASSAN ZARKASH</t>
  </si>
  <si>
    <t>ABDULLA RAMSHAD</t>
  </si>
  <si>
    <t>HASAN YASIR</t>
  </si>
  <si>
    <t>ABDUL FATHAH AHAMMED C</t>
  </si>
  <si>
    <t>MUHAMMED KAIF BS</t>
  </si>
  <si>
    <t>AJMAL AM</t>
  </si>
  <si>
    <t>MOHAMMED ABDUL KHADER NABAVI E A</t>
  </si>
  <si>
    <t>MUHAMMAD K.A</t>
  </si>
  <si>
    <t>MOHAMMED SAHEED A.K</t>
  </si>
  <si>
    <t>AHMED FAHEEM MA</t>
  </si>
  <si>
    <t>MUHAMMAD IBN AHMAD</t>
  </si>
  <si>
    <t>RESWAN</t>
  </si>
  <si>
    <t>MUHAMMED MUJTHABA MK</t>
  </si>
  <si>
    <t>MUHAMMED SHAHAN P.S</t>
  </si>
  <si>
    <t>MOHAMMED THAJUDDEEN A R P</t>
  </si>
  <si>
    <t>RUMAIZALI R IBRAHIM</t>
  </si>
  <si>
    <t>MUHAMMED THASLEEM</t>
  </si>
  <si>
    <t>AHAMED SHAMMAS C.M</t>
  </si>
  <si>
    <t>ABDUL HADIL P.M</t>
  </si>
  <si>
    <t>MUHAMMAD MUSTHAFA K.M</t>
  </si>
  <si>
    <t>ABDULLAH MAZIN</t>
  </si>
  <si>
    <t>MUHAMMED T A</t>
  </si>
  <si>
    <t>MOHAMMED HUSSAIN</t>
  </si>
  <si>
    <t>MUHAMMED ZAYAN N.S</t>
  </si>
  <si>
    <t>MUHAMMED FARHAN</t>
  </si>
  <si>
    <t>MOHAMMED RAZI</t>
  </si>
  <si>
    <t>MOHAMMED AFSAL</t>
  </si>
  <si>
    <t>JALALUDHEEN K</t>
  </si>
  <si>
    <t>MUHAMMAD RAZI</t>
  </si>
  <si>
    <t>MUHAMMAD SHANEED.</t>
  </si>
  <si>
    <t>ABDUL WADHOOD</t>
  </si>
  <si>
    <t>MOHAMMED SHAMMAS S.I</t>
  </si>
  <si>
    <t>AHMMED HASHIM M</t>
  </si>
  <si>
    <t>MOHAMMED HASHIR</t>
  </si>
  <si>
    <t>AHAMMED AJEER</t>
  </si>
  <si>
    <t>ABBAS AZNAB M.A</t>
  </si>
  <si>
    <t>MAHAMMED SHAMEEL</t>
  </si>
  <si>
    <t>AMEEN ABDULLA</t>
  </si>
  <si>
    <t>ZULFIKARALI</t>
  </si>
  <si>
    <t>MUHAMMED ANAS M.N</t>
  </si>
  <si>
    <t>ABDULLA M HAKEEM</t>
  </si>
  <si>
    <t>HASSAN SHADDAD UM</t>
  </si>
  <si>
    <t>MOHAMMED SAHL CS</t>
  </si>
  <si>
    <t>MOHAMMAD KHALANDAR ZIYAD</t>
  </si>
  <si>
    <t>ABU THAHIR</t>
  </si>
  <si>
    <t>MUHAMMAD SINAN NP</t>
  </si>
  <si>
    <t>ABDUL RAHMAN MUNZIR</t>
  </si>
  <si>
    <t>MUHAMMED MUZAMMIL P.M</t>
  </si>
  <si>
    <t>MOHAMMED SALIH</t>
  </si>
  <si>
    <t>MUHAMMED SUFAZ P</t>
  </si>
  <si>
    <t>SAYYAD MOHAMMED VASIL</t>
  </si>
  <si>
    <t>MUHAMMED MIDHLAJ KK</t>
  </si>
  <si>
    <t>SHADIN G</t>
  </si>
  <si>
    <t>MEHAZIN AMAN T</t>
  </si>
  <si>
    <t>MUHAMMED UNAIS CK</t>
  </si>
  <si>
    <t>ZAINUDEEN</t>
  </si>
  <si>
    <t>MAHAMMAD RIYAZ</t>
  </si>
  <si>
    <t>ABOOBAKR MA'ROOF</t>
  </si>
  <si>
    <t>MOHAMMED SHAMSHEER</t>
  </si>
  <si>
    <t>AJMAL ANEES</t>
  </si>
  <si>
    <t>HASHIR HUSSAIN IK</t>
  </si>
  <si>
    <t>MUHAMMED ASBAQUE</t>
  </si>
  <si>
    <t>AYYOOB V.N</t>
  </si>
  <si>
    <t>MOHAMMED JAWAD A</t>
  </si>
  <si>
    <t>AHAMMED MUBARAK KA</t>
  </si>
  <si>
    <t>MUHAMMED FAISAL A K</t>
  </si>
  <si>
    <t>MUHAMMAD MUSTHAFA P.K</t>
  </si>
  <si>
    <t>ISHAM V.K</t>
  </si>
  <si>
    <t>MUHAMMED MA</t>
  </si>
  <si>
    <t>MUHAMMED RASHAD KA</t>
  </si>
  <si>
    <t>ABBAS ARFAS O.R</t>
  </si>
  <si>
    <t>ABDUL YOUNUS</t>
  </si>
  <si>
    <t>MOHAMMED SHAHZAN T.K</t>
  </si>
  <si>
    <t>UMARUL FAROOK K .K</t>
  </si>
  <si>
    <t>MOHAMMED MARZOOK AM</t>
  </si>
  <si>
    <t>ABDUL KHADER</t>
  </si>
  <si>
    <t>MUHAMMED SHANAVAS M.A</t>
  </si>
  <si>
    <t>MOHAMMAD ISMAIL SINAN KM</t>
  </si>
  <si>
    <t>MUHAMMED UNAIS PT</t>
  </si>
  <si>
    <t>ASHIKK.I</t>
  </si>
  <si>
    <t>MUHAMMED YASIR K</t>
  </si>
  <si>
    <t>MUHAMMED BIN ABDUL KADHAR</t>
  </si>
  <si>
    <t>MUHAMMAD MUZAMMIL E.A</t>
  </si>
  <si>
    <t>MUHAMMED UNAIS</t>
  </si>
  <si>
    <t>MUHAMMED MUZAMMIL</t>
  </si>
  <si>
    <t>SALMAN FARIS</t>
  </si>
  <si>
    <t>MOHAMMED ATHHAR THAYYIB MS</t>
  </si>
  <si>
    <t>ABDURAHMAN P.H</t>
  </si>
  <si>
    <t>ABDUL JANIS</t>
  </si>
  <si>
    <t>AHMED SULTHAN</t>
  </si>
  <si>
    <t>MOHAMMED IRFAN C</t>
  </si>
  <si>
    <t>AHMAD BINYAMUL ASHIQUE</t>
  </si>
  <si>
    <t>MOHAMMED NAFIH KA</t>
  </si>
  <si>
    <t>MUHAMMED AYIZ</t>
  </si>
  <si>
    <t>AHMED ADIL B.K</t>
  </si>
  <si>
    <t>MOHAMMED ANFAHUDEEN T.A</t>
  </si>
  <si>
    <t>MUHAMMED MUFEED</t>
  </si>
  <si>
    <t>ABOOBACKER SIDDIK</t>
  </si>
  <si>
    <t>BADRUDHIN A</t>
  </si>
  <si>
    <t>AKBAR P</t>
  </si>
  <si>
    <t>MOHAMMED NASFAR AFNAN H</t>
  </si>
  <si>
    <t>SHAMEEM ABDULLA P.S</t>
  </si>
  <si>
    <t>AHMED BK</t>
  </si>
  <si>
    <t>MUHAMMED AKBAR NP</t>
  </si>
  <si>
    <t>ATHIF ABDULKHADER</t>
  </si>
  <si>
    <t>MUHAMMED SAJJAD</t>
  </si>
  <si>
    <t>AHAMED ASIF M</t>
  </si>
  <si>
    <t>MOHAMMAD SWALIH K</t>
  </si>
  <si>
    <t>YASEEN</t>
  </si>
  <si>
    <t>MAHAMMED ASHIK</t>
  </si>
  <si>
    <t>SALAHUDDEEN AYYOOBI KM</t>
  </si>
  <si>
    <t>ABDUL RAHMAN</t>
  </si>
  <si>
    <t>AHMED MANHAL HUSSAIN</t>
  </si>
  <si>
    <t>ASGAR ALI</t>
  </si>
  <si>
    <t>MOHAMMED AMEEN B.A</t>
  </si>
  <si>
    <t>THAMJEED TM</t>
  </si>
  <si>
    <t>MUHAMMED SIFARATH T A</t>
  </si>
  <si>
    <t>MUHAMMED ABDUL GHANI M.A</t>
  </si>
  <si>
    <t>AYAZ RAHMAN T</t>
  </si>
  <si>
    <t>AHMED SWALAHUDHEEN PI</t>
  </si>
  <si>
    <t>ABDUL VAJID K</t>
  </si>
  <si>
    <t>MUHAMMED ASHFAK K</t>
  </si>
  <si>
    <t>MUHAMMED SAFWAN</t>
  </si>
  <si>
    <t>Simsarul Haq VPM</t>
  </si>
  <si>
    <t>Class 
(Optional)2</t>
  </si>
  <si>
    <t>Program count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</si>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</sst>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name val="Calibri"/>
      <family val="2"/>
      <scheme val="minor"/>
    </font>
    <font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theme="4" tint="-0.24997711111789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rgb="FF000000"/>
      </patternFill>
    </fill>
  </fills>
  <borders count="2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medium">
        <color theme="7" tint="0.39997558519241921"/>
      </right>
      <top/>
      <bottom/>
      <diagonal/>
    </border>
    <border>
      <left/>
      <right style="thin">
        <color theme="7" tint="-0.249977111117893"/>
      </right>
      <top style="thin">
        <color theme="7" tint="-0.249977111117893"/>
      </top>
      <bottom/>
      <diagonal/>
    </border>
    <border>
      <left style="medium">
        <color theme="7" tint="0.39997558519241921"/>
      </left>
      <right/>
      <top/>
      <bottom/>
      <diagonal/>
    </border>
    <border>
      <left/>
      <right style="thin">
        <color theme="7" tint="-0.249977111117893"/>
      </right>
      <top/>
      <bottom/>
      <diagonal/>
    </border>
    <border>
      <left style="thin">
        <color theme="7" tint="-0.249977111117893"/>
      </left>
      <right style="thin">
        <color theme="7" tint="-0.249977111117893"/>
      </right>
      <top/>
      <bottom/>
      <diagonal/>
    </border>
    <border>
      <left style="thin">
        <color theme="7" tint="-0.249977111117893"/>
      </left>
      <right style="medium">
        <color theme="7" tint="0.39997558519241921"/>
      </right>
      <top/>
      <bottom/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medium">
        <color theme="7" tint="0.39997558519241921"/>
      </left>
      <right/>
      <top style="thin">
        <color theme="7" tint="-0.249977111117893"/>
      </top>
      <bottom style="medium">
        <color theme="7" tint="0.39997558519241921"/>
      </bottom>
      <diagonal/>
    </border>
    <border>
      <left style="medium">
        <color theme="7" tint="0.39997558519241921"/>
      </left>
      <right/>
      <top style="medium">
        <color theme="7" tint="0.39997558519241921"/>
      </top>
      <bottom style="thin">
        <color theme="7" tint="-0.249977111117893"/>
      </bottom>
      <diagonal/>
    </border>
    <border>
      <left style="medium">
        <color theme="7" tint="0.39997558519241921"/>
      </left>
      <right/>
      <top style="thin">
        <color theme="7" tint="-0.249977111117893"/>
      </top>
      <bottom style="thin">
        <color theme="7" tint="-0.249977111117893"/>
      </bottom>
      <diagonal/>
    </border>
    <border>
      <left style="medium">
        <color theme="7" tint="-0.499984740745262"/>
      </left>
      <right style="thin">
        <color theme="7" tint="-0.249977111117893"/>
      </right>
      <top style="medium">
        <color theme="7" tint="0.39997558519241921"/>
      </top>
      <bottom style="thin">
        <color theme="7" tint="-0.249977111117893"/>
      </bottom>
      <diagonal/>
    </border>
    <border>
      <left/>
      <right style="thin">
        <color theme="7" tint="-0.249977111117893"/>
      </right>
      <top style="medium">
        <color rgb="FF000000"/>
      </top>
      <bottom/>
      <diagonal/>
    </border>
    <border>
      <left style="thin">
        <color theme="7" tint="-0.249977111117893"/>
      </left>
      <right style="thin">
        <color theme="7" tint="-0.249977111117893"/>
      </right>
      <top style="medium">
        <color theme="7" tint="0.39997558519241921"/>
      </top>
      <bottom style="thin">
        <color theme="7" tint="-0.249977111117893"/>
      </bottom>
      <diagonal/>
    </border>
    <border>
      <left style="thin">
        <color rgb="FFBF8F00"/>
      </left>
      <right style="thin">
        <color rgb="FFBF8F00"/>
      </right>
      <top style="medium">
        <color rgb="FFFFD966"/>
      </top>
      <bottom style="thin">
        <color rgb="FFBF8F00"/>
      </bottom>
      <diagonal/>
    </border>
    <border>
      <left style="medium">
        <color theme="7" tint="-0.499984740745262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rgb="FFBF8F00"/>
      </left>
      <right style="thin">
        <color rgb="FFBF8F00"/>
      </right>
      <top/>
      <bottom style="thin">
        <color rgb="FFBF8F00"/>
      </bottom>
      <diagonal/>
    </border>
    <border>
      <left style="thin">
        <color theme="7" tint="-0.249977111117893"/>
      </left>
      <right style="medium">
        <color theme="7" tint="-0.499984740745262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medium">
        <color theme="7" tint="0.39997558519241921"/>
      </bottom>
      <diagonal/>
    </border>
    <border>
      <left style="medium">
        <color theme="7" tint="-0.499984740745262"/>
      </left>
      <right style="thin">
        <color theme="7" tint="-0.249977111117893"/>
      </right>
      <top/>
      <bottom style="thin">
        <color theme="7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/>
      <bottom style="thin">
        <color theme="7" tint="-0.249977111117893"/>
      </bottom>
      <diagonal/>
    </border>
    <border>
      <left style="thin">
        <color theme="7" tint="-0.249977111117893"/>
      </left>
      <right style="medium">
        <color theme="7" tint="-0.499984740745262"/>
      </right>
      <top/>
      <bottom style="thin">
        <color theme="7" tint="-0.249977111117893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3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4" borderId="0" xfId="0" applyFont="1" applyFill="1"/>
    <xf numFmtId="0" fontId="0" fillId="5" borderId="1" xfId="0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2" fillId="5" borderId="1" xfId="0" applyFont="1" applyFill="1" applyBorder="1" applyAlignment="1">
      <alignment horizontal="left"/>
    </xf>
    <xf numFmtId="0" fontId="5" fillId="2" borderId="0" xfId="0" applyFont="1" applyFill="1"/>
    <xf numFmtId="0" fontId="1" fillId="6" borderId="0" xfId="0" applyFont="1" applyFill="1" applyAlignment="1">
      <alignment horizontal="center"/>
    </xf>
    <xf numFmtId="0" fontId="4" fillId="7" borderId="1" xfId="0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8" fillId="0" borderId="0" xfId="0" applyNumberFormat="1" applyFont="1" applyAlignment="1">
      <alignment horizontal="right"/>
    </xf>
    <xf numFmtId="0" fontId="8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8" fillId="8" borderId="0" xfId="0" applyFont="1" applyFill="1" applyAlignment="1">
      <alignment horizontal="right"/>
    </xf>
    <xf numFmtId="0" fontId="8" fillId="8" borderId="0" xfId="0" applyFont="1" applyFill="1"/>
    <xf numFmtId="164" fontId="5" fillId="2" borderId="0" xfId="0" applyNumberFormat="1" applyFont="1" applyFill="1"/>
    <xf numFmtId="0" fontId="6" fillId="9" borderId="2" xfId="0" applyFont="1" applyFill="1" applyBorder="1"/>
    <xf numFmtId="0" fontId="6" fillId="9" borderId="4" xfId="0" applyFont="1" applyFill="1" applyBorder="1"/>
    <xf numFmtId="0" fontId="10" fillId="10" borderId="10" xfId="0" applyFont="1" applyFill="1" applyBorder="1"/>
    <xf numFmtId="0" fontId="10" fillId="10" borderId="11" xfId="0" applyFont="1" applyFill="1" applyBorder="1"/>
    <xf numFmtId="0" fontId="10" fillId="10" borderId="9" xfId="0" applyFont="1" applyFill="1" applyBorder="1"/>
    <xf numFmtId="0" fontId="10" fillId="11" borderId="12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vertical="center"/>
    </xf>
    <xf numFmtId="0" fontId="10" fillId="12" borderId="15" xfId="0" applyFont="1" applyFill="1" applyBorder="1" applyAlignment="1">
      <alignment horizontal="center" vertical="center"/>
    </xf>
    <xf numFmtId="0" fontId="10" fillId="13" borderId="16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vertical="center"/>
    </xf>
    <xf numFmtId="0" fontId="10" fillId="14" borderId="17" xfId="0" applyFont="1" applyFill="1" applyBorder="1" applyAlignment="1">
      <alignment horizontal="center" vertical="center"/>
    </xf>
    <xf numFmtId="0" fontId="10" fillId="11" borderId="8" xfId="0" applyFont="1" applyFill="1" applyBorder="1" applyAlignment="1">
      <alignment vertical="center"/>
    </xf>
    <xf numFmtId="0" fontId="10" fillId="12" borderId="17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3" borderId="18" xfId="0" applyFont="1" applyFill="1" applyBorder="1" applyAlignment="1">
      <alignment horizontal="center" vertical="center"/>
    </xf>
    <xf numFmtId="0" fontId="10" fillId="11" borderId="16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left"/>
    </xf>
    <xf numFmtId="0" fontId="11" fillId="13" borderId="3" xfId="0" applyFont="1" applyFill="1" applyBorder="1" applyAlignment="1">
      <alignment horizontal="left"/>
    </xf>
    <xf numFmtId="0" fontId="11" fillId="11" borderId="3" xfId="0" applyFont="1" applyFill="1" applyBorder="1" applyAlignment="1">
      <alignment horizontal="left"/>
    </xf>
    <xf numFmtId="0" fontId="11" fillId="13" borderId="13" xfId="0" applyFont="1" applyFill="1" applyBorder="1" applyAlignment="1">
      <alignment horizontal="left"/>
    </xf>
    <xf numFmtId="0" fontId="11" fillId="11" borderId="3" xfId="0" applyFont="1" applyFill="1" applyBorder="1" applyAlignment="1">
      <alignment horizontal="left" vertical="top"/>
    </xf>
    <xf numFmtId="0" fontId="10" fillId="13" borderId="8" xfId="0" applyFont="1" applyFill="1" applyBorder="1" applyAlignment="1">
      <alignment horizontal="left" vertical="center"/>
    </xf>
    <xf numFmtId="0" fontId="10" fillId="11" borderId="8" xfId="0" applyFont="1" applyFill="1" applyBorder="1" applyAlignment="1">
      <alignment horizontal="left" vertical="center"/>
    </xf>
    <xf numFmtId="0" fontId="10" fillId="13" borderId="19" xfId="0" applyFont="1" applyFill="1" applyBorder="1" applyAlignment="1">
      <alignment horizontal="left" vertical="center"/>
    </xf>
    <xf numFmtId="0" fontId="6" fillId="9" borderId="5" xfId="0" applyFont="1" applyFill="1" applyBorder="1"/>
    <xf numFmtId="0" fontId="6" fillId="9" borderId="6" xfId="0" applyFont="1" applyFill="1" applyBorder="1"/>
    <xf numFmtId="0" fontId="6" fillId="9" borderId="7" xfId="0" applyFont="1" applyFill="1" applyBorder="1" applyAlignment="1">
      <alignment horizontal="center" wrapText="1"/>
    </xf>
    <xf numFmtId="0" fontId="10" fillId="13" borderId="20" xfId="0" applyFont="1" applyFill="1" applyBorder="1" applyAlignment="1">
      <alignment horizontal="center" vertical="center"/>
    </xf>
    <xf numFmtId="0" fontId="10" fillId="13" borderId="21" xfId="0" applyFont="1" applyFill="1" applyBorder="1" applyAlignment="1">
      <alignment horizontal="left" vertical="center"/>
    </xf>
    <xf numFmtId="0" fontId="10" fillId="13" borderId="21" xfId="0" applyFont="1" applyFill="1" applyBorder="1" applyAlignment="1">
      <alignment vertical="center"/>
    </xf>
    <xf numFmtId="0" fontId="10" fillId="13" borderId="2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7" tint="-0.249977111117893"/>
        </left>
        <right style="medium">
          <color theme="7" tint="-0.499984740745262"/>
        </right>
        <top style="thin">
          <color theme="7" tint="-0.249977111117893"/>
        </top>
        <bottom style="thin">
          <color theme="7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7" tint="-0.249977111117893"/>
        </left>
        <right style="medium">
          <color theme="7" tint="-0.499984740745262"/>
        </right>
        <top style="thin">
          <color theme="7" tint="-0.249977111117893"/>
        </top>
        <bottom style="thin">
          <color theme="7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7" tint="-0.249977111117893"/>
        </left>
        <right style="thin">
          <color theme="7" tint="-0.249977111117893"/>
        </right>
        <top style="thin">
          <color theme="7" tint="-0.249977111117893"/>
        </top>
        <bottom style="thin">
          <color theme="7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7" tint="-0.249977111117893"/>
        </right>
        <top style="thin">
          <color theme="7" tint="-0.24997711111789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7" tint="-0.499984740745262"/>
        </left>
        <right style="thin">
          <color theme="7" tint="-0.249977111117893"/>
        </right>
        <top style="thin">
          <color theme="7" tint="-0.249977111117893"/>
        </top>
        <bottom style="thin">
          <color theme="7" tint="-0.249977111117893"/>
        </bottom>
        <vertical/>
        <horizontal/>
      </border>
    </dxf>
    <dxf>
      <border outline="0">
        <top style="thin">
          <color theme="7" tint="-0.249977111117893"/>
        </top>
        <bottom style="thin">
          <color theme="7" tint="-0.249977111117893"/>
        </bottom>
      </border>
    </dxf>
    <dxf>
      <font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left"/>
    </dxf>
    <dxf>
      <alignment horizontal="left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numFmt numFmtId="165" formatCode="&quot;&quot;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alignment horizontal="left"/>
    </dxf>
    <dxf>
      <alignment horizontal="left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left"/>
    </dxf>
    <dxf>
      <alignment horizontal="left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&quot;"/>
    </dxf>
    <dxf>
      <numFmt numFmtId="165" formatCode="&quot;&quot;"/>
    </dxf>
    <dxf>
      <numFmt numFmtId="165" formatCode="&quot;&quot;"/>
    </dxf>
    <dxf>
      <numFmt numFmtId="165" formatCode="&quot;&quot;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numFmt numFmtId="165" formatCode="&quot;&quot;"/>
    </dxf>
    <dxf>
      <alignment horizontal="left"/>
    </dxf>
    <dxf>
      <alignment horizontal="left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left"/>
    </dxf>
    <dxf>
      <alignment horizontal="left"/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 style="thin">
          <color theme="2" tint="-0.249977111117893"/>
        </vertical>
        <horizontal style="thin">
          <color theme="2" tint="-0.249977111117893"/>
        </horizontal>
      </border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5" formatCode="&quot;&quot;"/>
    </dxf>
    <dxf>
      <numFmt numFmtId="165" formatCode="&quot;&quot;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numFmt numFmtId="165" formatCode="&quot;&quot;"/>
    </dxf>
  </dxfs>
  <tableStyles count="1" defaultTableStyle="TableStyleMedium2" defaultPivotStyle="PivotStyleLight16">
    <tableStyle name="Invisible" pivot="0" table="0" count="0" xr9:uid="{705A0E7F-1FDC-490C-A70E-0007684B553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[FMS_GENIUS.xlsm]CLASS BASED!PivotTable1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'CLASS BASED'!$C$2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'CLASS BASED'!$B$3:$B$13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'CLASS BASED'!$C$3:$C$13</c:f>
              <c:numCache>
                <c:formatCode>General</c:formatCode>
                <c:ptCount val="10"/>
                <c:pt idx="0">
                  <c:v>279.5</c:v>
                </c:pt>
                <c:pt idx="1">
                  <c:v>808.5</c:v>
                </c:pt>
                <c:pt idx="2">
                  <c:v>501</c:v>
                </c:pt>
                <c:pt idx="3">
                  <c:v>415</c:v>
                </c:pt>
                <c:pt idx="4">
                  <c:v>272.5</c:v>
                </c:pt>
                <c:pt idx="5">
                  <c:v>442.5</c:v>
                </c:pt>
                <c:pt idx="6">
                  <c:v>361</c:v>
                </c:pt>
                <c:pt idx="7">
                  <c:v>356.5</c:v>
                </c:pt>
                <c:pt idx="8">
                  <c:v>478.5</c:v>
                </c:pt>
                <c:pt idx="9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0-4B74-B88F-EB27CACE4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9067183"/>
        <c:axId val="1502074031"/>
      </c:barChart>
      <c:catAx>
        <c:axId val="183906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074031"/>
        <c:crosses val="autoZero"/>
        <c:auto val="1"/>
        <c:lblAlgn val="ctr"/>
        <c:lblOffset val="100"/>
        <c:noMultiLvlLbl val="0"/>
      </c:catAx>
      <c:valAx>
        <c:axId val="150207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671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73705</xdr:colOff>
      <xdr:row>0</xdr:row>
      <xdr:rowOff>28349</xdr:rowOff>
    </xdr:from>
    <xdr:to>
      <xdr:col>0</xdr:col>
      <xdr:colOff>600982</xdr:colOff>
      <xdr:row>2</xdr:row>
      <xdr:rowOff>238125</xdr:rowOff>
    </xdr:to>
    <xdr:sp macro="[0]!btn_reload_all_Click" textlink="">
      <xdr:nvSpPr>
        <xdr:cNvPr id="2" name="Rectangle 1">
          <a:extLst>
            <a:ext uri="{FF2B5EF4-FFF2-40B4-BE49-F238E27FC236}">
              <a16:creationId xmlns:a16="http://schemas.microsoft.com/office/drawing/2014/main" id="{5649323B-F44D-91A8-F33F-DE71C54E9D7F}"/>
            </a:ext>
          </a:extLst>
        </xdr:cNvPr>
        <xdr:cNvSpPr/>
      </xdr:nvSpPr>
      <xdr:spPr>
        <a:xfrm>
          <a:off x="73705" y="28349"/>
          <a:ext cx="527277" cy="5726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🔄️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54767</xdr:colOff>
      <xdr:row>1</xdr:row>
      <xdr:rowOff>133350</xdr:rowOff>
    </xdr:from>
    <xdr:to>
      <xdr:col>16</xdr:col>
      <xdr:colOff>47624</xdr:colOff>
      <xdr:row>23</xdr:row>
      <xdr:rowOff>33338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DCDCC5-5F65-4AC3-BF33-6FD4E572A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</xdr:colOff>
      <xdr:row>0</xdr:row>
      <xdr:rowOff>61912</xdr:rowOff>
    </xdr:from>
    <xdr:to>
      <xdr:col>1</xdr:col>
      <xdr:colOff>490538</xdr:colOff>
      <xdr:row>2</xdr:row>
      <xdr:rowOff>380999</xdr:rowOff>
    </xdr:to>
    <xdr:sp macro="[0]!btn_reload_all_Click" textlink="">
      <xdr:nvSpPr>
        <xdr:cNvPr id="4" name="Rectangle 3">
          <a:extLst>
            <a:ext uri="{FF2B5EF4-FFF2-40B4-BE49-F238E27FC236}">
              <a16:creationId xmlns:a16="http://schemas.microsoft.com/office/drawing/2014/main" id="{A90D4DD2-C2C7-4430-AC16-759C8EF02542}"/>
            </a:ext>
          </a:extLst>
        </xdr:cNvPr>
        <xdr:cNvSpPr/>
      </xdr:nvSpPr>
      <xdr:spPr>
        <a:xfrm>
          <a:off x="190500" y="61912"/>
          <a:ext cx="485776" cy="685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🔄️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9c2bead5a87975f/Documents/MDIA%20FEST%202023/ARTS/FMS_RESULT_MANAGER.xlsm" TargetMode="External"/><Relationship Id="rId1" Type="http://schemas.openxmlformats.org/officeDocument/2006/relationships/externalLinkPath" Target="ARTS/FMS_RESULT_MANAGE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9c2bead5a87975f/Documents/MDIA%20FEST%202023/SPORTS/SPORTS_FMS_RESULT_MANAGER.xlsm" TargetMode="External"/><Relationship Id="rId1" Type="http://schemas.openxmlformats.org/officeDocument/2006/relationships/externalLinkPath" Target="SPORTS/SPORTS_FMS_RESULT_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79c2bead5a87975f" itemId="79c2bead5a87975f!30178">
      <xxl21:absoluteUrl r:id="rId2"/>
    </xxl21:alternateUrls>
    <sheetNames>
      <sheetName val="SETTINGS"/>
      <sheetName val="I AM ASHRAF HUDAWI"/>
      <sheetName val="🏠MENU"/>
      <sheetName val="BASIC"/>
      <sheetName val="TEAMS"/>
      <sheetName val="CANDIDATES"/>
      <sheetName val="PROGRAMS"/>
      <sheetName val="PROGRAM STATUS"/>
      <sheetName val="PROGRAM REGI. LIMITS"/>
      <sheetName val="PROGRAM REGI."/>
      <sheetName val="CHECK REGI. LIMITS"/>
      <sheetName val="SEARCH"/>
      <sheetName val="ADD RESULT"/>
      <sheetName val="RESULT SEARCH"/>
      <sheetName val="MINUS AND PLUS"/>
      <sheetName val="lists for dropdown in filter"/>
    </sheetNames>
    <sheetDataSet>
      <sheetData sheetId="0"/>
      <sheetData sheetId="1"/>
      <sheetData sheetId="2"/>
      <sheetData sheetId="3">
        <row r="7">
          <cell r="E7" t="str">
            <v>SUB JUNIOR</v>
          </cell>
        </row>
        <row r="8">
          <cell r="E8" t="str">
            <v>JUNIOR</v>
          </cell>
          <cell r="V8">
            <v>100</v>
          </cell>
        </row>
        <row r="9">
          <cell r="E9" t="str">
            <v>SENIOR</v>
          </cell>
        </row>
        <row r="10">
          <cell r="E10" t="str">
            <v>SUPER SENIOR</v>
          </cell>
        </row>
        <row r="11">
          <cell r="E11" t="str">
            <v>GENERAL</v>
          </cell>
        </row>
      </sheetData>
      <sheetData sheetId="4">
        <row r="7">
          <cell r="C7" t="str">
            <v>FANT</v>
          </cell>
        </row>
        <row r="8">
          <cell r="C8" t="str">
            <v>DAHF</v>
          </cell>
        </row>
        <row r="9">
          <cell r="C9" t="str">
            <v>BADF</v>
          </cell>
        </row>
        <row r="10">
          <cell r="C10" t="str">
            <v>JARF</v>
          </cell>
        </row>
      </sheetData>
      <sheetData sheetId="5">
        <row r="7">
          <cell r="C7" t="str">
            <v>A100</v>
          </cell>
          <cell r="D7" t="str">
            <v>ADINAN ABOOBACKER K</v>
          </cell>
          <cell r="E7" t="str">
            <v>FANT</v>
          </cell>
          <cell r="F7" t="str">
            <v>SUB JUNIOR</v>
          </cell>
          <cell r="G7">
            <v>1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255</v>
          </cell>
          <cell r="M7">
            <v>255</v>
          </cell>
        </row>
        <row r="8">
          <cell r="C8" t="str">
            <v>A101</v>
          </cell>
          <cell r="D8" t="str">
            <v>MUHAMMED TAMEEM</v>
          </cell>
          <cell r="E8" t="str">
            <v>JARF</v>
          </cell>
          <cell r="F8" t="str">
            <v>SUB JUNIOR</v>
          </cell>
          <cell r="G8">
            <v>1</v>
          </cell>
          <cell r="H8">
            <v>6</v>
          </cell>
          <cell r="I8">
            <v>0</v>
          </cell>
          <cell r="J8">
            <v>6</v>
          </cell>
          <cell r="K8">
            <v>6</v>
          </cell>
          <cell r="L8">
            <v>171</v>
          </cell>
          <cell r="M8">
            <v>171</v>
          </cell>
        </row>
        <row r="9">
          <cell r="C9" t="str">
            <v>A102</v>
          </cell>
          <cell r="D9" t="str">
            <v>AJZAL ASHRAF OV</v>
          </cell>
          <cell r="E9" t="str">
            <v>JARF</v>
          </cell>
          <cell r="F9" t="str">
            <v>SUB JUNIOR</v>
          </cell>
          <cell r="G9">
            <v>1</v>
          </cell>
          <cell r="H9">
            <v>14</v>
          </cell>
          <cell r="I9">
            <v>0</v>
          </cell>
          <cell r="J9">
            <v>14</v>
          </cell>
          <cell r="K9">
            <v>14</v>
          </cell>
          <cell r="L9">
            <v>104</v>
          </cell>
          <cell r="M9">
            <v>104</v>
          </cell>
        </row>
        <row r="10">
          <cell r="C10" t="str">
            <v>A103</v>
          </cell>
          <cell r="D10" t="str">
            <v>MUHAMMED RIZIN AMAN</v>
          </cell>
          <cell r="E10" t="str">
            <v>JARF</v>
          </cell>
          <cell r="F10" t="str">
            <v>SUB JUNIOR</v>
          </cell>
          <cell r="G10">
            <v>1</v>
          </cell>
          <cell r="H10">
            <v>26.5</v>
          </cell>
          <cell r="I10">
            <v>0</v>
          </cell>
          <cell r="J10">
            <v>26.5</v>
          </cell>
          <cell r="K10">
            <v>26.5</v>
          </cell>
          <cell r="L10">
            <v>56</v>
          </cell>
          <cell r="M10">
            <v>56</v>
          </cell>
        </row>
        <row r="11">
          <cell r="C11" t="str">
            <v>A104</v>
          </cell>
          <cell r="D11" t="str">
            <v>MUHAMMAD AZEEM</v>
          </cell>
          <cell r="E11" t="str">
            <v>BADF</v>
          </cell>
          <cell r="F11" t="str">
            <v>SUB JUNIOR</v>
          </cell>
          <cell r="G11">
            <v>1</v>
          </cell>
          <cell r="H11">
            <v>25.5</v>
          </cell>
          <cell r="I11">
            <v>0</v>
          </cell>
          <cell r="J11">
            <v>25.5</v>
          </cell>
          <cell r="K11">
            <v>25.5</v>
          </cell>
          <cell r="L11">
            <v>59</v>
          </cell>
          <cell r="M11">
            <v>59</v>
          </cell>
        </row>
        <row r="12">
          <cell r="C12" t="str">
            <v>A105</v>
          </cell>
          <cell r="D12" t="str">
            <v>MUHAMMED HAFIZ S T</v>
          </cell>
          <cell r="E12" t="str">
            <v>FANT</v>
          </cell>
          <cell r="F12" t="str">
            <v>SUB JUNIOR</v>
          </cell>
          <cell r="G12">
            <v>1</v>
          </cell>
          <cell r="H12">
            <v>15</v>
          </cell>
          <cell r="I12">
            <v>0</v>
          </cell>
          <cell r="J12">
            <v>15</v>
          </cell>
          <cell r="K12">
            <v>15</v>
          </cell>
          <cell r="L12">
            <v>100</v>
          </cell>
          <cell r="M12">
            <v>100</v>
          </cell>
        </row>
        <row r="13">
          <cell r="C13" t="str">
            <v>A106</v>
          </cell>
          <cell r="D13" t="str">
            <v>Abdul Khader Uvais K A</v>
          </cell>
          <cell r="E13" t="str">
            <v>BADF</v>
          </cell>
          <cell r="F13" t="str">
            <v>SUB JUNIOR</v>
          </cell>
          <cell r="G13">
            <v>1</v>
          </cell>
          <cell r="H13">
            <v>8</v>
          </cell>
          <cell r="I13">
            <v>0</v>
          </cell>
          <cell r="J13">
            <v>8</v>
          </cell>
          <cell r="K13">
            <v>8</v>
          </cell>
          <cell r="L13">
            <v>147</v>
          </cell>
          <cell r="M13">
            <v>147</v>
          </cell>
        </row>
        <row r="14">
          <cell r="C14" t="str">
            <v>A107</v>
          </cell>
          <cell r="D14" t="str">
            <v>MUHAMMED ADHIL C H</v>
          </cell>
          <cell r="E14" t="str">
            <v>FANT</v>
          </cell>
          <cell r="F14" t="str">
            <v>SUB JUNIOR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255</v>
          </cell>
          <cell r="M14">
            <v>255</v>
          </cell>
        </row>
        <row r="15">
          <cell r="C15" t="str">
            <v>A108</v>
          </cell>
          <cell r="D15" t="str">
            <v>Mohammed Sinan N.A</v>
          </cell>
          <cell r="E15" t="str">
            <v>BADF</v>
          </cell>
          <cell r="F15" t="str">
            <v>SUB JUNIOR</v>
          </cell>
          <cell r="G15">
            <v>1</v>
          </cell>
          <cell r="H15">
            <v>3</v>
          </cell>
          <cell r="I15">
            <v>0</v>
          </cell>
          <cell r="J15">
            <v>3</v>
          </cell>
          <cell r="K15">
            <v>3</v>
          </cell>
          <cell r="L15">
            <v>209</v>
          </cell>
          <cell r="M15">
            <v>209</v>
          </cell>
        </row>
        <row r="16">
          <cell r="C16" t="str">
            <v>A109</v>
          </cell>
          <cell r="D16" t="str">
            <v>AHMED RAZI MR</v>
          </cell>
          <cell r="E16" t="str">
            <v>BADF</v>
          </cell>
          <cell r="F16" t="str">
            <v>SUB JUNIOR</v>
          </cell>
          <cell r="G16">
            <v>1</v>
          </cell>
          <cell r="H16">
            <v>38</v>
          </cell>
          <cell r="I16">
            <v>0</v>
          </cell>
          <cell r="J16">
            <v>38</v>
          </cell>
          <cell r="K16">
            <v>38</v>
          </cell>
          <cell r="L16">
            <v>26</v>
          </cell>
          <cell r="M16">
            <v>26</v>
          </cell>
        </row>
        <row r="17">
          <cell r="C17" t="str">
            <v>A110</v>
          </cell>
          <cell r="D17" t="str">
            <v>Muhammed Hisham K M</v>
          </cell>
          <cell r="E17" t="str">
            <v>FANT</v>
          </cell>
          <cell r="F17" t="str">
            <v>SUB JUNIOR</v>
          </cell>
          <cell r="G17">
            <v>1</v>
          </cell>
          <cell r="H17">
            <v>9</v>
          </cell>
          <cell r="I17">
            <v>0</v>
          </cell>
          <cell r="J17">
            <v>9</v>
          </cell>
          <cell r="K17">
            <v>9</v>
          </cell>
          <cell r="L17">
            <v>139</v>
          </cell>
          <cell r="M17">
            <v>139</v>
          </cell>
        </row>
        <row r="18">
          <cell r="C18" t="str">
            <v>A111</v>
          </cell>
          <cell r="D18" t="str">
            <v>HUSSAIN MUHAVIZ B A</v>
          </cell>
          <cell r="E18" t="str">
            <v>FANT</v>
          </cell>
          <cell r="F18" t="str">
            <v>SUB JUNIOR</v>
          </cell>
          <cell r="G18">
            <v>1</v>
          </cell>
          <cell r="H18">
            <v>10</v>
          </cell>
          <cell r="I18">
            <v>0</v>
          </cell>
          <cell r="J18">
            <v>10</v>
          </cell>
          <cell r="K18">
            <v>10</v>
          </cell>
          <cell r="L18">
            <v>131</v>
          </cell>
          <cell r="M18">
            <v>131</v>
          </cell>
        </row>
        <row r="19">
          <cell r="C19" t="str">
            <v>A112</v>
          </cell>
          <cell r="D19" t="str">
            <v>HILAL ABDULLA C H</v>
          </cell>
          <cell r="E19" t="str">
            <v>DAHF</v>
          </cell>
          <cell r="F19" t="str">
            <v>SUB JUNIOR</v>
          </cell>
          <cell r="G19">
            <v>1</v>
          </cell>
          <cell r="H19">
            <v>20</v>
          </cell>
          <cell r="I19">
            <v>0</v>
          </cell>
          <cell r="J19">
            <v>20</v>
          </cell>
          <cell r="K19">
            <v>20</v>
          </cell>
          <cell r="L19">
            <v>74</v>
          </cell>
          <cell r="M19">
            <v>74</v>
          </cell>
        </row>
        <row r="20">
          <cell r="C20" t="str">
            <v>A113</v>
          </cell>
          <cell r="D20" t="str">
            <v>MOIDEEN KAIS</v>
          </cell>
          <cell r="E20" t="str">
            <v>DAHF</v>
          </cell>
          <cell r="F20" t="str">
            <v>SUB JUNIOR</v>
          </cell>
          <cell r="G20">
            <v>1</v>
          </cell>
          <cell r="H20">
            <v>17</v>
          </cell>
          <cell r="I20">
            <v>0</v>
          </cell>
          <cell r="J20">
            <v>17</v>
          </cell>
          <cell r="K20">
            <v>17</v>
          </cell>
          <cell r="L20">
            <v>87</v>
          </cell>
          <cell r="M20">
            <v>87</v>
          </cell>
        </row>
        <row r="21">
          <cell r="C21" t="str">
            <v>A114</v>
          </cell>
          <cell r="D21" t="str">
            <v>MUHAMMED SHAHID K A</v>
          </cell>
          <cell r="E21" t="str">
            <v>BADF</v>
          </cell>
          <cell r="F21" t="str">
            <v>SUB JUNIOR</v>
          </cell>
          <cell r="G21">
            <v>1</v>
          </cell>
          <cell r="H21">
            <v>8</v>
          </cell>
          <cell r="I21">
            <v>0</v>
          </cell>
          <cell r="J21">
            <v>8</v>
          </cell>
          <cell r="K21">
            <v>8</v>
          </cell>
          <cell r="L21">
            <v>147</v>
          </cell>
          <cell r="M21">
            <v>147</v>
          </cell>
        </row>
        <row r="22">
          <cell r="C22" t="str">
            <v>A115</v>
          </cell>
          <cell r="D22" t="str">
            <v>K MUHAMMAD JALAL</v>
          </cell>
          <cell r="E22" t="str">
            <v>DAHF</v>
          </cell>
          <cell r="F22" t="str">
            <v>SUB JUNIOR</v>
          </cell>
          <cell r="G22">
            <v>1</v>
          </cell>
          <cell r="H22">
            <v>3.5</v>
          </cell>
          <cell r="I22">
            <v>0</v>
          </cell>
          <cell r="J22">
            <v>3.5</v>
          </cell>
          <cell r="K22">
            <v>3.5</v>
          </cell>
          <cell r="L22">
            <v>208</v>
          </cell>
          <cell r="M22">
            <v>208</v>
          </cell>
        </row>
        <row r="23">
          <cell r="C23" t="str">
            <v>A116</v>
          </cell>
          <cell r="D23" t="str">
            <v>MUHAMMED T K</v>
          </cell>
          <cell r="F23" t="str">
            <v>SUB JUNIOR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255</v>
          </cell>
          <cell r="M23">
            <v>255</v>
          </cell>
        </row>
        <row r="24">
          <cell r="C24" t="str">
            <v>A117</v>
          </cell>
          <cell r="D24" t="str">
            <v>Muhammed Waheed R K</v>
          </cell>
          <cell r="E24" t="str">
            <v>JARF</v>
          </cell>
          <cell r="F24" t="str">
            <v>SUB JUNIOR</v>
          </cell>
          <cell r="G24">
            <v>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255</v>
          </cell>
          <cell r="M24">
            <v>255</v>
          </cell>
        </row>
        <row r="25">
          <cell r="C25" t="str">
            <v>A118</v>
          </cell>
          <cell r="D25" t="str">
            <v>ABOOBACKER SAFWAN C B</v>
          </cell>
          <cell r="F25" t="str">
            <v>SUB JUNIOR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255</v>
          </cell>
          <cell r="M25">
            <v>255</v>
          </cell>
        </row>
        <row r="26">
          <cell r="C26" t="str">
            <v>A119</v>
          </cell>
          <cell r="D26" t="str">
            <v>MUHAMMED HASHIR A K</v>
          </cell>
          <cell r="E26" t="str">
            <v>JARF</v>
          </cell>
          <cell r="F26" t="str">
            <v>SUB JUNIOR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255</v>
          </cell>
          <cell r="M26">
            <v>255</v>
          </cell>
        </row>
        <row r="27">
          <cell r="C27" t="str">
            <v>A120</v>
          </cell>
          <cell r="D27" t="str">
            <v>MOHAMMED NAFIH</v>
          </cell>
          <cell r="E27" t="str">
            <v>DAHF</v>
          </cell>
          <cell r="F27" t="str">
            <v>SUB JUNIOR</v>
          </cell>
          <cell r="G27">
            <v>1</v>
          </cell>
          <cell r="H27">
            <v>5</v>
          </cell>
          <cell r="I27">
            <v>0</v>
          </cell>
          <cell r="J27">
            <v>5</v>
          </cell>
          <cell r="K27">
            <v>5</v>
          </cell>
          <cell r="L27">
            <v>190</v>
          </cell>
          <cell r="M27">
            <v>190</v>
          </cell>
        </row>
        <row r="28">
          <cell r="C28" t="str">
            <v>A121</v>
          </cell>
          <cell r="D28" t="str">
            <v>BEERAN MUEENUDHEEN MH</v>
          </cell>
          <cell r="E28" t="str">
            <v>JARF</v>
          </cell>
          <cell r="F28" t="str">
            <v>SUB JUNIOR</v>
          </cell>
          <cell r="G28">
            <v>1</v>
          </cell>
          <cell r="H28">
            <v>19</v>
          </cell>
          <cell r="I28">
            <v>0</v>
          </cell>
          <cell r="J28">
            <v>19</v>
          </cell>
          <cell r="K28">
            <v>19</v>
          </cell>
          <cell r="L28">
            <v>79</v>
          </cell>
          <cell r="M28">
            <v>79</v>
          </cell>
        </row>
        <row r="29">
          <cell r="C29" t="str">
            <v>A122</v>
          </cell>
          <cell r="D29" t="str">
            <v>MOHAMMAD K A</v>
          </cell>
          <cell r="E29" t="str">
            <v>FANT</v>
          </cell>
          <cell r="F29" t="str">
            <v>SUB JUNIOR</v>
          </cell>
          <cell r="G29">
            <v>1</v>
          </cell>
          <cell r="H29">
            <v>11</v>
          </cell>
          <cell r="I29">
            <v>0</v>
          </cell>
          <cell r="J29">
            <v>11</v>
          </cell>
          <cell r="K29">
            <v>11</v>
          </cell>
          <cell r="L29">
            <v>123</v>
          </cell>
          <cell r="M29">
            <v>123</v>
          </cell>
        </row>
        <row r="30">
          <cell r="C30" t="str">
            <v>A123</v>
          </cell>
          <cell r="D30" t="str">
            <v>IBRAHIM KALEEL</v>
          </cell>
          <cell r="E30" t="str">
            <v>JARF</v>
          </cell>
          <cell r="F30" t="str">
            <v>SUB JUNIOR</v>
          </cell>
          <cell r="G30">
            <v>1</v>
          </cell>
          <cell r="H30">
            <v>6</v>
          </cell>
          <cell r="I30">
            <v>0</v>
          </cell>
          <cell r="J30">
            <v>6</v>
          </cell>
          <cell r="K30">
            <v>6</v>
          </cell>
          <cell r="L30">
            <v>171</v>
          </cell>
          <cell r="M30">
            <v>171</v>
          </cell>
        </row>
        <row r="31">
          <cell r="C31" t="str">
            <v>A124</v>
          </cell>
          <cell r="D31" t="str">
            <v>MOHAMMED JASEEM</v>
          </cell>
          <cell r="E31" t="str">
            <v>BADF</v>
          </cell>
          <cell r="F31" t="str">
            <v>SUB JUNIOR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255</v>
          </cell>
          <cell r="M31">
            <v>255</v>
          </cell>
        </row>
        <row r="32">
          <cell r="C32" t="str">
            <v>A125</v>
          </cell>
          <cell r="D32" t="str">
            <v>MUHAMMED RAZI A T</v>
          </cell>
          <cell r="E32" t="str">
            <v>DAHF</v>
          </cell>
          <cell r="F32" t="str">
            <v>SUB JUNIOR</v>
          </cell>
          <cell r="G32">
            <v>1</v>
          </cell>
          <cell r="H32">
            <v>9</v>
          </cell>
          <cell r="I32">
            <v>0</v>
          </cell>
          <cell r="J32">
            <v>9</v>
          </cell>
          <cell r="K32">
            <v>9</v>
          </cell>
          <cell r="L32">
            <v>139</v>
          </cell>
          <cell r="M32">
            <v>139</v>
          </cell>
        </row>
        <row r="33">
          <cell r="C33" t="str">
            <v>A126</v>
          </cell>
          <cell r="D33" t="str">
            <v>MUHAMMED ZAID</v>
          </cell>
          <cell r="E33" t="str">
            <v>JARF</v>
          </cell>
          <cell r="F33" t="str">
            <v>SUB JUNIOR</v>
          </cell>
          <cell r="G33">
            <v>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255</v>
          </cell>
          <cell r="M33">
            <v>255</v>
          </cell>
        </row>
        <row r="34">
          <cell r="C34" t="str">
            <v>A127</v>
          </cell>
          <cell r="D34" t="str">
            <v>MUHAMMED HAFEEZ P</v>
          </cell>
          <cell r="E34" t="str">
            <v>BADF</v>
          </cell>
          <cell r="F34" t="str">
            <v>SUB JUNIOR</v>
          </cell>
          <cell r="G34">
            <v>1</v>
          </cell>
          <cell r="H34">
            <v>1</v>
          </cell>
          <cell r="I34">
            <v>0</v>
          </cell>
          <cell r="J34">
            <v>1</v>
          </cell>
          <cell r="K34">
            <v>1</v>
          </cell>
          <cell r="L34">
            <v>231</v>
          </cell>
          <cell r="M34">
            <v>231</v>
          </cell>
        </row>
        <row r="35">
          <cell r="C35" t="str">
            <v>A128</v>
          </cell>
          <cell r="D35" t="str">
            <v>MOHAMMED HAFEEZ B</v>
          </cell>
          <cell r="E35" t="str">
            <v>DAHF</v>
          </cell>
          <cell r="F35" t="str">
            <v>SUB JUNIOR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255</v>
          </cell>
          <cell r="M35">
            <v>255</v>
          </cell>
        </row>
        <row r="36">
          <cell r="C36" t="str">
            <v>A129</v>
          </cell>
          <cell r="D36" t="str">
            <v>MUHAMMED BIN JAFAR</v>
          </cell>
          <cell r="E36" t="str">
            <v>FANT</v>
          </cell>
          <cell r="F36" t="str">
            <v>SUB JUNIOR</v>
          </cell>
          <cell r="G36">
            <v>1</v>
          </cell>
          <cell r="H36">
            <v>3</v>
          </cell>
          <cell r="I36">
            <v>0</v>
          </cell>
          <cell r="J36">
            <v>3</v>
          </cell>
          <cell r="K36">
            <v>3</v>
          </cell>
          <cell r="L36">
            <v>209</v>
          </cell>
          <cell r="M36">
            <v>209</v>
          </cell>
        </row>
        <row r="37">
          <cell r="C37" t="str">
            <v>A130</v>
          </cell>
          <cell r="D37" t="str">
            <v>MOHAMMAD AJWAD</v>
          </cell>
          <cell r="E37" t="str">
            <v>JARF</v>
          </cell>
          <cell r="F37" t="str">
            <v>SUB JUNIOR</v>
          </cell>
          <cell r="G37">
            <v>1</v>
          </cell>
          <cell r="H37">
            <v>5</v>
          </cell>
          <cell r="I37">
            <v>0</v>
          </cell>
          <cell r="J37">
            <v>5</v>
          </cell>
          <cell r="K37">
            <v>5</v>
          </cell>
          <cell r="L37">
            <v>190</v>
          </cell>
          <cell r="M37">
            <v>190</v>
          </cell>
        </row>
        <row r="38">
          <cell r="C38" t="str">
            <v>A131</v>
          </cell>
          <cell r="D38" t="str">
            <v>FAZIL ABDULLA</v>
          </cell>
          <cell r="E38" t="str">
            <v>DAHF</v>
          </cell>
          <cell r="F38" t="str">
            <v>SUB JUNIOR</v>
          </cell>
          <cell r="G38">
            <v>1</v>
          </cell>
          <cell r="H38">
            <v>1</v>
          </cell>
          <cell r="I38">
            <v>0</v>
          </cell>
          <cell r="J38">
            <v>1</v>
          </cell>
          <cell r="K38">
            <v>1</v>
          </cell>
          <cell r="L38">
            <v>231</v>
          </cell>
          <cell r="M38">
            <v>231</v>
          </cell>
        </row>
        <row r="39">
          <cell r="C39" t="str">
            <v>A132</v>
          </cell>
          <cell r="D39" t="str">
            <v>MUHAMMED SHIRAZ ISHAQUE</v>
          </cell>
          <cell r="E39" t="str">
            <v>FANT</v>
          </cell>
          <cell r="F39" t="str">
            <v>SUB JUNIOR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255</v>
          </cell>
          <cell r="M39">
            <v>255</v>
          </cell>
        </row>
        <row r="40">
          <cell r="C40" t="str">
            <v>A133</v>
          </cell>
          <cell r="D40" t="str">
            <v>JAUHAR ASHFAQUE MUHSIN</v>
          </cell>
          <cell r="E40" t="str">
            <v>JARF</v>
          </cell>
          <cell r="F40" t="str">
            <v>SUB JUNIOR</v>
          </cell>
          <cell r="G40">
            <v>1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255</v>
          </cell>
          <cell r="M40">
            <v>255</v>
          </cell>
        </row>
        <row r="41">
          <cell r="C41" t="str">
            <v>A134</v>
          </cell>
          <cell r="D41" t="str">
            <v>YASEEN MUHAMMED</v>
          </cell>
          <cell r="E41" t="str">
            <v>DAHF</v>
          </cell>
          <cell r="F41" t="str">
            <v>SUB JUNIOR</v>
          </cell>
          <cell r="G41">
            <v>1</v>
          </cell>
          <cell r="H41">
            <v>8</v>
          </cell>
          <cell r="I41">
            <v>0</v>
          </cell>
          <cell r="J41">
            <v>8</v>
          </cell>
          <cell r="K41">
            <v>8</v>
          </cell>
          <cell r="L41">
            <v>147</v>
          </cell>
          <cell r="M41">
            <v>147</v>
          </cell>
        </row>
        <row r="42">
          <cell r="C42" t="str">
            <v>A135</v>
          </cell>
          <cell r="D42" t="str">
            <v>MOHAMMED RAFAN A</v>
          </cell>
          <cell r="E42" t="str">
            <v>BADF</v>
          </cell>
          <cell r="F42" t="str">
            <v>SUB JUNIOR</v>
          </cell>
          <cell r="G42">
            <v>1</v>
          </cell>
          <cell r="H42">
            <v>1</v>
          </cell>
          <cell r="I42">
            <v>0</v>
          </cell>
          <cell r="J42">
            <v>1</v>
          </cell>
          <cell r="K42">
            <v>1</v>
          </cell>
          <cell r="L42">
            <v>231</v>
          </cell>
          <cell r="M42">
            <v>231</v>
          </cell>
        </row>
        <row r="43">
          <cell r="C43" t="str">
            <v>A136</v>
          </cell>
          <cell r="D43" t="str">
            <v>MUHAMMED UVAIS.P. S</v>
          </cell>
          <cell r="E43" t="str">
            <v>BADF</v>
          </cell>
          <cell r="F43" t="str">
            <v>SUB JUNIOR</v>
          </cell>
          <cell r="G43">
            <v>1</v>
          </cell>
          <cell r="H43">
            <v>3</v>
          </cell>
          <cell r="I43">
            <v>0</v>
          </cell>
          <cell r="J43">
            <v>3</v>
          </cell>
          <cell r="K43">
            <v>3</v>
          </cell>
          <cell r="L43">
            <v>209</v>
          </cell>
          <cell r="M43">
            <v>209</v>
          </cell>
        </row>
        <row r="44">
          <cell r="C44" t="str">
            <v>A137</v>
          </cell>
          <cell r="D44" t="str">
            <v>MOHAMMED SHUAIB K M</v>
          </cell>
          <cell r="E44" t="str">
            <v>DAHF</v>
          </cell>
          <cell r="F44" t="str">
            <v>SUB JUNIOR</v>
          </cell>
          <cell r="G44">
            <v>1</v>
          </cell>
          <cell r="H44">
            <v>1</v>
          </cell>
          <cell r="I44">
            <v>0</v>
          </cell>
          <cell r="J44">
            <v>1</v>
          </cell>
          <cell r="K44">
            <v>1</v>
          </cell>
          <cell r="L44">
            <v>231</v>
          </cell>
          <cell r="M44">
            <v>231</v>
          </cell>
        </row>
        <row r="45">
          <cell r="C45" t="str">
            <v>A138</v>
          </cell>
          <cell r="D45" t="str">
            <v>ziyad. K. M. C</v>
          </cell>
          <cell r="F45" t="str">
            <v>SUB JUNIOR</v>
          </cell>
          <cell r="G45">
            <v>1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255</v>
          </cell>
          <cell r="M45">
            <v>255</v>
          </cell>
        </row>
        <row r="46">
          <cell r="C46" t="str">
            <v>A139</v>
          </cell>
          <cell r="D46" t="str">
            <v>MUHAMMED MOIDEEN KUNHI</v>
          </cell>
          <cell r="E46" t="str">
            <v>FANT</v>
          </cell>
          <cell r="F46" t="str">
            <v>SUB JUNIOR</v>
          </cell>
          <cell r="G46">
            <v>1</v>
          </cell>
          <cell r="H46">
            <v>3</v>
          </cell>
          <cell r="I46">
            <v>0</v>
          </cell>
          <cell r="J46">
            <v>3</v>
          </cell>
          <cell r="K46">
            <v>3</v>
          </cell>
          <cell r="L46">
            <v>209</v>
          </cell>
          <cell r="M46">
            <v>209</v>
          </cell>
        </row>
        <row r="47">
          <cell r="C47" t="str">
            <v>A140</v>
          </cell>
          <cell r="D47" t="str">
            <v>MUHAMMED AFLAH.MK</v>
          </cell>
          <cell r="E47" t="str">
            <v>FANT</v>
          </cell>
          <cell r="F47" t="str">
            <v>SUB JUNIOR</v>
          </cell>
          <cell r="G47">
            <v>2</v>
          </cell>
          <cell r="H47">
            <v>11</v>
          </cell>
          <cell r="I47">
            <v>0</v>
          </cell>
          <cell r="J47">
            <v>11</v>
          </cell>
          <cell r="K47">
            <v>11</v>
          </cell>
          <cell r="L47">
            <v>123</v>
          </cell>
          <cell r="M47">
            <v>123</v>
          </cell>
        </row>
        <row r="48">
          <cell r="C48" t="str">
            <v>A141</v>
          </cell>
          <cell r="D48" t="str">
            <v>MUHAMMED SHUHAIR</v>
          </cell>
          <cell r="E48" t="str">
            <v>JARF</v>
          </cell>
          <cell r="F48" t="str">
            <v>SUB JUNIOR</v>
          </cell>
          <cell r="G48">
            <v>2</v>
          </cell>
          <cell r="H48">
            <v>23</v>
          </cell>
          <cell r="I48">
            <v>0</v>
          </cell>
          <cell r="J48">
            <v>23</v>
          </cell>
          <cell r="K48">
            <v>23</v>
          </cell>
          <cell r="L48">
            <v>68</v>
          </cell>
          <cell r="M48">
            <v>68</v>
          </cell>
        </row>
        <row r="49">
          <cell r="C49" t="str">
            <v>A142</v>
          </cell>
          <cell r="D49" t="str">
            <v>Muhammed Anshad A</v>
          </cell>
          <cell r="E49" t="str">
            <v>BADF</v>
          </cell>
          <cell r="F49" t="str">
            <v>SUB JUNIOR</v>
          </cell>
          <cell r="G49">
            <v>2</v>
          </cell>
          <cell r="H49">
            <v>24</v>
          </cell>
          <cell r="I49">
            <v>0</v>
          </cell>
          <cell r="J49">
            <v>24</v>
          </cell>
          <cell r="K49">
            <v>24</v>
          </cell>
          <cell r="L49">
            <v>64</v>
          </cell>
          <cell r="M49">
            <v>64</v>
          </cell>
        </row>
        <row r="50">
          <cell r="C50" t="str">
            <v>A143</v>
          </cell>
          <cell r="D50" t="str">
            <v>ABDUL AFEEZ C.F</v>
          </cell>
          <cell r="E50" t="str">
            <v>FANT</v>
          </cell>
          <cell r="F50" t="str">
            <v>SUB JUNIOR</v>
          </cell>
          <cell r="G50">
            <v>2</v>
          </cell>
          <cell r="H50">
            <v>13</v>
          </cell>
          <cell r="I50">
            <v>0</v>
          </cell>
          <cell r="J50">
            <v>13</v>
          </cell>
          <cell r="K50">
            <v>13</v>
          </cell>
          <cell r="L50">
            <v>114</v>
          </cell>
          <cell r="M50">
            <v>114</v>
          </cell>
        </row>
        <row r="51">
          <cell r="C51" t="str">
            <v>A144</v>
          </cell>
          <cell r="D51" t="str">
            <v>ABDULLA</v>
          </cell>
          <cell r="E51" t="str">
            <v>JARF</v>
          </cell>
          <cell r="F51" t="str">
            <v>SUB JUNIOR</v>
          </cell>
          <cell r="G51">
            <v>2</v>
          </cell>
          <cell r="H51">
            <v>40</v>
          </cell>
          <cell r="I51">
            <v>0</v>
          </cell>
          <cell r="J51">
            <v>40</v>
          </cell>
          <cell r="K51">
            <v>40</v>
          </cell>
          <cell r="L51">
            <v>23</v>
          </cell>
          <cell r="M51">
            <v>23</v>
          </cell>
        </row>
        <row r="52">
          <cell r="C52" t="str">
            <v>A145</v>
          </cell>
          <cell r="D52" t="str">
            <v>ABDULLAH A P</v>
          </cell>
          <cell r="E52" t="str">
            <v>BADF</v>
          </cell>
          <cell r="F52" t="str">
            <v>SUB JUNIOR</v>
          </cell>
          <cell r="G52">
            <v>2</v>
          </cell>
          <cell r="H52">
            <v>3</v>
          </cell>
          <cell r="I52">
            <v>0</v>
          </cell>
          <cell r="J52">
            <v>3</v>
          </cell>
          <cell r="K52">
            <v>3</v>
          </cell>
          <cell r="L52">
            <v>209</v>
          </cell>
          <cell r="M52">
            <v>209</v>
          </cell>
        </row>
        <row r="53">
          <cell r="C53" t="str">
            <v>A146</v>
          </cell>
          <cell r="D53" t="str">
            <v>AHAMED ADIL. A</v>
          </cell>
          <cell r="E53" t="str">
            <v>BADF</v>
          </cell>
          <cell r="F53" t="str">
            <v>SUB JUNIOR</v>
          </cell>
          <cell r="G53">
            <v>2</v>
          </cell>
          <cell r="H53">
            <v>35</v>
          </cell>
          <cell r="I53">
            <v>0</v>
          </cell>
          <cell r="J53">
            <v>35</v>
          </cell>
          <cell r="K53">
            <v>35</v>
          </cell>
          <cell r="L53">
            <v>32</v>
          </cell>
          <cell r="M53">
            <v>32</v>
          </cell>
        </row>
        <row r="54">
          <cell r="C54" t="str">
            <v>A147</v>
          </cell>
          <cell r="D54" t="str">
            <v>AHMED WALEED K A</v>
          </cell>
          <cell r="E54" t="str">
            <v>DAHF</v>
          </cell>
          <cell r="F54" t="str">
            <v>SUB JUNIOR</v>
          </cell>
          <cell r="G54">
            <v>2</v>
          </cell>
          <cell r="H54">
            <v>22</v>
          </cell>
          <cell r="I54">
            <v>0</v>
          </cell>
          <cell r="J54">
            <v>22</v>
          </cell>
          <cell r="K54">
            <v>22</v>
          </cell>
          <cell r="L54">
            <v>72</v>
          </cell>
          <cell r="M54">
            <v>72</v>
          </cell>
        </row>
        <row r="55">
          <cell r="C55" t="str">
            <v>A148</v>
          </cell>
          <cell r="D55" t="str">
            <v>AYAAN ABOOBAKAR</v>
          </cell>
          <cell r="E55" t="str">
            <v>BADF</v>
          </cell>
          <cell r="F55" t="str">
            <v>SUB JUNIOR</v>
          </cell>
          <cell r="G55">
            <v>2</v>
          </cell>
          <cell r="H55">
            <v>12.5</v>
          </cell>
          <cell r="I55">
            <v>0</v>
          </cell>
          <cell r="J55">
            <v>12.5</v>
          </cell>
          <cell r="K55">
            <v>12.5</v>
          </cell>
          <cell r="L55">
            <v>118</v>
          </cell>
          <cell r="M55">
            <v>118</v>
          </cell>
        </row>
        <row r="56">
          <cell r="C56" t="str">
            <v>A149</v>
          </cell>
          <cell r="D56" t="str">
            <v>FADIL AMEEN ABDULLA</v>
          </cell>
          <cell r="E56" t="str">
            <v>JARF</v>
          </cell>
          <cell r="F56" t="str">
            <v>SUB JUNIOR</v>
          </cell>
          <cell r="G56">
            <v>2</v>
          </cell>
          <cell r="H56">
            <v>24</v>
          </cell>
          <cell r="I56">
            <v>0</v>
          </cell>
          <cell r="J56">
            <v>24</v>
          </cell>
          <cell r="K56">
            <v>24</v>
          </cell>
          <cell r="L56">
            <v>64</v>
          </cell>
          <cell r="M56">
            <v>64</v>
          </cell>
        </row>
        <row r="57">
          <cell r="C57" t="str">
            <v>A150</v>
          </cell>
          <cell r="D57" t="str">
            <v>MOHAMED JAWHAR J A</v>
          </cell>
          <cell r="E57" t="str">
            <v>FANT</v>
          </cell>
          <cell r="F57" t="str">
            <v>SUB JUNIOR</v>
          </cell>
          <cell r="G57">
            <v>2</v>
          </cell>
          <cell r="H57">
            <v>61</v>
          </cell>
          <cell r="I57">
            <v>0</v>
          </cell>
          <cell r="J57">
            <v>61</v>
          </cell>
          <cell r="K57">
            <v>61</v>
          </cell>
          <cell r="L57">
            <v>5</v>
          </cell>
          <cell r="M57">
            <v>5</v>
          </cell>
        </row>
        <row r="58">
          <cell r="C58" t="str">
            <v>A151</v>
          </cell>
          <cell r="D58" t="str">
            <v>Mohammad Yaseen</v>
          </cell>
          <cell r="E58" t="str">
            <v>FANT</v>
          </cell>
          <cell r="F58" t="str">
            <v>SUB JUNIOR</v>
          </cell>
          <cell r="G58">
            <v>2</v>
          </cell>
          <cell r="H58">
            <v>4</v>
          </cell>
          <cell r="I58">
            <v>0</v>
          </cell>
          <cell r="J58">
            <v>4</v>
          </cell>
          <cell r="K58">
            <v>4</v>
          </cell>
          <cell r="L58">
            <v>197</v>
          </cell>
          <cell r="M58">
            <v>197</v>
          </cell>
        </row>
        <row r="59">
          <cell r="C59" t="str">
            <v>A152</v>
          </cell>
          <cell r="D59" t="str">
            <v>MOHAMMED QUBAIB A H</v>
          </cell>
          <cell r="E59" t="str">
            <v>BADF</v>
          </cell>
          <cell r="F59" t="str">
            <v>SUB JUNIOR</v>
          </cell>
          <cell r="G59">
            <v>2</v>
          </cell>
          <cell r="H59">
            <v>13</v>
          </cell>
          <cell r="I59">
            <v>0</v>
          </cell>
          <cell r="J59">
            <v>13</v>
          </cell>
          <cell r="K59">
            <v>13</v>
          </cell>
          <cell r="L59">
            <v>114</v>
          </cell>
          <cell r="M59">
            <v>114</v>
          </cell>
        </row>
        <row r="60">
          <cell r="C60" t="str">
            <v>A153</v>
          </cell>
          <cell r="D60" t="str">
            <v>MOHAMMED SAWA T A</v>
          </cell>
          <cell r="E60" t="str">
            <v>FANT</v>
          </cell>
          <cell r="F60" t="str">
            <v>SUB JUNIOR</v>
          </cell>
          <cell r="G60">
            <v>2</v>
          </cell>
          <cell r="H60">
            <v>30</v>
          </cell>
          <cell r="I60">
            <v>0</v>
          </cell>
          <cell r="J60">
            <v>30</v>
          </cell>
          <cell r="K60">
            <v>30</v>
          </cell>
          <cell r="L60">
            <v>48</v>
          </cell>
          <cell r="M60">
            <v>48</v>
          </cell>
        </row>
        <row r="61">
          <cell r="C61" t="str">
            <v>A154</v>
          </cell>
          <cell r="D61" t="str">
            <v>MOHAMMED WASIM SHAHAD SM</v>
          </cell>
          <cell r="E61" t="str">
            <v>JARF</v>
          </cell>
          <cell r="F61" t="str">
            <v>SUB JUNIOR</v>
          </cell>
          <cell r="G61">
            <v>2</v>
          </cell>
          <cell r="H61">
            <v>45</v>
          </cell>
          <cell r="I61">
            <v>0</v>
          </cell>
          <cell r="J61">
            <v>45</v>
          </cell>
          <cell r="K61">
            <v>45</v>
          </cell>
          <cell r="L61">
            <v>18</v>
          </cell>
          <cell r="M61">
            <v>18</v>
          </cell>
        </row>
        <row r="62">
          <cell r="C62" t="str">
            <v>A155</v>
          </cell>
          <cell r="D62" t="str">
            <v>Muhammad M</v>
          </cell>
          <cell r="E62" t="str">
            <v>JARF</v>
          </cell>
          <cell r="F62" t="str">
            <v>SUB JUNIOR</v>
          </cell>
          <cell r="G62">
            <v>2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255</v>
          </cell>
          <cell r="M62">
            <v>255</v>
          </cell>
        </row>
        <row r="63">
          <cell r="C63" t="str">
            <v>A156</v>
          </cell>
          <cell r="D63" t="str">
            <v>MUHAMMAD SHAHSAD HASAN</v>
          </cell>
          <cell r="E63" t="str">
            <v>JARF</v>
          </cell>
          <cell r="F63" t="str">
            <v>SUB JUNIOR</v>
          </cell>
          <cell r="G63">
            <v>2</v>
          </cell>
          <cell r="H63">
            <v>20</v>
          </cell>
          <cell r="I63">
            <v>0</v>
          </cell>
          <cell r="J63">
            <v>20</v>
          </cell>
          <cell r="K63">
            <v>20</v>
          </cell>
          <cell r="L63">
            <v>74</v>
          </cell>
          <cell r="M63">
            <v>74</v>
          </cell>
        </row>
        <row r="64">
          <cell r="C64" t="str">
            <v>A157</v>
          </cell>
          <cell r="D64" t="str">
            <v>MUHAMMED ADNAN K.A</v>
          </cell>
          <cell r="E64" t="str">
            <v>FANT</v>
          </cell>
          <cell r="F64" t="str">
            <v>SUB JUNIOR</v>
          </cell>
          <cell r="G64">
            <v>2</v>
          </cell>
          <cell r="H64">
            <v>3</v>
          </cell>
          <cell r="I64">
            <v>0</v>
          </cell>
          <cell r="J64">
            <v>3</v>
          </cell>
          <cell r="K64">
            <v>3</v>
          </cell>
          <cell r="L64">
            <v>209</v>
          </cell>
          <cell r="M64">
            <v>209</v>
          </cell>
        </row>
        <row r="65">
          <cell r="C65" t="str">
            <v>A158</v>
          </cell>
          <cell r="D65" t="str">
            <v>Muhammed Anas</v>
          </cell>
          <cell r="E65" t="str">
            <v>DAHF</v>
          </cell>
          <cell r="F65" t="str">
            <v>SUB JUNIOR</v>
          </cell>
          <cell r="G65">
            <v>2</v>
          </cell>
          <cell r="H65">
            <v>53.5</v>
          </cell>
          <cell r="I65">
            <v>0</v>
          </cell>
          <cell r="J65">
            <v>53.5</v>
          </cell>
          <cell r="K65">
            <v>53.5</v>
          </cell>
          <cell r="L65">
            <v>10</v>
          </cell>
          <cell r="M65">
            <v>10</v>
          </cell>
        </row>
        <row r="66">
          <cell r="C66" t="str">
            <v>A159</v>
          </cell>
          <cell r="D66" t="str">
            <v>MUHAMMED ASHIR M</v>
          </cell>
          <cell r="E66" t="str">
            <v>JARF</v>
          </cell>
          <cell r="F66" t="str">
            <v>SUB JUNIOR</v>
          </cell>
          <cell r="G66">
            <v>2</v>
          </cell>
          <cell r="H66">
            <v>17</v>
          </cell>
          <cell r="I66">
            <v>0</v>
          </cell>
          <cell r="J66">
            <v>17</v>
          </cell>
          <cell r="K66">
            <v>17</v>
          </cell>
          <cell r="L66">
            <v>87</v>
          </cell>
          <cell r="M66">
            <v>87</v>
          </cell>
        </row>
        <row r="67">
          <cell r="C67" t="str">
            <v>A160</v>
          </cell>
          <cell r="D67" t="str">
            <v>MUHAMMED AYAAN</v>
          </cell>
          <cell r="E67" t="str">
            <v>JARF</v>
          </cell>
          <cell r="F67" t="str">
            <v>SUB JUNIOR</v>
          </cell>
          <cell r="G67">
            <v>2</v>
          </cell>
          <cell r="H67">
            <v>10</v>
          </cell>
          <cell r="I67">
            <v>0</v>
          </cell>
          <cell r="J67">
            <v>10</v>
          </cell>
          <cell r="K67">
            <v>10</v>
          </cell>
          <cell r="L67">
            <v>131</v>
          </cell>
          <cell r="M67">
            <v>131</v>
          </cell>
        </row>
        <row r="68">
          <cell r="C68" t="str">
            <v>A161</v>
          </cell>
          <cell r="D68" t="str">
            <v>MUHAMMED FAHAD</v>
          </cell>
          <cell r="E68" t="str">
            <v>FANT</v>
          </cell>
          <cell r="F68" t="str">
            <v>SUB JUNIOR</v>
          </cell>
          <cell r="G68">
            <v>2</v>
          </cell>
          <cell r="H68">
            <v>55.5</v>
          </cell>
          <cell r="I68">
            <v>0</v>
          </cell>
          <cell r="J68">
            <v>55.5</v>
          </cell>
          <cell r="K68">
            <v>55.5</v>
          </cell>
          <cell r="L68">
            <v>7</v>
          </cell>
          <cell r="M68">
            <v>7</v>
          </cell>
        </row>
        <row r="69">
          <cell r="C69" t="str">
            <v>A162</v>
          </cell>
          <cell r="D69" t="str">
            <v>MUHAMMED FAREED A S</v>
          </cell>
          <cell r="E69" t="str">
            <v>FANT</v>
          </cell>
          <cell r="F69" t="str">
            <v>SUB JUNIOR</v>
          </cell>
          <cell r="G69">
            <v>2</v>
          </cell>
          <cell r="H69">
            <v>20</v>
          </cell>
          <cell r="I69">
            <v>0</v>
          </cell>
          <cell r="J69">
            <v>20</v>
          </cell>
          <cell r="K69">
            <v>20</v>
          </cell>
          <cell r="L69">
            <v>74</v>
          </cell>
          <cell r="M69">
            <v>74</v>
          </cell>
        </row>
        <row r="70">
          <cell r="C70" t="str">
            <v>A163</v>
          </cell>
          <cell r="D70" t="str">
            <v>MUHAMMED LUQMAN TD</v>
          </cell>
          <cell r="E70" t="str">
            <v>BADF</v>
          </cell>
          <cell r="F70" t="str">
            <v>SUB JUNIOR</v>
          </cell>
          <cell r="G70">
            <v>2</v>
          </cell>
          <cell r="H70">
            <v>28</v>
          </cell>
          <cell r="I70">
            <v>0</v>
          </cell>
          <cell r="J70">
            <v>28</v>
          </cell>
          <cell r="K70">
            <v>28</v>
          </cell>
          <cell r="L70">
            <v>51</v>
          </cell>
          <cell r="M70">
            <v>51</v>
          </cell>
        </row>
        <row r="71">
          <cell r="C71" t="str">
            <v>A164</v>
          </cell>
          <cell r="D71" t="str">
            <v>MUHAMMED MICDAD RAMEES A H</v>
          </cell>
          <cell r="E71" t="str">
            <v>DAHF</v>
          </cell>
          <cell r="F71" t="str">
            <v>SUB JUNIOR</v>
          </cell>
          <cell r="G71">
            <v>2</v>
          </cell>
          <cell r="H71">
            <v>55.5</v>
          </cell>
          <cell r="I71">
            <v>0</v>
          </cell>
          <cell r="J71">
            <v>55.5</v>
          </cell>
          <cell r="K71">
            <v>55.5</v>
          </cell>
          <cell r="L71">
            <v>7</v>
          </cell>
          <cell r="M71">
            <v>7</v>
          </cell>
        </row>
        <row r="72">
          <cell r="C72" t="str">
            <v>A165</v>
          </cell>
          <cell r="D72" t="str">
            <v>MUHAMMED MIDLAJ</v>
          </cell>
          <cell r="E72" t="str">
            <v>DAHF</v>
          </cell>
          <cell r="F72" t="str">
            <v>SUB JUNIOR</v>
          </cell>
          <cell r="G72">
            <v>2</v>
          </cell>
          <cell r="H72">
            <v>25</v>
          </cell>
          <cell r="I72">
            <v>0</v>
          </cell>
          <cell r="J72">
            <v>25</v>
          </cell>
          <cell r="K72">
            <v>25</v>
          </cell>
          <cell r="L72">
            <v>60</v>
          </cell>
          <cell r="M72">
            <v>60</v>
          </cell>
        </row>
        <row r="73">
          <cell r="C73" t="str">
            <v>A166</v>
          </cell>
          <cell r="D73" t="str">
            <v>Muhammed Naieem</v>
          </cell>
          <cell r="E73" t="str">
            <v>BADF</v>
          </cell>
          <cell r="F73" t="str">
            <v>SUB JUNIOR</v>
          </cell>
          <cell r="G73">
            <v>2</v>
          </cell>
          <cell r="H73">
            <v>31</v>
          </cell>
          <cell r="I73">
            <v>0</v>
          </cell>
          <cell r="J73">
            <v>31</v>
          </cell>
          <cell r="K73">
            <v>31</v>
          </cell>
          <cell r="L73">
            <v>42</v>
          </cell>
          <cell r="M73">
            <v>42</v>
          </cell>
        </row>
        <row r="74">
          <cell r="C74" t="str">
            <v>A167</v>
          </cell>
          <cell r="D74" t="str">
            <v>MUHAMMED RAEES C A</v>
          </cell>
          <cell r="E74" t="str">
            <v>BADF</v>
          </cell>
          <cell r="F74" t="str">
            <v>SUB JUNIOR</v>
          </cell>
          <cell r="G74">
            <v>2</v>
          </cell>
          <cell r="H74">
            <v>40</v>
          </cell>
          <cell r="I74">
            <v>0</v>
          </cell>
          <cell r="J74">
            <v>40</v>
          </cell>
          <cell r="K74">
            <v>40</v>
          </cell>
          <cell r="L74">
            <v>23</v>
          </cell>
          <cell r="M74">
            <v>23</v>
          </cell>
        </row>
        <row r="75">
          <cell r="C75" t="str">
            <v>A168</v>
          </cell>
          <cell r="D75" t="str">
            <v>Muhammed Sinan D A</v>
          </cell>
          <cell r="E75" t="str">
            <v>JARF</v>
          </cell>
          <cell r="F75" t="str">
            <v>SUB JUNIOR</v>
          </cell>
          <cell r="G75">
            <v>2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255</v>
          </cell>
          <cell r="M75">
            <v>255</v>
          </cell>
        </row>
        <row r="76">
          <cell r="C76" t="str">
            <v>A169</v>
          </cell>
          <cell r="D76" t="str">
            <v>NAZWAN MOHAMMED</v>
          </cell>
          <cell r="E76" t="str">
            <v>FANT</v>
          </cell>
          <cell r="F76" t="str">
            <v>SUB JUNIOR</v>
          </cell>
          <cell r="G76">
            <v>2</v>
          </cell>
          <cell r="H76">
            <v>18</v>
          </cell>
          <cell r="I76">
            <v>0</v>
          </cell>
          <cell r="J76">
            <v>18</v>
          </cell>
          <cell r="K76">
            <v>18</v>
          </cell>
          <cell r="L76">
            <v>81</v>
          </cell>
          <cell r="M76">
            <v>81</v>
          </cell>
        </row>
        <row r="77">
          <cell r="C77" t="str">
            <v>A170</v>
          </cell>
          <cell r="D77" t="str">
            <v>P.V.AHMAD ANAS</v>
          </cell>
          <cell r="E77" t="str">
            <v>DAHF</v>
          </cell>
          <cell r="F77" t="str">
            <v>SUB JUNIOR</v>
          </cell>
          <cell r="G77">
            <v>2</v>
          </cell>
          <cell r="H77">
            <v>16</v>
          </cell>
          <cell r="I77">
            <v>0</v>
          </cell>
          <cell r="J77">
            <v>16</v>
          </cell>
          <cell r="K77">
            <v>16</v>
          </cell>
          <cell r="L77">
            <v>94</v>
          </cell>
          <cell r="M77">
            <v>94</v>
          </cell>
        </row>
        <row r="78">
          <cell r="C78" t="str">
            <v>A171</v>
          </cell>
          <cell r="D78" t="str">
            <v>SAYYED MOHAMMED SINAN AM</v>
          </cell>
          <cell r="E78" t="str">
            <v>DAHF</v>
          </cell>
          <cell r="F78" t="str">
            <v>SUB JUNIOR</v>
          </cell>
          <cell r="G78">
            <v>2</v>
          </cell>
          <cell r="H78">
            <v>6</v>
          </cell>
          <cell r="I78">
            <v>0</v>
          </cell>
          <cell r="J78">
            <v>6</v>
          </cell>
          <cell r="K78">
            <v>6</v>
          </cell>
          <cell r="L78">
            <v>171</v>
          </cell>
          <cell r="M78">
            <v>171</v>
          </cell>
        </row>
        <row r="79">
          <cell r="C79" t="str">
            <v>A172</v>
          </cell>
          <cell r="D79" t="str">
            <v>SAYYED MUHAMMED ABOOBACKER</v>
          </cell>
          <cell r="E79" t="str">
            <v>DAHF</v>
          </cell>
          <cell r="F79" t="str">
            <v>SUB JUNIOR</v>
          </cell>
          <cell r="G79">
            <v>2</v>
          </cell>
          <cell r="H79">
            <v>17</v>
          </cell>
          <cell r="I79">
            <v>0</v>
          </cell>
          <cell r="J79">
            <v>17</v>
          </cell>
          <cell r="K79">
            <v>17</v>
          </cell>
          <cell r="L79">
            <v>87</v>
          </cell>
          <cell r="M79">
            <v>87</v>
          </cell>
        </row>
        <row r="80">
          <cell r="C80" t="str">
            <v>A173</v>
          </cell>
          <cell r="D80" t="str">
            <v>SHAHUL HAMEED B.I</v>
          </cell>
          <cell r="E80" t="str">
            <v>BADF</v>
          </cell>
          <cell r="F80" t="str">
            <v>SUB JUNIOR</v>
          </cell>
          <cell r="G80">
            <v>2</v>
          </cell>
          <cell r="H80">
            <v>6</v>
          </cell>
          <cell r="I80">
            <v>0</v>
          </cell>
          <cell r="J80">
            <v>6</v>
          </cell>
          <cell r="K80">
            <v>6</v>
          </cell>
          <cell r="L80">
            <v>171</v>
          </cell>
          <cell r="M80">
            <v>171</v>
          </cell>
        </row>
        <row r="81">
          <cell r="C81" t="str">
            <v>A174</v>
          </cell>
          <cell r="D81" t="str">
            <v>THUFAIL</v>
          </cell>
          <cell r="E81" t="str">
            <v>DAHF</v>
          </cell>
          <cell r="F81" t="str">
            <v>SUB JUNIOR</v>
          </cell>
          <cell r="G81">
            <v>2</v>
          </cell>
          <cell r="H81">
            <v>20.5</v>
          </cell>
          <cell r="I81">
            <v>0</v>
          </cell>
          <cell r="J81">
            <v>20.5</v>
          </cell>
          <cell r="K81">
            <v>20.5</v>
          </cell>
          <cell r="L81">
            <v>73</v>
          </cell>
          <cell r="M81">
            <v>73</v>
          </cell>
        </row>
        <row r="82">
          <cell r="C82" t="str">
            <v>A175</v>
          </cell>
          <cell r="D82" t="str">
            <v>YOUSUF FAHEEM P</v>
          </cell>
          <cell r="E82" t="str">
            <v>DAHF</v>
          </cell>
          <cell r="F82" t="str">
            <v>SUB JUNIOR</v>
          </cell>
          <cell r="G82">
            <v>2</v>
          </cell>
          <cell r="H82">
            <v>6</v>
          </cell>
          <cell r="I82">
            <v>0</v>
          </cell>
          <cell r="J82">
            <v>6</v>
          </cell>
          <cell r="K82">
            <v>6</v>
          </cell>
          <cell r="L82">
            <v>171</v>
          </cell>
          <cell r="M82">
            <v>171</v>
          </cell>
        </row>
        <row r="83">
          <cell r="C83" t="str">
            <v>B100</v>
          </cell>
          <cell r="D83" t="str">
            <v>ZAINUL ABID K</v>
          </cell>
          <cell r="E83" t="str">
            <v>BADF</v>
          </cell>
          <cell r="F83" t="str">
            <v>JUNIOR</v>
          </cell>
          <cell r="G83">
            <v>3</v>
          </cell>
          <cell r="H83">
            <v>5</v>
          </cell>
          <cell r="I83">
            <v>0</v>
          </cell>
          <cell r="J83">
            <v>5</v>
          </cell>
          <cell r="K83">
            <v>5</v>
          </cell>
          <cell r="L83">
            <v>190</v>
          </cell>
          <cell r="M83">
            <v>190</v>
          </cell>
        </row>
        <row r="84">
          <cell r="C84" t="str">
            <v>B101</v>
          </cell>
          <cell r="D84" t="str">
            <v>AHMED AFRAZ MB</v>
          </cell>
          <cell r="E84" t="str">
            <v>DAHF</v>
          </cell>
          <cell r="F84" t="str">
            <v>JUNIOR</v>
          </cell>
          <cell r="G84">
            <v>3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255</v>
          </cell>
          <cell r="M84">
            <v>255</v>
          </cell>
        </row>
        <row r="85">
          <cell r="C85" t="str">
            <v>B102</v>
          </cell>
          <cell r="D85" t="str">
            <v>AHMAD MUBASHAR</v>
          </cell>
          <cell r="E85" t="str">
            <v>FANT</v>
          </cell>
          <cell r="F85" t="str">
            <v>JUNIOR</v>
          </cell>
          <cell r="G85">
            <v>3</v>
          </cell>
          <cell r="H85">
            <v>5</v>
          </cell>
          <cell r="I85">
            <v>0</v>
          </cell>
          <cell r="J85">
            <v>5</v>
          </cell>
          <cell r="K85">
            <v>5</v>
          </cell>
          <cell r="L85">
            <v>190</v>
          </cell>
          <cell r="M85">
            <v>190</v>
          </cell>
        </row>
        <row r="86">
          <cell r="C86" t="str">
            <v>B103</v>
          </cell>
          <cell r="D86" t="str">
            <v>MOHAMMED NAFIH BA</v>
          </cell>
          <cell r="E86" t="str">
            <v>BADF</v>
          </cell>
          <cell r="F86" t="str">
            <v>JUNIOR</v>
          </cell>
          <cell r="G86">
            <v>3</v>
          </cell>
          <cell r="H86">
            <v>9</v>
          </cell>
          <cell r="I86">
            <v>0</v>
          </cell>
          <cell r="J86">
            <v>9</v>
          </cell>
          <cell r="K86">
            <v>9</v>
          </cell>
          <cell r="L86">
            <v>139</v>
          </cell>
          <cell r="M86">
            <v>139</v>
          </cell>
        </row>
        <row r="87">
          <cell r="C87" t="str">
            <v>B104</v>
          </cell>
          <cell r="D87" t="str">
            <v>FAKRUDDIN NAFIL</v>
          </cell>
          <cell r="E87" t="str">
            <v>FANT</v>
          </cell>
          <cell r="F87" t="str">
            <v>JUNIOR</v>
          </cell>
          <cell r="G87">
            <v>3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255</v>
          </cell>
          <cell r="M87">
            <v>255</v>
          </cell>
        </row>
        <row r="88">
          <cell r="C88" t="str">
            <v>B105</v>
          </cell>
          <cell r="D88" t="str">
            <v>HASAN THAMMEEM</v>
          </cell>
          <cell r="E88" t="str">
            <v>JARF</v>
          </cell>
          <cell r="F88" t="str">
            <v>JUNIOR</v>
          </cell>
          <cell r="G88">
            <v>3</v>
          </cell>
          <cell r="H88">
            <v>14</v>
          </cell>
          <cell r="I88">
            <v>0</v>
          </cell>
          <cell r="J88">
            <v>14</v>
          </cell>
          <cell r="K88">
            <v>14</v>
          </cell>
          <cell r="L88">
            <v>104</v>
          </cell>
          <cell r="M88">
            <v>104</v>
          </cell>
        </row>
        <row r="89">
          <cell r="C89" t="str">
            <v>B106</v>
          </cell>
          <cell r="D89" t="str">
            <v>MUHAMMED ROUHAN M.K</v>
          </cell>
          <cell r="E89" t="str">
            <v>BADF</v>
          </cell>
          <cell r="F89" t="str">
            <v>JUNIOR</v>
          </cell>
          <cell r="G89">
            <v>3</v>
          </cell>
          <cell r="H89">
            <v>27</v>
          </cell>
          <cell r="I89">
            <v>0</v>
          </cell>
          <cell r="J89">
            <v>27</v>
          </cell>
          <cell r="K89">
            <v>27</v>
          </cell>
          <cell r="L89">
            <v>55</v>
          </cell>
          <cell r="M89">
            <v>55</v>
          </cell>
        </row>
        <row r="90">
          <cell r="C90" t="str">
            <v>B107</v>
          </cell>
          <cell r="D90" t="str">
            <v>MUHAMMED ZAMIL</v>
          </cell>
          <cell r="E90" t="str">
            <v>JARF</v>
          </cell>
          <cell r="F90" t="str">
            <v>JUNIOR</v>
          </cell>
          <cell r="G90">
            <v>3</v>
          </cell>
          <cell r="H90">
            <v>25</v>
          </cell>
          <cell r="I90">
            <v>0</v>
          </cell>
          <cell r="J90">
            <v>25</v>
          </cell>
          <cell r="K90">
            <v>25</v>
          </cell>
          <cell r="L90">
            <v>60</v>
          </cell>
          <cell r="M90">
            <v>60</v>
          </cell>
        </row>
        <row r="91">
          <cell r="C91" t="str">
            <v>B108</v>
          </cell>
          <cell r="D91" t="str">
            <v>ABDUL RAHIMAN FAIZ T A</v>
          </cell>
          <cell r="E91" t="str">
            <v>JARF</v>
          </cell>
          <cell r="F91" t="str">
            <v>JUNIOR</v>
          </cell>
          <cell r="G91">
            <v>3</v>
          </cell>
          <cell r="H91">
            <v>15</v>
          </cell>
          <cell r="I91">
            <v>0</v>
          </cell>
          <cell r="J91">
            <v>15</v>
          </cell>
          <cell r="K91">
            <v>15</v>
          </cell>
          <cell r="L91">
            <v>100</v>
          </cell>
          <cell r="M91">
            <v>100</v>
          </cell>
        </row>
        <row r="92">
          <cell r="C92" t="str">
            <v>B109</v>
          </cell>
          <cell r="D92" t="str">
            <v>AHAMMED SAFAR ZAKARIYA</v>
          </cell>
          <cell r="E92" t="str">
            <v>DAHF</v>
          </cell>
          <cell r="F92" t="str">
            <v>JUNIOR</v>
          </cell>
          <cell r="G92">
            <v>3</v>
          </cell>
          <cell r="H92">
            <v>41</v>
          </cell>
          <cell r="I92">
            <v>0</v>
          </cell>
          <cell r="J92">
            <v>41</v>
          </cell>
          <cell r="K92">
            <v>41</v>
          </cell>
          <cell r="L92">
            <v>21</v>
          </cell>
          <cell r="M92">
            <v>21</v>
          </cell>
        </row>
        <row r="93">
          <cell r="C93" t="str">
            <v>B110</v>
          </cell>
          <cell r="D93" t="str">
            <v>MUHAMMED MUHAZ P A</v>
          </cell>
          <cell r="E93" t="str">
            <v>DAHF</v>
          </cell>
          <cell r="F93" t="str">
            <v>JUNIOR</v>
          </cell>
          <cell r="G93">
            <v>3</v>
          </cell>
          <cell r="H93">
            <v>17</v>
          </cell>
          <cell r="I93">
            <v>0</v>
          </cell>
          <cell r="J93">
            <v>17</v>
          </cell>
          <cell r="K93">
            <v>17</v>
          </cell>
          <cell r="L93">
            <v>87</v>
          </cell>
          <cell r="M93">
            <v>87</v>
          </cell>
        </row>
        <row r="94">
          <cell r="C94" t="str">
            <v>B111</v>
          </cell>
          <cell r="D94" t="str">
            <v>MUHAMMED SAHEEM ASHRAF</v>
          </cell>
          <cell r="E94" t="str">
            <v>FANT</v>
          </cell>
          <cell r="F94" t="str">
            <v>JUNIOR</v>
          </cell>
          <cell r="G94">
            <v>3</v>
          </cell>
          <cell r="H94">
            <v>1</v>
          </cell>
          <cell r="I94">
            <v>0</v>
          </cell>
          <cell r="J94">
            <v>1</v>
          </cell>
          <cell r="K94">
            <v>1</v>
          </cell>
          <cell r="L94">
            <v>231</v>
          </cell>
          <cell r="M94">
            <v>231</v>
          </cell>
        </row>
        <row r="95">
          <cell r="C95" t="str">
            <v>B112</v>
          </cell>
          <cell r="D95" t="str">
            <v>SHARAZ AHAMMED</v>
          </cell>
          <cell r="E95" t="str">
            <v>FANT</v>
          </cell>
          <cell r="F95" t="str">
            <v>JUNIOR</v>
          </cell>
          <cell r="G95">
            <v>3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255</v>
          </cell>
          <cell r="M95">
            <v>255</v>
          </cell>
        </row>
        <row r="96">
          <cell r="C96" t="str">
            <v>B113</v>
          </cell>
          <cell r="D96" t="str">
            <v>MUHAMMED IHTHISHAM P I</v>
          </cell>
          <cell r="E96" t="str">
            <v>BADF</v>
          </cell>
          <cell r="F96" t="str">
            <v>JUNIOR</v>
          </cell>
          <cell r="G96">
            <v>3</v>
          </cell>
          <cell r="H96">
            <v>18</v>
          </cell>
          <cell r="I96">
            <v>0</v>
          </cell>
          <cell r="J96">
            <v>18</v>
          </cell>
          <cell r="K96">
            <v>18</v>
          </cell>
          <cell r="L96">
            <v>81</v>
          </cell>
          <cell r="M96">
            <v>81</v>
          </cell>
        </row>
        <row r="97">
          <cell r="C97" t="str">
            <v>B114</v>
          </cell>
          <cell r="D97" t="str">
            <v>AMEEN RAHMAN MTP</v>
          </cell>
          <cell r="E97" t="str">
            <v>DAHF</v>
          </cell>
          <cell r="F97" t="str">
            <v>JUNIOR</v>
          </cell>
          <cell r="G97">
            <v>3</v>
          </cell>
          <cell r="H97">
            <v>6</v>
          </cell>
          <cell r="I97">
            <v>0</v>
          </cell>
          <cell r="J97">
            <v>6</v>
          </cell>
          <cell r="K97">
            <v>6</v>
          </cell>
          <cell r="L97">
            <v>171</v>
          </cell>
          <cell r="M97">
            <v>171</v>
          </cell>
        </row>
        <row r="98">
          <cell r="C98" t="str">
            <v>B115</v>
          </cell>
          <cell r="D98" t="str">
            <v>HASSAN SAHAL N A</v>
          </cell>
          <cell r="E98" t="str">
            <v>FANT</v>
          </cell>
          <cell r="F98" t="str">
            <v>JUNIOR</v>
          </cell>
          <cell r="G98">
            <v>3</v>
          </cell>
          <cell r="H98">
            <v>9</v>
          </cell>
          <cell r="I98">
            <v>0</v>
          </cell>
          <cell r="J98">
            <v>9</v>
          </cell>
          <cell r="K98">
            <v>9</v>
          </cell>
          <cell r="L98">
            <v>139</v>
          </cell>
          <cell r="M98">
            <v>139</v>
          </cell>
        </row>
        <row r="99">
          <cell r="C99" t="str">
            <v>B116</v>
          </cell>
          <cell r="D99" t="str">
            <v>MOHAMMED SABIK BM</v>
          </cell>
          <cell r="E99" t="str">
            <v>JARF</v>
          </cell>
          <cell r="F99" t="str">
            <v>JUNIOR</v>
          </cell>
          <cell r="G99">
            <v>3</v>
          </cell>
          <cell r="H99">
            <v>1</v>
          </cell>
          <cell r="I99">
            <v>0</v>
          </cell>
          <cell r="J99">
            <v>1</v>
          </cell>
          <cell r="K99">
            <v>1</v>
          </cell>
          <cell r="L99">
            <v>231</v>
          </cell>
          <cell r="M99">
            <v>231</v>
          </cell>
        </row>
        <row r="100">
          <cell r="C100" t="str">
            <v>B117</v>
          </cell>
          <cell r="D100" t="str">
            <v>MUHAMMAD SABITH V K P</v>
          </cell>
          <cell r="E100" t="str">
            <v>BADF</v>
          </cell>
          <cell r="F100" t="str">
            <v>JUNIOR</v>
          </cell>
          <cell r="G100">
            <v>3</v>
          </cell>
          <cell r="H100">
            <v>13</v>
          </cell>
          <cell r="I100">
            <v>0</v>
          </cell>
          <cell r="J100">
            <v>13</v>
          </cell>
          <cell r="K100">
            <v>13</v>
          </cell>
          <cell r="L100">
            <v>114</v>
          </cell>
          <cell r="M100">
            <v>114</v>
          </cell>
        </row>
        <row r="101">
          <cell r="C101" t="str">
            <v>B118</v>
          </cell>
          <cell r="D101" t="str">
            <v>Muhammad Muaaz</v>
          </cell>
          <cell r="E101" t="str">
            <v>JARF</v>
          </cell>
          <cell r="F101" t="str">
            <v>JUNIOR</v>
          </cell>
          <cell r="G101">
            <v>3</v>
          </cell>
          <cell r="H101">
            <v>40</v>
          </cell>
          <cell r="I101">
            <v>0</v>
          </cell>
          <cell r="J101">
            <v>40</v>
          </cell>
          <cell r="K101">
            <v>40</v>
          </cell>
          <cell r="L101">
            <v>23</v>
          </cell>
          <cell r="M101">
            <v>23</v>
          </cell>
        </row>
        <row r="102">
          <cell r="C102" t="str">
            <v>B119</v>
          </cell>
          <cell r="D102" t="str">
            <v>ABDUL SA-AD</v>
          </cell>
          <cell r="E102" t="str">
            <v>JARF</v>
          </cell>
          <cell r="F102" t="str">
            <v>JUNIOR</v>
          </cell>
          <cell r="G102">
            <v>3</v>
          </cell>
          <cell r="H102">
            <v>1</v>
          </cell>
          <cell r="I102">
            <v>0</v>
          </cell>
          <cell r="J102">
            <v>1</v>
          </cell>
          <cell r="K102">
            <v>1</v>
          </cell>
          <cell r="L102">
            <v>231</v>
          </cell>
          <cell r="M102">
            <v>231</v>
          </cell>
        </row>
        <row r="103">
          <cell r="C103" t="str">
            <v>B120</v>
          </cell>
          <cell r="D103" t="str">
            <v>MOHAMMED RIYAN</v>
          </cell>
          <cell r="E103" t="str">
            <v>FANT</v>
          </cell>
          <cell r="F103" t="str">
            <v>JUNIOR</v>
          </cell>
          <cell r="G103">
            <v>3</v>
          </cell>
          <cell r="H103">
            <v>10</v>
          </cell>
          <cell r="I103">
            <v>0</v>
          </cell>
          <cell r="J103">
            <v>10</v>
          </cell>
          <cell r="K103">
            <v>10</v>
          </cell>
          <cell r="L103">
            <v>131</v>
          </cell>
          <cell r="M103">
            <v>131</v>
          </cell>
        </row>
        <row r="104">
          <cell r="C104" t="str">
            <v>B121</v>
          </cell>
          <cell r="D104" t="str">
            <v>MOHIDDEEN SHAHSHAD</v>
          </cell>
          <cell r="E104" t="str">
            <v>BADF</v>
          </cell>
          <cell r="F104" t="str">
            <v>JUNIOR</v>
          </cell>
          <cell r="G104">
            <v>3</v>
          </cell>
          <cell r="H104">
            <v>15</v>
          </cell>
          <cell r="I104">
            <v>0</v>
          </cell>
          <cell r="J104">
            <v>15</v>
          </cell>
          <cell r="K104">
            <v>15</v>
          </cell>
          <cell r="L104">
            <v>100</v>
          </cell>
          <cell r="M104">
            <v>100</v>
          </cell>
        </row>
        <row r="105">
          <cell r="C105" t="str">
            <v>B122</v>
          </cell>
          <cell r="D105" t="str">
            <v>MUHAMMAD FAYIZ B</v>
          </cell>
          <cell r="E105" t="str">
            <v>DAHF</v>
          </cell>
          <cell r="F105" t="str">
            <v>JUNIOR</v>
          </cell>
          <cell r="G105">
            <v>3</v>
          </cell>
          <cell r="H105">
            <v>15</v>
          </cell>
          <cell r="I105">
            <v>0</v>
          </cell>
          <cell r="J105">
            <v>15</v>
          </cell>
          <cell r="K105">
            <v>15</v>
          </cell>
          <cell r="L105">
            <v>100</v>
          </cell>
          <cell r="M105">
            <v>100</v>
          </cell>
        </row>
        <row r="106">
          <cell r="C106" t="str">
            <v>B123</v>
          </cell>
          <cell r="D106" t="str">
            <v>MUHAMMED YASEEN</v>
          </cell>
          <cell r="E106" t="str">
            <v>FANT</v>
          </cell>
          <cell r="F106" t="str">
            <v>JUNIOR</v>
          </cell>
          <cell r="G106">
            <v>3</v>
          </cell>
          <cell r="H106">
            <v>16</v>
          </cell>
          <cell r="I106">
            <v>0</v>
          </cell>
          <cell r="J106">
            <v>16</v>
          </cell>
          <cell r="K106">
            <v>16</v>
          </cell>
          <cell r="L106">
            <v>94</v>
          </cell>
          <cell r="M106">
            <v>94</v>
          </cell>
        </row>
        <row r="107">
          <cell r="C107" t="str">
            <v>B124</v>
          </cell>
          <cell r="D107" t="str">
            <v>MOHAMMED RAED. UA</v>
          </cell>
          <cell r="E107" t="str">
            <v>DAHF</v>
          </cell>
          <cell r="F107" t="str">
            <v>JUNIOR</v>
          </cell>
          <cell r="G107">
            <v>3</v>
          </cell>
          <cell r="H107">
            <v>1</v>
          </cell>
          <cell r="I107">
            <v>0</v>
          </cell>
          <cell r="J107">
            <v>1</v>
          </cell>
          <cell r="K107">
            <v>1</v>
          </cell>
          <cell r="L107">
            <v>231</v>
          </cell>
          <cell r="M107">
            <v>231</v>
          </cell>
        </row>
        <row r="108">
          <cell r="C108" t="str">
            <v>B125</v>
          </cell>
          <cell r="D108" t="str">
            <v>MUHAMMED SHANIFM P</v>
          </cell>
          <cell r="E108" t="str">
            <v>DAHF</v>
          </cell>
          <cell r="F108" t="str">
            <v>JUNIOR</v>
          </cell>
          <cell r="G108">
            <v>3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255</v>
          </cell>
          <cell r="M108">
            <v>255</v>
          </cell>
        </row>
        <row r="109">
          <cell r="C109" t="str">
            <v>B126</v>
          </cell>
          <cell r="D109" t="str">
            <v>AHAMMED JABIR K H</v>
          </cell>
          <cell r="E109" t="str">
            <v>JARF</v>
          </cell>
          <cell r="F109" t="str">
            <v>JUNIOR</v>
          </cell>
          <cell r="G109">
            <v>3</v>
          </cell>
          <cell r="H109">
            <v>6</v>
          </cell>
          <cell r="I109">
            <v>0</v>
          </cell>
          <cell r="J109">
            <v>6</v>
          </cell>
          <cell r="K109">
            <v>6</v>
          </cell>
          <cell r="L109">
            <v>171</v>
          </cell>
          <cell r="M109">
            <v>171</v>
          </cell>
        </row>
        <row r="110">
          <cell r="C110" t="str">
            <v>B127</v>
          </cell>
          <cell r="D110" t="str">
            <v>THANSEEHU RAHMAN</v>
          </cell>
          <cell r="E110" t="str">
            <v>DAHF</v>
          </cell>
          <cell r="F110" t="str">
            <v>JUNIOR</v>
          </cell>
          <cell r="G110">
            <v>3</v>
          </cell>
          <cell r="H110">
            <v>1</v>
          </cell>
          <cell r="I110">
            <v>0</v>
          </cell>
          <cell r="J110">
            <v>1</v>
          </cell>
          <cell r="K110">
            <v>1</v>
          </cell>
          <cell r="L110">
            <v>231</v>
          </cell>
          <cell r="M110">
            <v>231</v>
          </cell>
        </row>
        <row r="111">
          <cell r="C111" t="str">
            <v>B128</v>
          </cell>
          <cell r="D111" t="str">
            <v>MOHAMMED AFNAN</v>
          </cell>
          <cell r="E111" t="str">
            <v>BADF</v>
          </cell>
          <cell r="F111" t="str">
            <v>JUNIOR</v>
          </cell>
          <cell r="G111">
            <v>3</v>
          </cell>
          <cell r="H111">
            <v>11</v>
          </cell>
          <cell r="I111">
            <v>0</v>
          </cell>
          <cell r="J111">
            <v>11</v>
          </cell>
          <cell r="K111">
            <v>11</v>
          </cell>
          <cell r="L111">
            <v>123</v>
          </cell>
          <cell r="M111">
            <v>123</v>
          </cell>
        </row>
        <row r="112">
          <cell r="C112" t="str">
            <v>B129</v>
          </cell>
          <cell r="D112" t="str">
            <v>MOHAMMED SABITH KU</v>
          </cell>
          <cell r="E112" t="str">
            <v>FANT</v>
          </cell>
          <cell r="F112" t="str">
            <v>JUNIOR</v>
          </cell>
          <cell r="G112">
            <v>3</v>
          </cell>
          <cell r="H112">
            <v>47</v>
          </cell>
          <cell r="I112">
            <v>0</v>
          </cell>
          <cell r="J112">
            <v>47</v>
          </cell>
          <cell r="K112">
            <v>47</v>
          </cell>
          <cell r="L112">
            <v>16</v>
          </cell>
          <cell r="M112">
            <v>16</v>
          </cell>
        </row>
        <row r="113">
          <cell r="C113" t="str">
            <v>B130</v>
          </cell>
          <cell r="D113" t="str">
            <v>HAFIL ADIL AMANULLAH K K</v>
          </cell>
          <cell r="E113" t="str">
            <v>FANT</v>
          </cell>
          <cell r="F113" t="str">
            <v>JUNIOR</v>
          </cell>
          <cell r="G113">
            <v>3</v>
          </cell>
          <cell r="H113">
            <v>20</v>
          </cell>
          <cell r="I113">
            <v>0</v>
          </cell>
          <cell r="J113">
            <v>20</v>
          </cell>
          <cell r="K113">
            <v>20</v>
          </cell>
          <cell r="L113">
            <v>74</v>
          </cell>
          <cell r="M113">
            <v>74</v>
          </cell>
        </row>
        <row r="114">
          <cell r="C114" t="str">
            <v>B131</v>
          </cell>
          <cell r="D114" t="str">
            <v>MUHAMMED BASSIM. E</v>
          </cell>
          <cell r="E114" t="str">
            <v>JARF</v>
          </cell>
          <cell r="F114" t="str">
            <v>JUNIOR</v>
          </cell>
          <cell r="G114">
            <v>3</v>
          </cell>
          <cell r="H114">
            <v>1</v>
          </cell>
          <cell r="I114">
            <v>0</v>
          </cell>
          <cell r="J114">
            <v>1</v>
          </cell>
          <cell r="K114">
            <v>1</v>
          </cell>
          <cell r="L114">
            <v>231</v>
          </cell>
          <cell r="M114">
            <v>231</v>
          </cell>
        </row>
        <row r="115">
          <cell r="C115" t="str">
            <v>B132</v>
          </cell>
          <cell r="D115" t="str">
            <v>MUHAMMED SAEED THUFAIL</v>
          </cell>
          <cell r="E115" t="str">
            <v>DAHF</v>
          </cell>
          <cell r="F115" t="str">
            <v>JUNIOR</v>
          </cell>
          <cell r="G115">
            <v>3</v>
          </cell>
          <cell r="H115">
            <v>14</v>
          </cell>
          <cell r="I115">
            <v>0</v>
          </cell>
          <cell r="J115">
            <v>14</v>
          </cell>
          <cell r="K115">
            <v>14</v>
          </cell>
          <cell r="L115">
            <v>104</v>
          </cell>
          <cell r="M115">
            <v>104</v>
          </cell>
        </row>
        <row r="116">
          <cell r="C116" t="str">
            <v>B133</v>
          </cell>
          <cell r="D116" t="str">
            <v>MEERAN MOHIUDHEEN RAFIH</v>
          </cell>
          <cell r="E116" t="str">
            <v>JARF</v>
          </cell>
          <cell r="F116" t="str">
            <v>JUNIOR</v>
          </cell>
          <cell r="G116">
            <v>3</v>
          </cell>
          <cell r="H116">
            <v>6</v>
          </cell>
          <cell r="I116">
            <v>0</v>
          </cell>
          <cell r="J116">
            <v>6</v>
          </cell>
          <cell r="K116">
            <v>6</v>
          </cell>
          <cell r="L116">
            <v>171</v>
          </cell>
          <cell r="M116">
            <v>171</v>
          </cell>
        </row>
        <row r="117">
          <cell r="C117" t="str">
            <v>B134</v>
          </cell>
          <cell r="D117" t="str">
            <v>ABDUL RAHIMAN AZAAN</v>
          </cell>
          <cell r="E117" t="str">
            <v>JARF</v>
          </cell>
          <cell r="F117" t="str">
            <v>JUNIOR</v>
          </cell>
          <cell r="G117">
            <v>3</v>
          </cell>
          <cell r="H117">
            <v>35</v>
          </cell>
          <cell r="I117">
            <v>0</v>
          </cell>
          <cell r="J117">
            <v>35</v>
          </cell>
          <cell r="K117">
            <v>35</v>
          </cell>
          <cell r="L117">
            <v>32</v>
          </cell>
          <cell r="M117">
            <v>32</v>
          </cell>
        </row>
        <row r="118">
          <cell r="C118" t="str">
            <v>B135</v>
          </cell>
          <cell r="D118" t="str">
            <v>MOHAMMED RAFIH M R</v>
          </cell>
          <cell r="E118" t="str">
            <v>FANT</v>
          </cell>
          <cell r="F118" t="str">
            <v>JUNIOR</v>
          </cell>
          <cell r="G118">
            <v>3</v>
          </cell>
          <cell r="H118">
            <v>28</v>
          </cell>
          <cell r="I118">
            <v>0</v>
          </cell>
          <cell r="J118">
            <v>28</v>
          </cell>
          <cell r="K118">
            <v>28</v>
          </cell>
          <cell r="L118">
            <v>51</v>
          </cell>
          <cell r="M118">
            <v>51</v>
          </cell>
        </row>
        <row r="119">
          <cell r="C119" t="str">
            <v>B136</v>
          </cell>
          <cell r="D119" t="str">
            <v>MUHAMMAD MIJVAD K</v>
          </cell>
          <cell r="E119" t="str">
            <v>BADF</v>
          </cell>
          <cell r="F119" t="str">
            <v>JUNIOR</v>
          </cell>
          <cell r="G119">
            <v>3</v>
          </cell>
          <cell r="H119">
            <v>12</v>
          </cell>
          <cell r="I119">
            <v>0</v>
          </cell>
          <cell r="J119">
            <v>12</v>
          </cell>
          <cell r="K119">
            <v>12</v>
          </cell>
          <cell r="L119">
            <v>119</v>
          </cell>
          <cell r="M119">
            <v>119</v>
          </cell>
        </row>
        <row r="120">
          <cell r="C120" t="str">
            <v>B137</v>
          </cell>
          <cell r="D120" t="str">
            <v>MOHAMMAD IJAN</v>
          </cell>
          <cell r="E120" t="str">
            <v>BADF</v>
          </cell>
          <cell r="F120" t="str">
            <v>JUNIOR</v>
          </cell>
          <cell r="G120">
            <v>3</v>
          </cell>
          <cell r="H120">
            <v>6</v>
          </cell>
          <cell r="I120">
            <v>0</v>
          </cell>
          <cell r="J120">
            <v>6</v>
          </cell>
          <cell r="K120">
            <v>6</v>
          </cell>
          <cell r="L120">
            <v>171</v>
          </cell>
          <cell r="M120">
            <v>171</v>
          </cell>
        </row>
        <row r="121">
          <cell r="C121" t="str">
            <v>B138</v>
          </cell>
          <cell r="D121" t="str">
            <v>HABEEB RAHMAN CA</v>
          </cell>
          <cell r="E121" t="str">
            <v>BADF</v>
          </cell>
          <cell r="F121" t="str">
            <v>JUNIOR</v>
          </cell>
          <cell r="G121">
            <v>3</v>
          </cell>
          <cell r="H121">
            <v>2</v>
          </cell>
          <cell r="I121">
            <v>0</v>
          </cell>
          <cell r="J121">
            <v>2</v>
          </cell>
          <cell r="K121">
            <v>2</v>
          </cell>
          <cell r="L121">
            <v>224</v>
          </cell>
          <cell r="M121">
            <v>224</v>
          </cell>
        </row>
        <row r="122">
          <cell r="C122" t="str">
            <v>B139</v>
          </cell>
          <cell r="D122" t="str">
            <v>Muhammad</v>
          </cell>
          <cell r="E122" t="str">
            <v>DAHF</v>
          </cell>
          <cell r="F122" t="str">
            <v>JUNIOR</v>
          </cell>
          <cell r="G122">
            <v>3</v>
          </cell>
          <cell r="H122">
            <v>8</v>
          </cell>
          <cell r="I122">
            <v>0</v>
          </cell>
          <cell r="J122">
            <v>8</v>
          </cell>
          <cell r="K122">
            <v>8</v>
          </cell>
          <cell r="L122">
            <v>147</v>
          </cell>
          <cell r="M122">
            <v>147</v>
          </cell>
        </row>
        <row r="123">
          <cell r="C123" t="str">
            <v>B140</v>
          </cell>
          <cell r="D123" t="str">
            <v>MOHAMMED SHAHID</v>
          </cell>
          <cell r="E123" t="str">
            <v>BADF</v>
          </cell>
          <cell r="F123" t="str">
            <v>JUNIOR</v>
          </cell>
          <cell r="G123">
            <v>4</v>
          </cell>
          <cell r="H123">
            <v>7</v>
          </cell>
          <cell r="I123">
            <v>0</v>
          </cell>
          <cell r="J123">
            <v>7</v>
          </cell>
          <cell r="K123">
            <v>7</v>
          </cell>
          <cell r="L123">
            <v>167</v>
          </cell>
          <cell r="M123">
            <v>167</v>
          </cell>
        </row>
        <row r="124">
          <cell r="C124" t="str">
            <v>B141</v>
          </cell>
          <cell r="D124" t="str">
            <v>RAFNAS P</v>
          </cell>
          <cell r="E124" t="str">
            <v>FANT</v>
          </cell>
          <cell r="F124" t="str">
            <v>JUNIOR</v>
          </cell>
          <cell r="G124">
            <v>4</v>
          </cell>
          <cell r="H124">
            <v>1</v>
          </cell>
          <cell r="I124">
            <v>0</v>
          </cell>
          <cell r="J124">
            <v>1</v>
          </cell>
          <cell r="K124">
            <v>1</v>
          </cell>
          <cell r="L124">
            <v>231</v>
          </cell>
          <cell r="M124">
            <v>231</v>
          </cell>
        </row>
        <row r="125">
          <cell r="C125" t="str">
            <v>B142</v>
          </cell>
          <cell r="D125" t="str">
            <v>MUHAMMED HAMDAN A.P</v>
          </cell>
          <cell r="E125" t="str">
            <v>BADF</v>
          </cell>
          <cell r="F125" t="str">
            <v>JUNIOR</v>
          </cell>
          <cell r="G125">
            <v>4</v>
          </cell>
          <cell r="H125">
            <v>33</v>
          </cell>
          <cell r="I125">
            <v>0</v>
          </cell>
          <cell r="J125">
            <v>33</v>
          </cell>
          <cell r="K125">
            <v>33</v>
          </cell>
          <cell r="L125">
            <v>37</v>
          </cell>
          <cell r="M125">
            <v>37</v>
          </cell>
        </row>
        <row r="126">
          <cell r="C126" t="str">
            <v>B143</v>
          </cell>
          <cell r="D126" t="str">
            <v>MOHAMMED SHADIL AP</v>
          </cell>
          <cell r="E126" t="str">
            <v>FANT</v>
          </cell>
          <cell r="F126" t="str">
            <v>JUNIOR</v>
          </cell>
          <cell r="G126">
            <v>4</v>
          </cell>
          <cell r="H126">
            <v>29</v>
          </cell>
          <cell r="I126">
            <v>0</v>
          </cell>
          <cell r="J126">
            <v>29</v>
          </cell>
          <cell r="K126">
            <v>29</v>
          </cell>
          <cell r="L126">
            <v>50</v>
          </cell>
          <cell r="M126">
            <v>50</v>
          </cell>
        </row>
        <row r="127">
          <cell r="C127" t="str">
            <v>B144</v>
          </cell>
          <cell r="D127" t="str">
            <v>MUHAMMED NAFIH CI</v>
          </cell>
          <cell r="E127" t="str">
            <v>FANT</v>
          </cell>
          <cell r="F127" t="str">
            <v>JUNIOR</v>
          </cell>
          <cell r="G127">
            <v>4</v>
          </cell>
          <cell r="H127">
            <v>28</v>
          </cell>
          <cell r="I127">
            <v>0</v>
          </cell>
          <cell r="J127">
            <v>28</v>
          </cell>
          <cell r="K127">
            <v>28</v>
          </cell>
          <cell r="L127">
            <v>51</v>
          </cell>
          <cell r="M127">
            <v>51</v>
          </cell>
        </row>
        <row r="128">
          <cell r="C128" t="str">
            <v>B145</v>
          </cell>
          <cell r="D128" t="str">
            <v>YASEEN NOORULLA PH</v>
          </cell>
          <cell r="E128" t="str">
            <v>FANT</v>
          </cell>
          <cell r="F128" t="str">
            <v>JUNIOR</v>
          </cell>
          <cell r="G128">
            <v>4</v>
          </cell>
          <cell r="H128">
            <v>17</v>
          </cell>
          <cell r="I128">
            <v>0</v>
          </cell>
          <cell r="J128">
            <v>17</v>
          </cell>
          <cell r="K128">
            <v>17</v>
          </cell>
          <cell r="L128">
            <v>87</v>
          </cell>
          <cell r="M128">
            <v>87</v>
          </cell>
        </row>
        <row r="129">
          <cell r="C129" t="str">
            <v>B146</v>
          </cell>
          <cell r="D129" t="str">
            <v>WASEEM NIHAD A M</v>
          </cell>
          <cell r="E129" t="str">
            <v>BADF</v>
          </cell>
          <cell r="F129" t="str">
            <v>JUNIOR</v>
          </cell>
          <cell r="G129">
            <v>4</v>
          </cell>
          <cell r="H129">
            <v>34</v>
          </cell>
          <cell r="I129">
            <v>0</v>
          </cell>
          <cell r="J129">
            <v>34</v>
          </cell>
          <cell r="K129">
            <v>34</v>
          </cell>
          <cell r="L129">
            <v>34</v>
          </cell>
          <cell r="M129">
            <v>34</v>
          </cell>
        </row>
        <row r="130">
          <cell r="C130" t="str">
            <v>B147</v>
          </cell>
          <cell r="D130" t="str">
            <v>MOHAMMED SHAMEEM B K</v>
          </cell>
          <cell r="E130" t="str">
            <v>JARF</v>
          </cell>
          <cell r="F130" t="str">
            <v>JUNIOR</v>
          </cell>
          <cell r="G130">
            <v>4</v>
          </cell>
          <cell r="H130">
            <v>8</v>
          </cell>
          <cell r="I130">
            <v>0</v>
          </cell>
          <cell r="J130">
            <v>8</v>
          </cell>
          <cell r="K130">
            <v>8</v>
          </cell>
          <cell r="L130">
            <v>147</v>
          </cell>
          <cell r="M130">
            <v>147</v>
          </cell>
        </row>
        <row r="131">
          <cell r="C131" t="str">
            <v>B148</v>
          </cell>
          <cell r="D131" t="str">
            <v>MOHAMMED BAQIR TS</v>
          </cell>
          <cell r="E131" t="str">
            <v>JARF</v>
          </cell>
          <cell r="F131" t="str">
            <v>JUNIOR</v>
          </cell>
          <cell r="G131">
            <v>4</v>
          </cell>
          <cell r="H131">
            <v>3</v>
          </cell>
          <cell r="I131">
            <v>0</v>
          </cell>
          <cell r="J131">
            <v>3</v>
          </cell>
          <cell r="K131">
            <v>3</v>
          </cell>
          <cell r="L131">
            <v>209</v>
          </cell>
          <cell r="M131">
            <v>209</v>
          </cell>
        </row>
        <row r="132">
          <cell r="C132" t="str">
            <v>B149</v>
          </cell>
          <cell r="D132" t="str">
            <v>MUHAMMED FARHAN PH</v>
          </cell>
          <cell r="E132" t="str">
            <v>DAHF</v>
          </cell>
          <cell r="F132" t="str">
            <v>JUNIOR</v>
          </cell>
          <cell r="G132">
            <v>4</v>
          </cell>
          <cell r="H132">
            <v>22.5</v>
          </cell>
          <cell r="I132">
            <v>0</v>
          </cell>
          <cell r="J132">
            <v>22.5</v>
          </cell>
          <cell r="K132">
            <v>22.5</v>
          </cell>
          <cell r="L132">
            <v>71</v>
          </cell>
          <cell r="M132">
            <v>71</v>
          </cell>
        </row>
        <row r="133">
          <cell r="C133" t="str">
            <v>B150</v>
          </cell>
          <cell r="D133" t="str">
            <v>ABDULLA FAHAD T.U</v>
          </cell>
          <cell r="E133" t="str">
            <v>FANT</v>
          </cell>
          <cell r="F133" t="str">
            <v>JUNIOR</v>
          </cell>
          <cell r="G133">
            <v>4</v>
          </cell>
          <cell r="H133">
            <v>3</v>
          </cell>
          <cell r="I133">
            <v>0</v>
          </cell>
          <cell r="J133">
            <v>3</v>
          </cell>
          <cell r="K133">
            <v>3</v>
          </cell>
          <cell r="L133">
            <v>209</v>
          </cell>
          <cell r="M133">
            <v>209</v>
          </cell>
        </row>
        <row r="134">
          <cell r="C134" t="str">
            <v>B151</v>
          </cell>
          <cell r="D134" t="str">
            <v>ABDUL GAFOOR</v>
          </cell>
          <cell r="E134" t="str">
            <v>BADF</v>
          </cell>
          <cell r="F134" t="str">
            <v>JUNIOR</v>
          </cell>
          <cell r="G134">
            <v>4</v>
          </cell>
          <cell r="H134">
            <v>3</v>
          </cell>
          <cell r="I134">
            <v>0</v>
          </cell>
          <cell r="J134">
            <v>3</v>
          </cell>
          <cell r="K134">
            <v>3</v>
          </cell>
          <cell r="L134">
            <v>209</v>
          </cell>
          <cell r="M134">
            <v>209</v>
          </cell>
        </row>
        <row r="135">
          <cell r="C135" t="str">
            <v>B152</v>
          </cell>
          <cell r="D135" t="str">
            <v>MUHAMMED MUNAZIR MM</v>
          </cell>
          <cell r="E135" t="str">
            <v>JARF</v>
          </cell>
          <cell r="F135" t="str">
            <v>JUNIOR</v>
          </cell>
          <cell r="G135">
            <v>4</v>
          </cell>
          <cell r="H135">
            <v>18.5</v>
          </cell>
          <cell r="I135">
            <v>0</v>
          </cell>
          <cell r="J135">
            <v>18.5</v>
          </cell>
          <cell r="K135">
            <v>18.5</v>
          </cell>
          <cell r="L135">
            <v>80</v>
          </cell>
          <cell r="M135">
            <v>80</v>
          </cell>
        </row>
        <row r="136">
          <cell r="C136" t="str">
            <v>B153</v>
          </cell>
          <cell r="D136" t="str">
            <v>ABDUL KHADER ISHAQUE</v>
          </cell>
          <cell r="E136" t="str">
            <v>BADF</v>
          </cell>
          <cell r="F136" t="str">
            <v>JUNIOR</v>
          </cell>
          <cell r="G136">
            <v>4</v>
          </cell>
          <cell r="H136">
            <v>14</v>
          </cell>
          <cell r="I136">
            <v>0</v>
          </cell>
          <cell r="J136">
            <v>14</v>
          </cell>
          <cell r="K136">
            <v>14</v>
          </cell>
          <cell r="L136">
            <v>104</v>
          </cell>
          <cell r="M136">
            <v>104</v>
          </cell>
        </row>
        <row r="137">
          <cell r="C137" t="str">
            <v>B154</v>
          </cell>
          <cell r="D137" t="str">
            <v>ABDULLA ALBAS</v>
          </cell>
          <cell r="E137" t="str">
            <v>DAHF</v>
          </cell>
          <cell r="F137" t="str">
            <v>JUNIOR</v>
          </cell>
          <cell r="G137">
            <v>4</v>
          </cell>
          <cell r="H137">
            <v>31</v>
          </cell>
          <cell r="I137">
            <v>0</v>
          </cell>
          <cell r="J137">
            <v>31</v>
          </cell>
          <cell r="K137">
            <v>31</v>
          </cell>
          <cell r="L137">
            <v>42</v>
          </cell>
          <cell r="M137">
            <v>42</v>
          </cell>
        </row>
        <row r="138">
          <cell r="C138" t="str">
            <v>B155</v>
          </cell>
          <cell r="D138" t="str">
            <v>MUHAMMED A</v>
          </cell>
          <cell r="E138" t="str">
            <v>DAHF</v>
          </cell>
          <cell r="F138" t="str">
            <v>JUNIOR</v>
          </cell>
          <cell r="G138">
            <v>4</v>
          </cell>
          <cell r="H138">
            <v>8</v>
          </cell>
          <cell r="I138">
            <v>0</v>
          </cell>
          <cell r="J138">
            <v>8</v>
          </cell>
          <cell r="K138">
            <v>8</v>
          </cell>
          <cell r="L138">
            <v>147</v>
          </cell>
          <cell r="M138">
            <v>147</v>
          </cell>
        </row>
        <row r="139">
          <cell r="C139" t="str">
            <v>B156</v>
          </cell>
          <cell r="D139" t="str">
            <v>MOHAMMED ANAS A.A</v>
          </cell>
          <cell r="E139" t="str">
            <v>JARF</v>
          </cell>
          <cell r="F139" t="str">
            <v>JUNIOR</v>
          </cell>
          <cell r="G139">
            <v>4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255</v>
          </cell>
          <cell r="M139">
            <v>255</v>
          </cell>
        </row>
        <row r="140">
          <cell r="C140" t="str">
            <v>B157</v>
          </cell>
          <cell r="D140" t="str">
            <v>MUHAMMED MIHRAZ</v>
          </cell>
          <cell r="E140" t="str">
            <v>FANT</v>
          </cell>
          <cell r="F140" t="str">
            <v>JUNIOR</v>
          </cell>
          <cell r="G140">
            <v>4</v>
          </cell>
          <cell r="H140">
            <v>14</v>
          </cell>
          <cell r="I140">
            <v>0</v>
          </cell>
          <cell r="J140">
            <v>14</v>
          </cell>
          <cell r="K140">
            <v>14</v>
          </cell>
          <cell r="L140">
            <v>104</v>
          </cell>
          <cell r="M140">
            <v>104</v>
          </cell>
        </row>
        <row r="141">
          <cell r="C141" t="str">
            <v>B158</v>
          </cell>
          <cell r="D141" t="str">
            <v>FADIL MOHAMMED K M</v>
          </cell>
          <cell r="E141" t="str">
            <v>DAHF</v>
          </cell>
          <cell r="F141" t="str">
            <v>JUNIOR</v>
          </cell>
          <cell r="G141">
            <v>4</v>
          </cell>
          <cell r="H141">
            <v>24</v>
          </cell>
          <cell r="I141">
            <v>0</v>
          </cell>
          <cell r="J141">
            <v>24</v>
          </cell>
          <cell r="K141">
            <v>24</v>
          </cell>
          <cell r="L141">
            <v>64</v>
          </cell>
          <cell r="M141">
            <v>64</v>
          </cell>
        </row>
        <row r="142">
          <cell r="C142" t="str">
            <v>B159</v>
          </cell>
          <cell r="D142" t="str">
            <v>AJMAL AHMED MT</v>
          </cell>
          <cell r="E142" t="str">
            <v>DAHF</v>
          </cell>
          <cell r="F142" t="str">
            <v>JUNIOR</v>
          </cell>
          <cell r="G142">
            <v>4</v>
          </cell>
          <cell r="H142">
            <v>12</v>
          </cell>
          <cell r="I142">
            <v>0</v>
          </cell>
          <cell r="J142">
            <v>12</v>
          </cell>
          <cell r="K142">
            <v>12</v>
          </cell>
          <cell r="L142">
            <v>119</v>
          </cell>
          <cell r="M142">
            <v>119</v>
          </cell>
        </row>
        <row r="143">
          <cell r="C143" t="str">
            <v>B160</v>
          </cell>
          <cell r="D143" t="str">
            <v>MOHAMMED DAWOOD K</v>
          </cell>
          <cell r="E143" t="str">
            <v>JARF</v>
          </cell>
          <cell r="F143" t="str">
            <v>JUNIOR</v>
          </cell>
          <cell r="G143">
            <v>4</v>
          </cell>
          <cell r="H143">
            <v>9</v>
          </cell>
          <cell r="I143">
            <v>0</v>
          </cell>
          <cell r="J143">
            <v>9</v>
          </cell>
          <cell r="K143">
            <v>9</v>
          </cell>
          <cell r="L143">
            <v>139</v>
          </cell>
          <cell r="M143">
            <v>139</v>
          </cell>
        </row>
        <row r="144">
          <cell r="C144" t="str">
            <v>B161</v>
          </cell>
          <cell r="D144" t="str">
            <v>MUHAMMED RAZI TM</v>
          </cell>
          <cell r="E144" t="str">
            <v>DAHF</v>
          </cell>
          <cell r="F144" t="str">
            <v>JUNIOR</v>
          </cell>
          <cell r="G144">
            <v>4</v>
          </cell>
          <cell r="H144">
            <v>8</v>
          </cell>
          <cell r="I144">
            <v>0</v>
          </cell>
          <cell r="J144">
            <v>8</v>
          </cell>
          <cell r="K144">
            <v>8</v>
          </cell>
          <cell r="L144">
            <v>147</v>
          </cell>
          <cell r="M144">
            <v>147</v>
          </cell>
        </row>
        <row r="145">
          <cell r="C145" t="str">
            <v>B162</v>
          </cell>
          <cell r="D145" t="str">
            <v>RAYHAN PH</v>
          </cell>
          <cell r="E145" t="str">
            <v>JARF</v>
          </cell>
          <cell r="F145" t="str">
            <v>JUNIOR</v>
          </cell>
          <cell r="G145">
            <v>4</v>
          </cell>
          <cell r="H145">
            <v>17</v>
          </cell>
          <cell r="I145">
            <v>0</v>
          </cell>
          <cell r="J145">
            <v>17</v>
          </cell>
          <cell r="K145">
            <v>17</v>
          </cell>
          <cell r="L145">
            <v>87</v>
          </cell>
          <cell r="M145">
            <v>87</v>
          </cell>
        </row>
        <row r="146">
          <cell r="C146" t="str">
            <v>B163</v>
          </cell>
          <cell r="D146" t="str">
            <v>MOHAMMED YOUNUS</v>
          </cell>
          <cell r="E146" t="str">
            <v>JARF</v>
          </cell>
          <cell r="F146" t="str">
            <v>JUNIOR</v>
          </cell>
          <cell r="G146">
            <v>4</v>
          </cell>
          <cell r="H146">
            <v>38</v>
          </cell>
          <cell r="I146">
            <v>0</v>
          </cell>
          <cell r="J146">
            <v>38</v>
          </cell>
          <cell r="K146">
            <v>38</v>
          </cell>
          <cell r="L146">
            <v>26</v>
          </cell>
          <cell r="M146">
            <v>26</v>
          </cell>
        </row>
        <row r="147">
          <cell r="C147" t="str">
            <v>B164</v>
          </cell>
          <cell r="D147" t="str">
            <v>RASALUL AMEEN T</v>
          </cell>
          <cell r="E147" t="str">
            <v>BADF</v>
          </cell>
          <cell r="F147" t="str">
            <v>JUNIOR</v>
          </cell>
          <cell r="G147">
            <v>4</v>
          </cell>
          <cell r="H147">
            <v>33</v>
          </cell>
          <cell r="I147">
            <v>0</v>
          </cell>
          <cell r="J147">
            <v>33</v>
          </cell>
          <cell r="K147">
            <v>33</v>
          </cell>
          <cell r="L147">
            <v>37</v>
          </cell>
          <cell r="M147">
            <v>37</v>
          </cell>
        </row>
        <row r="148">
          <cell r="C148" t="str">
            <v>C100</v>
          </cell>
          <cell r="D148" t="str">
            <v>IBRAHIM AFIL</v>
          </cell>
          <cell r="E148" t="str">
            <v>DAHF</v>
          </cell>
          <cell r="F148" t="str">
            <v>SENIOR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255</v>
          </cell>
          <cell r="M148">
            <v>255</v>
          </cell>
        </row>
        <row r="149">
          <cell r="C149" t="str">
            <v>C101</v>
          </cell>
          <cell r="D149" t="str">
            <v>MUHAMMED KASHIF</v>
          </cell>
          <cell r="E149" t="str">
            <v>FANT</v>
          </cell>
          <cell r="F149" t="str">
            <v>SENIOR</v>
          </cell>
          <cell r="G149">
            <v>5</v>
          </cell>
          <cell r="H149">
            <v>2</v>
          </cell>
          <cell r="I149">
            <v>0</v>
          </cell>
          <cell r="J149">
            <v>2</v>
          </cell>
          <cell r="K149">
            <v>2</v>
          </cell>
          <cell r="L149">
            <v>224</v>
          </cell>
          <cell r="M149">
            <v>224</v>
          </cell>
        </row>
        <row r="150">
          <cell r="C150" t="str">
            <v>C102</v>
          </cell>
          <cell r="D150" t="str">
            <v>AHAMMED MAHSHOOK M.B</v>
          </cell>
          <cell r="E150" t="str">
            <v>DAHF</v>
          </cell>
          <cell r="F150" t="str">
            <v>SENIOR</v>
          </cell>
          <cell r="G150">
            <v>5</v>
          </cell>
          <cell r="H150">
            <v>9</v>
          </cell>
          <cell r="I150">
            <v>0</v>
          </cell>
          <cell r="J150">
            <v>9</v>
          </cell>
          <cell r="K150">
            <v>9</v>
          </cell>
          <cell r="L150">
            <v>139</v>
          </cell>
          <cell r="M150">
            <v>139</v>
          </cell>
        </row>
        <row r="151">
          <cell r="C151" t="str">
            <v>C103</v>
          </cell>
          <cell r="D151" t="str">
            <v>MUHAMMED ABDUL KADER</v>
          </cell>
          <cell r="E151" t="str">
            <v>BADF</v>
          </cell>
          <cell r="F151" t="str">
            <v>SENIOR</v>
          </cell>
          <cell r="G151">
            <v>5</v>
          </cell>
          <cell r="H151">
            <v>30</v>
          </cell>
          <cell r="I151">
            <v>0</v>
          </cell>
          <cell r="J151">
            <v>30</v>
          </cell>
          <cell r="K151">
            <v>30</v>
          </cell>
          <cell r="L151">
            <v>48</v>
          </cell>
          <cell r="M151">
            <v>48</v>
          </cell>
        </row>
        <row r="152">
          <cell r="C152" t="str">
            <v>C104</v>
          </cell>
          <cell r="D152" t="str">
            <v>HADIL RIJAS</v>
          </cell>
          <cell r="E152" t="str">
            <v>BADF</v>
          </cell>
          <cell r="F152" t="str">
            <v>SENIOR</v>
          </cell>
          <cell r="G152">
            <v>5</v>
          </cell>
          <cell r="H152">
            <v>23</v>
          </cell>
          <cell r="I152">
            <v>0</v>
          </cell>
          <cell r="J152">
            <v>23</v>
          </cell>
          <cell r="K152">
            <v>23</v>
          </cell>
          <cell r="L152">
            <v>68</v>
          </cell>
          <cell r="M152">
            <v>68</v>
          </cell>
        </row>
        <row r="153">
          <cell r="C153" t="str">
            <v>C105</v>
          </cell>
          <cell r="D153" t="str">
            <v>AHMAD MANAL KUDINGILA</v>
          </cell>
          <cell r="E153" t="str">
            <v>JARF</v>
          </cell>
          <cell r="F153" t="str">
            <v>SENIOR</v>
          </cell>
          <cell r="G153">
            <v>5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255</v>
          </cell>
          <cell r="M153">
            <v>255</v>
          </cell>
        </row>
        <row r="154">
          <cell r="C154" t="str">
            <v>C106</v>
          </cell>
          <cell r="D154" t="str">
            <v>ABDUL RAHMAN ANFHAL M I</v>
          </cell>
          <cell r="E154" t="str">
            <v>BADF</v>
          </cell>
          <cell r="F154" t="str">
            <v>SENIOR</v>
          </cell>
          <cell r="G154">
            <v>5</v>
          </cell>
          <cell r="H154">
            <v>5</v>
          </cell>
          <cell r="I154">
            <v>0</v>
          </cell>
          <cell r="J154">
            <v>5</v>
          </cell>
          <cell r="K154">
            <v>5</v>
          </cell>
          <cell r="L154">
            <v>190</v>
          </cell>
          <cell r="M154">
            <v>190</v>
          </cell>
        </row>
        <row r="155">
          <cell r="C155" t="str">
            <v>C107</v>
          </cell>
          <cell r="D155" t="str">
            <v>ADIL ABDULLA A</v>
          </cell>
          <cell r="E155" t="str">
            <v>DAHF</v>
          </cell>
          <cell r="F155" t="str">
            <v>SENIOR</v>
          </cell>
          <cell r="G155">
            <v>5</v>
          </cell>
          <cell r="H155">
            <v>31</v>
          </cell>
          <cell r="I155">
            <v>0</v>
          </cell>
          <cell r="J155">
            <v>31</v>
          </cell>
          <cell r="K155">
            <v>31</v>
          </cell>
          <cell r="L155">
            <v>42</v>
          </cell>
          <cell r="M155">
            <v>42</v>
          </cell>
        </row>
        <row r="156">
          <cell r="C156" t="str">
            <v>C108</v>
          </cell>
          <cell r="D156" t="str">
            <v>ABDULLA SALMAN FARIS M</v>
          </cell>
          <cell r="E156" t="str">
            <v>FANT</v>
          </cell>
          <cell r="F156" t="str">
            <v>SENIOR</v>
          </cell>
          <cell r="G156">
            <v>5</v>
          </cell>
          <cell r="H156">
            <v>5</v>
          </cell>
          <cell r="I156">
            <v>0</v>
          </cell>
          <cell r="J156">
            <v>5</v>
          </cell>
          <cell r="K156">
            <v>5</v>
          </cell>
          <cell r="L156">
            <v>190</v>
          </cell>
          <cell r="M156">
            <v>190</v>
          </cell>
        </row>
        <row r="157">
          <cell r="C157" t="str">
            <v>C109</v>
          </cell>
          <cell r="D157" t="str">
            <v>ABDULLA FARHAN M</v>
          </cell>
          <cell r="E157" t="str">
            <v>BADF</v>
          </cell>
          <cell r="F157" t="str">
            <v>SENIOR</v>
          </cell>
          <cell r="G157">
            <v>5</v>
          </cell>
          <cell r="H157">
            <v>8</v>
          </cell>
          <cell r="I157">
            <v>0</v>
          </cell>
          <cell r="J157">
            <v>8</v>
          </cell>
          <cell r="K157">
            <v>8</v>
          </cell>
          <cell r="L157">
            <v>147</v>
          </cell>
          <cell r="M157">
            <v>147</v>
          </cell>
        </row>
        <row r="158">
          <cell r="C158" t="str">
            <v>C110</v>
          </cell>
          <cell r="D158" t="str">
            <v>SHADIL AHAMED</v>
          </cell>
          <cell r="E158" t="str">
            <v>DAHF</v>
          </cell>
          <cell r="F158" t="str">
            <v>SENIOR</v>
          </cell>
          <cell r="G158">
            <v>5</v>
          </cell>
          <cell r="H158">
            <v>3</v>
          </cell>
          <cell r="I158">
            <v>0</v>
          </cell>
          <cell r="J158">
            <v>3</v>
          </cell>
          <cell r="K158">
            <v>3</v>
          </cell>
          <cell r="L158">
            <v>209</v>
          </cell>
          <cell r="M158">
            <v>209</v>
          </cell>
        </row>
        <row r="159">
          <cell r="C159" t="str">
            <v>C111</v>
          </cell>
          <cell r="D159" t="str">
            <v>MUHAMMAD ISMAIL HAMDULLA V K</v>
          </cell>
          <cell r="E159" t="str">
            <v>JARF</v>
          </cell>
          <cell r="F159" t="str">
            <v>SENIOR</v>
          </cell>
          <cell r="G159">
            <v>5</v>
          </cell>
          <cell r="H159">
            <v>34</v>
          </cell>
          <cell r="I159">
            <v>0</v>
          </cell>
          <cell r="J159">
            <v>34</v>
          </cell>
          <cell r="K159">
            <v>34</v>
          </cell>
          <cell r="L159">
            <v>34</v>
          </cell>
          <cell r="M159">
            <v>34</v>
          </cell>
        </row>
        <row r="160">
          <cell r="C160" t="str">
            <v>C112</v>
          </cell>
          <cell r="D160" t="str">
            <v>MOHAMMED SA'DUDDEEN K</v>
          </cell>
          <cell r="E160" t="str">
            <v>FANT</v>
          </cell>
          <cell r="F160" t="str">
            <v>SENIOR</v>
          </cell>
          <cell r="G160">
            <v>5</v>
          </cell>
          <cell r="H160">
            <v>31</v>
          </cell>
          <cell r="I160">
            <v>0</v>
          </cell>
          <cell r="J160">
            <v>31</v>
          </cell>
          <cell r="K160">
            <v>31</v>
          </cell>
          <cell r="L160">
            <v>42</v>
          </cell>
          <cell r="M160">
            <v>42</v>
          </cell>
        </row>
        <row r="161">
          <cell r="C161" t="str">
            <v>C113</v>
          </cell>
          <cell r="D161" t="str">
            <v>SEYYAD MUHAMMED FAHMAN</v>
          </cell>
          <cell r="E161" t="str">
            <v>JARF</v>
          </cell>
          <cell r="F161" t="str">
            <v>SENIOR</v>
          </cell>
          <cell r="G161">
            <v>5</v>
          </cell>
          <cell r="H161">
            <v>4</v>
          </cell>
          <cell r="I161">
            <v>0</v>
          </cell>
          <cell r="J161">
            <v>4</v>
          </cell>
          <cell r="K161">
            <v>4</v>
          </cell>
          <cell r="L161">
            <v>197</v>
          </cell>
          <cell r="M161">
            <v>197</v>
          </cell>
        </row>
        <row r="162">
          <cell r="C162" t="str">
            <v>C114</v>
          </cell>
          <cell r="D162" t="str">
            <v>AJMAL RUWAIS</v>
          </cell>
          <cell r="E162" t="str">
            <v>BADF</v>
          </cell>
          <cell r="F162" t="str">
            <v>SENIOR</v>
          </cell>
          <cell r="G162">
            <v>5</v>
          </cell>
          <cell r="H162">
            <v>10.5</v>
          </cell>
          <cell r="I162">
            <v>0</v>
          </cell>
          <cell r="J162">
            <v>10.5</v>
          </cell>
          <cell r="K162">
            <v>10.5</v>
          </cell>
          <cell r="L162">
            <v>130</v>
          </cell>
          <cell r="M162">
            <v>130</v>
          </cell>
        </row>
        <row r="163">
          <cell r="C163" t="str">
            <v>C115</v>
          </cell>
          <cell r="D163" t="str">
            <v>MOHAMMED ABDUL KHADER K</v>
          </cell>
          <cell r="E163" t="str">
            <v>FANT</v>
          </cell>
          <cell r="F163" t="str">
            <v>SENIOR</v>
          </cell>
          <cell r="G163">
            <v>5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255</v>
          </cell>
          <cell r="M163">
            <v>255</v>
          </cell>
        </row>
        <row r="164">
          <cell r="C164" t="str">
            <v>C116</v>
          </cell>
          <cell r="D164" t="str">
            <v>MUAHMMED ANAS P A</v>
          </cell>
          <cell r="E164" t="str">
            <v>JARF</v>
          </cell>
          <cell r="F164" t="str">
            <v>SENIOR</v>
          </cell>
          <cell r="G164">
            <v>5</v>
          </cell>
          <cell r="H164">
            <v>1</v>
          </cell>
          <cell r="I164">
            <v>0</v>
          </cell>
          <cell r="J164">
            <v>1</v>
          </cell>
          <cell r="K164">
            <v>1</v>
          </cell>
          <cell r="L164">
            <v>231</v>
          </cell>
          <cell r="M164">
            <v>231</v>
          </cell>
        </row>
        <row r="165">
          <cell r="C165" t="str">
            <v>C117</v>
          </cell>
          <cell r="D165" t="str">
            <v>Muhammed fahiz A K</v>
          </cell>
          <cell r="E165" t="str">
            <v>DAHF</v>
          </cell>
          <cell r="F165" t="str">
            <v>SENIOR</v>
          </cell>
          <cell r="G165">
            <v>5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255</v>
          </cell>
          <cell r="M165">
            <v>255</v>
          </cell>
        </row>
        <row r="166">
          <cell r="C166" t="str">
            <v>C118</v>
          </cell>
          <cell r="D166" t="str">
            <v>MUHAMMAD SHAMMAS</v>
          </cell>
          <cell r="E166" t="str">
            <v>FANT</v>
          </cell>
          <cell r="F166" t="str">
            <v>SENIOR</v>
          </cell>
          <cell r="G166">
            <v>5</v>
          </cell>
          <cell r="H166">
            <v>8</v>
          </cell>
          <cell r="I166">
            <v>0</v>
          </cell>
          <cell r="J166">
            <v>8</v>
          </cell>
          <cell r="K166">
            <v>8</v>
          </cell>
          <cell r="L166">
            <v>147</v>
          </cell>
          <cell r="M166">
            <v>147</v>
          </cell>
        </row>
        <row r="167">
          <cell r="C167" t="str">
            <v>C119</v>
          </cell>
          <cell r="D167" t="str">
            <v>ARIFUDEEN ABBAS A</v>
          </cell>
          <cell r="E167" t="str">
            <v>JARF</v>
          </cell>
          <cell r="F167" t="str">
            <v>SENIOR</v>
          </cell>
          <cell r="G167">
            <v>5</v>
          </cell>
          <cell r="H167">
            <v>1</v>
          </cell>
          <cell r="I167">
            <v>0</v>
          </cell>
          <cell r="J167">
            <v>1</v>
          </cell>
          <cell r="K167">
            <v>1</v>
          </cell>
          <cell r="L167">
            <v>231</v>
          </cell>
          <cell r="M167">
            <v>231</v>
          </cell>
        </row>
        <row r="168">
          <cell r="C168" t="str">
            <v>C120</v>
          </cell>
          <cell r="D168" t="str">
            <v>MAJID MUHAMMED M</v>
          </cell>
          <cell r="E168" t="str">
            <v>DAHF</v>
          </cell>
          <cell r="F168" t="str">
            <v>SENIOR</v>
          </cell>
          <cell r="G168">
            <v>5</v>
          </cell>
          <cell r="H168">
            <v>26</v>
          </cell>
          <cell r="I168">
            <v>0</v>
          </cell>
          <cell r="J168">
            <v>26</v>
          </cell>
          <cell r="K168">
            <v>26</v>
          </cell>
          <cell r="L168">
            <v>58</v>
          </cell>
          <cell r="M168">
            <v>58</v>
          </cell>
        </row>
        <row r="169">
          <cell r="C169" t="str">
            <v>C121</v>
          </cell>
          <cell r="D169" t="str">
            <v>ABDUL SALAM ARIF</v>
          </cell>
          <cell r="E169" t="str">
            <v>JARF</v>
          </cell>
          <cell r="F169" t="str">
            <v>SENIOR</v>
          </cell>
          <cell r="G169">
            <v>5</v>
          </cell>
          <cell r="H169">
            <v>4</v>
          </cell>
          <cell r="I169">
            <v>0</v>
          </cell>
          <cell r="J169">
            <v>4</v>
          </cell>
          <cell r="K169">
            <v>4</v>
          </cell>
          <cell r="L169">
            <v>197</v>
          </cell>
          <cell r="M169">
            <v>197</v>
          </cell>
        </row>
        <row r="170">
          <cell r="C170" t="str">
            <v>C122</v>
          </cell>
          <cell r="D170" t="str">
            <v>MOHAMMED K H</v>
          </cell>
          <cell r="E170" t="str">
            <v>BADF</v>
          </cell>
          <cell r="F170" t="str">
            <v>SENIOR</v>
          </cell>
          <cell r="G170">
            <v>5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255</v>
          </cell>
          <cell r="M170">
            <v>255</v>
          </cell>
        </row>
        <row r="171">
          <cell r="C171" t="str">
            <v>C123</v>
          </cell>
          <cell r="D171" t="str">
            <v>MOHAMMED FAQRUDDEEN RAZI</v>
          </cell>
          <cell r="E171" t="str">
            <v>BADF</v>
          </cell>
          <cell r="F171" t="str">
            <v>SENIOR</v>
          </cell>
          <cell r="G171">
            <v>5</v>
          </cell>
          <cell r="H171">
            <v>1</v>
          </cell>
          <cell r="I171">
            <v>0</v>
          </cell>
          <cell r="J171">
            <v>1</v>
          </cell>
          <cell r="K171">
            <v>1</v>
          </cell>
          <cell r="L171">
            <v>231</v>
          </cell>
          <cell r="M171">
            <v>231</v>
          </cell>
        </row>
        <row r="172">
          <cell r="C172" t="str">
            <v>C124</v>
          </cell>
          <cell r="D172" t="str">
            <v>MOHAMMED MUBASHIR</v>
          </cell>
          <cell r="E172" t="str">
            <v>BADF</v>
          </cell>
          <cell r="F172" t="str">
            <v>SENIOR</v>
          </cell>
          <cell r="G172">
            <v>5</v>
          </cell>
          <cell r="H172">
            <v>2</v>
          </cell>
          <cell r="I172">
            <v>0</v>
          </cell>
          <cell r="J172">
            <v>2</v>
          </cell>
          <cell r="K172">
            <v>2</v>
          </cell>
          <cell r="L172">
            <v>224</v>
          </cell>
          <cell r="M172">
            <v>224</v>
          </cell>
        </row>
        <row r="173">
          <cell r="C173" t="str">
            <v>C125</v>
          </cell>
          <cell r="D173" t="str">
            <v>AHAMMED MINHAJ E M</v>
          </cell>
          <cell r="E173" t="str">
            <v>FANT</v>
          </cell>
          <cell r="F173" t="str">
            <v>SENIOR</v>
          </cell>
          <cell r="G173">
            <v>5</v>
          </cell>
          <cell r="H173">
            <v>14</v>
          </cell>
          <cell r="I173">
            <v>0</v>
          </cell>
          <cell r="J173">
            <v>14</v>
          </cell>
          <cell r="K173">
            <v>14</v>
          </cell>
          <cell r="L173">
            <v>104</v>
          </cell>
          <cell r="M173">
            <v>104</v>
          </cell>
        </row>
        <row r="174">
          <cell r="C174" t="str">
            <v>C126</v>
          </cell>
          <cell r="D174" t="str">
            <v>ADNAN ABDULLAH B A</v>
          </cell>
          <cell r="E174" t="str">
            <v>JARF</v>
          </cell>
          <cell r="F174" t="str">
            <v>SENIOR</v>
          </cell>
          <cell r="G174">
            <v>5</v>
          </cell>
          <cell r="H174">
            <v>1</v>
          </cell>
          <cell r="I174">
            <v>0</v>
          </cell>
          <cell r="J174">
            <v>1</v>
          </cell>
          <cell r="K174">
            <v>1</v>
          </cell>
          <cell r="L174">
            <v>231</v>
          </cell>
          <cell r="M174">
            <v>231</v>
          </cell>
        </row>
        <row r="175">
          <cell r="C175" t="str">
            <v>C127</v>
          </cell>
          <cell r="D175" t="str">
            <v>SHAMMAZ P A</v>
          </cell>
          <cell r="E175" t="str">
            <v>FANT</v>
          </cell>
          <cell r="F175" t="str">
            <v>SENIOR</v>
          </cell>
          <cell r="G175">
            <v>5</v>
          </cell>
          <cell r="H175">
            <v>13</v>
          </cell>
          <cell r="I175">
            <v>0</v>
          </cell>
          <cell r="J175">
            <v>13</v>
          </cell>
          <cell r="K175">
            <v>13</v>
          </cell>
          <cell r="L175">
            <v>114</v>
          </cell>
          <cell r="M175">
            <v>114</v>
          </cell>
        </row>
        <row r="176">
          <cell r="C176" t="str">
            <v>C128</v>
          </cell>
          <cell r="D176" t="str">
            <v>MAHIN SINAN</v>
          </cell>
          <cell r="E176" t="str">
            <v>DAHF</v>
          </cell>
          <cell r="F176" t="str">
            <v>SENIOR</v>
          </cell>
          <cell r="G176">
            <v>5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255</v>
          </cell>
          <cell r="M176">
            <v>255</v>
          </cell>
        </row>
        <row r="177">
          <cell r="C177" t="str">
            <v>C129</v>
          </cell>
          <cell r="D177" t="str">
            <v>P K ZAMEEL AHMED</v>
          </cell>
          <cell r="E177" t="str">
            <v>BADF</v>
          </cell>
          <cell r="F177" t="str">
            <v>SENIOR</v>
          </cell>
          <cell r="G177">
            <v>5</v>
          </cell>
          <cell r="H177">
            <v>6</v>
          </cell>
          <cell r="I177">
            <v>0</v>
          </cell>
          <cell r="J177">
            <v>6</v>
          </cell>
          <cell r="K177">
            <v>6</v>
          </cell>
          <cell r="L177">
            <v>171</v>
          </cell>
          <cell r="M177">
            <v>171</v>
          </cell>
        </row>
        <row r="178">
          <cell r="C178" t="str">
            <v>C130</v>
          </cell>
          <cell r="D178" t="str">
            <v>MOHAMMED HISHAM</v>
          </cell>
          <cell r="E178" t="str">
            <v>DAHF</v>
          </cell>
          <cell r="F178" t="str">
            <v>SENIOR</v>
          </cell>
          <cell r="G178">
            <v>5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255</v>
          </cell>
          <cell r="M178">
            <v>255</v>
          </cell>
        </row>
        <row r="179">
          <cell r="C179" t="str">
            <v>C131</v>
          </cell>
          <cell r="D179" t="str">
            <v>IBRAHIM AHRAZ</v>
          </cell>
          <cell r="E179" t="str">
            <v>FANT</v>
          </cell>
          <cell r="F179" t="str">
            <v>SENIOR</v>
          </cell>
          <cell r="G179">
            <v>6</v>
          </cell>
          <cell r="H179">
            <v>6</v>
          </cell>
          <cell r="I179">
            <v>0</v>
          </cell>
          <cell r="J179">
            <v>6</v>
          </cell>
          <cell r="K179">
            <v>6</v>
          </cell>
          <cell r="L179">
            <v>171</v>
          </cell>
          <cell r="M179">
            <v>171</v>
          </cell>
        </row>
        <row r="180">
          <cell r="C180" t="str">
            <v>C132</v>
          </cell>
          <cell r="D180" t="str">
            <v>MUHAMMAD SHAZIN</v>
          </cell>
          <cell r="E180" t="str">
            <v>BADF</v>
          </cell>
          <cell r="F180" t="str">
            <v>SENIOR</v>
          </cell>
          <cell r="G180">
            <v>6</v>
          </cell>
          <cell r="H180">
            <v>1</v>
          </cell>
          <cell r="I180">
            <v>0</v>
          </cell>
          <cell r="J180">
            <v>1</v>
          </cell>
          <cell r="K180">
            <v>1</v>
          </cell>
          <cell r="L180">
            <v>231</v>
          </cell>
          <cell r="M180">
            <v>231</v>
          </cell>
        </row>
        <row r="181">
          <cell r="C181" t="str">
            <v>C133</v>
          </cell>
          <cell r="D181" t="str">
            <v>SALMANUL FARIS</v>
          </cell>
          <cell r="E181" t="str">
            <v>DAHF</v>
          </cell>
          <cell r="F181" t="str">
            <v>SENIOR</v>
          </cell>
          <cell r="G181">
            <v>6</v>
          </cell>
          <cell r="H181">
            <v>51</v>
          </cell>
          <cell r="I181">
            <v>0</v>
          </cell>
          <cell r="J181">
            <v>51</v>
          </cell>
          <cell r="K181">
            <v>51</v>
          </cell>
          <cell r="L181">
            <v>13</v>
          </cell>
          <cell r="M181">
            <v>13</v>
          </cell>
        </row>
        <row r="182">
          <cell r="C182" t="str">
            <v>C134</v>
          </cell>
          <cell r="D182" t="str">
            <v>MUHAMMED ABDUL NASIF P.A</v>
          </cell>
          <cell r="E182" t="str">
            <v>FANT</v>
          </cell>
          <cell r="F182" t="str">
            <v>SENIOR</v>
          </cell>
          <cell r="G182">
            <v>6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255</v>
          </cell>
          <cell r="M182">
            <v>255</v>
          </cell>
        </row>
        <row r="183">
          <cell r="C183" t="str">
            <v>C135</v>
          </cell>
          <cell r="D183" t="str">
            <v>AHAMAD SHABAB P A</v>
          </cell>
          <cell r="E183" t="str">
            <v>JARF</v>
          </cell>
          <cell r="F183" t="str">
            <v>SENIOR</v>
          </cell>
          <cell r="G183">
            <v>6</v>
          </cell>
          <cell r="H183">
            <v>73</v>
          </cell>
          <cell r="I183">
            <v>0</v>
          </cell>
          <cell r="J183">
            <v>73</v>
          </cell>
          <cell r="K183">
            <v>73</v>
          </cell>
          <cell r="L183">
            <v>2</v>
          </cell>
          <cell r="M183">
            <v>2</v>
          </cell>
        </row>
        <row r="184">
          <cell r="C184" t="str">
            <v>C136</v>
          </cell>
          <cell r="D184" t="str">
            <v>MOHAMMED SHAKIR HUSSAIN K.Y</v>
          </cell>
          <cell r="E184" t="str">
            <v>DAHF</v>
          </cell>
          <cell r="F184" t="str">
            <v>SENIOR</v>
          </cell>
          <cell r="G184">
            <v>6</v>
          </cell>
          <cell r="H184">
            <v>72</v>
          </cell>
          <cell r="I184">
            <v>0</v>
          </cell>
          <cell r="J184">
            <v>72</v>
          </cell>
          <cell r="K184">
            <v>72</v>
          </cell>
          <cell r="L184">
            <v>3</v>
          </cell>
          <cell r="M184">
            <v>3</v>
          </cell>
        </row>
        <row r="185">
          <cell r="C185" t="str">
            <v>C137</v>
          </cell>
          <cell r="D185" t="str">
            <v>MUHAMMED SHUHAIB S</v>
          </cell>
          <cell r="E185" t="str">
            <v>FANT</v>
          </cell>
          <cell r="F185" t="str">
            <v>SENIOR</v>
          </cell>
          <cell r="G185">
            <v>6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255</v>
          </cell>
          <cell r="M185">
            <v>255</v>
          </cell>
        </row>
        <row r="186">
          <cell r="C186" t="str">
            <v>C138</v>
          </cell>
          <cell r="D186" t="str">
            <v>MOHAMMED MOINUDDEEN CHISTY</v>
          </cell>
          <cell r="E186" t="str">
            <v>FANT</v>
          </cell>
          <cell r="F186" t="str">
            <v>SENIOR</v>
          </cell>
          <cell r="G186">
            <v>6</v>
          </cell>
          <cell r="H186">
            <v>8</v>
          </cell>
          <cell r="I186">
            <v>0</v>
          </cell>
          <cell r="J186">
            <v>8</v>
          </cell>
          <cell r="K186">
            <v>8</v>
          </cell>
          <cell r="L186">
            <v>147</v>
          </cell>
          <cell r="M186">
            <v>147</v>
          </cell>
        </row>
        <row r="187">
          <cell r="C187" t="str">
            <v>C139</v>
          </cell>
          <cell r="D187" t="str">
            <v>SULAIMAN FAHAD AP</v>
          </cell>
          <cell r="E187" t="str">
            <v>BADF</v>
          </cell>
          <cell r="F187" t="str">
            <v>SENIOR</v>
          </cell>
          <cell r="G187">
            <v>6</v>
          </cell>
          <cell r="H187">
            <v>1</v>
          </cell>
          <cell r="I187">
            <v>0</v>
          </cell>
          <cell r="J187">
            <v>1</v>
          </cell>
          <cell r="K187">
            <v>1</v>
          </cell>
          <cell r="L187">
            <v>231</v>
          </cell>
          <cell r="M187">
            <v>231</v>
          </cell>
        </row>
        <row r="188">
          <cell r="C188" t="str">
            <v>C140</v>
          </cell>
          <cell r="D188" t="str">
            <v>IJAS EBRAHIM</v>
          </cell>
          <cell r="E188" t="str">
            <v>JARF</v>
          </cell>
          <cell r="F188" t="str">
            <v>SENIOR</v>
          </cell>
          <cell r="G188">
            <v>6</v>
          </cell>
          <cell r="H188">
            <v>7</v>
          </cell>
          <cell r="I188">
            <v>0</v>
          </cell>
          <cell r="J188">
            <v>7</v>
          </cell>
          <cell r="K188">
            <v>7</v>
          </cell>
          <cell r="L188">
            <v>167</v>
          </cell>
          <cell r="M188">
            <v>167</v>
          </cell>
        </row>
        <row r="189">
          <cell r="C189" t="str">
            <v>C141</v>
          </cell>
          <cell r="D189" t="str">
            <v>AHMAD MINHAJ</v>
          </cell>
          <cell r="E189" t="str">
            <v>BADF</v>
          </cell>
          <cell r="F189" t="str">
            <v>SENIOR</v>
          </cell>
          <cell r="G189">
            <v>6</v>
          </cell>
          <cell r="H189">
            <v>8</v>
          </cell>
          <cell r="I189">
            <v>0</v>
          </cell>
          <cell r="J189">
            <v>8</v>
          </cell>
          <cell r="K189">
            <v>8</v>
          </cell>
          <cell r="L189">
            <v>147</v>
          </cell>
          <cell r="M189">
            <v>147</v>
          </cell>
        </row>
        <row r="190">
          <cell r="C190" t="str">
            <v>C142</v>
          </cell>
          <cell r="D190" t="str">
            <v>AHMAD AMEEN T S</v>
          </cell>
          <cell r="E190" t="str">
            <v>FANT</v>
          </cell>
          <cell r="F190" t="str">
            <v>SENIOR</v>
          </cell>
          <cell r="G190">
            <v>6</v>
          </cell>
          <cell r="H190">
            <v>4</v>
          </cell>
          <cell r="I190">
            <v>0</v>
          </cell>
          <cell r="J190">
            <v>4</v>
          </cell>
          <cell r="K190">
            <v>4</v>
          </cell>
          <cell r="L190">
            <v>197</v>
          </cell>
          <cell r="M190">
            <v>197</v>
          </cell>
        </row>
        <row r="191">
          <cell r="C191" t="str">
            <v>C143</v>
          </cell>
          <cell r="D191" t="str">
            <v>MUHAMMED SINAN M</v>
          </cell>
          <cell r="E191" t="str">
            <v>JARF</v>
          </cell>
          <cell r="F191" t="str">
            <v>SENIOR</v>
          </cell>
          <cell r="G191">
            <v>6</v>
          </cell>
          <cell r="H191">
            <v>10</v>
          </cell>
          <cell r="I191">
            <v>0</v>
          </cell>
          <cell r="J191">
            <v>10</v>
          </cell>
          <cell r="K191">
            <v>10</v>
          </cell>
          <cell r="L191">
            <v>131</v>
          </cell>
          <cell r="M191">
            <v>131</v>
          </cell>
        </row>
        <row r="192">
          <cell r="C192" t="str">
            <v>C144</v>
          </cell>
          <cell r="D192" t="str">
            <v>MUHAMMED ASHKKAR ALI</v>
          </cell>
          <cell r="E192" t="str">
            <v>DAHF</v>
          </cell>
          <cell r="F192" t="str">
            <v>SENIOR</v>
          </cell>
          <cell r="G192">
            <v>6</v>
          </cell>
          <cell r="H192">
            <v>2</v>
          </cell>
          <cell r="I192">
            <v>0</v>
          </cell>
          <cell r="J192">
            <v>2</v>
          </cell>
          <cell r="K192">
            <v>2</v>
          </cell>
          <cell r="L192">
            <v>224</v>
          </cell>
          <cell r="M192">
            <v>224</v>
          </cell>
        </row>
        <row r="193">
          <cell r="C193" t="str">
            <v>C145</v>
          </cell>
          <cell r="D193" t="str">
            <v>SHAMEEL AHAMMED P</v>
          </cell>
          <cell r="E193" t="str">
            <v>BADF</v>
          </cell>
          <cell r="F193" t="str">
            <v>SENIOR</v>
          </cell>
          <cell r="G193">
            <v>6</v>
          </cell>
          <cell r="H193">
            <v>38</v>
          </cell>
          <cell r="I193">
            <v>0</v>
          </cell>
          <cell r="J193">
            <v>38</v>
          </cell>
          <cell r="K193">
            <v>38</v>
          </cell>
          <cell r="L193">
            <v>26</v>
          </cell>
          <cell r="M193">
            <v>26</v>
          </cell>
        </row>
        <row r="194">
          <cell r="C194" t="str">
            <v>C146</v>
          </cell>
          <cell r="D194" t="str">
            <v>IMRAN HUSSAIN TI</v>
          </cell>
          <cell r="E194" t="str">
            <v>JARF</v>
          </cell>
          <cell r="F194" t="str">
            <v>SENIOR</v>
          </cell>
          <cell r="G194">
            <v>6</v>
          </cell>
          <cell r="H194">
            <v>2</v>
          </cell>
          <cell r="I194">
            <v>0</v>
          </cell>
          <cell r="J194">
            <v>2</v>
          </cell>
          <cell r="K194">
            <v>2</v>
          </cell>
          <cell r="L194">
            <v>224</v>
          </cell>
          <cell r="M194">
            <v>224</v>
          </cell>
        </row>
        <row r="195">
          <cell r="C195" t="str">
            <v>C147</v>
          </cell>
          <cell r="D195" t="str">
            <v>AHAMED ZAKI FOUZAN T.Z</v>
          </cell>
          <cell r="E195" t="str">
            <v>JARF</v>
          </cell>
          <cell r="F195" t="str">
            <v>SENIOR</v>
          </cell>
          <cell r="G195">
            <v>6</v>
          </cell>
          <cell r="H195">
            <v>11</v>
          </cell>
          <cell r="I195">
            <v>0</v>
          </cell>
          <cell r="J195">
            <v>11</v>
          </cell>
          <cell r="K195">
            <v>11</v>
          </cell>
          <cell r="L195">
            <v>123</v>
          </cell>
          <cell r="M195">
            <v>123</v>
          </cell>
        </row>
        <row r="196">
          <cell r="C196" t="str">
            <v>C148</v>
          </cell>
          <cell r="D196" t="str">
            <v>MUHAMMED SHABEEB</v>
          </cell>
          <cell r="E196" t="str">
            <v>BADF</v>
          </cell>
          <cell r="F196" t="str">
            <v>SENIOR</v>
          </cell>
          <cell r="G196">
            <v>6</v>
          </cell>
          <cell r="H196">
            <v>20</v>
          </cell>
          <cell r="I196">
            <v>0</v>
          </cell>
          <cell r="J196">
            <v>20</v>
          </cell>
          <cell r="K196">
            <v>20</v>
          </cell>
          <cell r="L196">
            <v>74</v>
          </cell>
          <cell r="M196">
            <v>74</v>
          </cell>
        </row>
        <row r="197">
          <cell r="C197" t="str">
            <v>C149</v>
          </cell>
          <cell r="D197" t="str">
            <v>ABDUL BAAIS N.A</v>
          </cell>
          <cell r="E197" t="str">
            <v>FANT</v>
          </cell>
          <cell r="F197" t="str">
            <v>SENIOR</v>
          </cell>
          <cell r="G197">
            <v>6</v>
          </cell>
          <cell r="H197">
            <v>6</v>
          </cell>
          <cell r="I197">
            <v>0</v>
          </cell>
          <cell r="J197">
            <v>6</v>
          </cell>
          <cell r="K197">
            <v>6</v>
          </cell>
          <cell r="L197">
            <v>171</v>
          </cell>
          <cell r="M197">
            <v>171</v>
          </cell>
        </row>
        <row r="198">
          <cell r="C198" t="str">
            <v>C150</v>
          </cell>
          <cell r="D198" t="str">
            <v>MUHAMMED PK</v>
          </cell>
          <cell r="E198" t="str">
            <v>DAHF</v>
          </cell>
          <cell r="F198" t="str">
            <v>SENIOR</v>
          </cell>
          <cell r="G198">
            <v>6</v>
          </cell>
          <cell r="H198">
            <v>14</v>
          </cell>
          <cell r="I198">
            <v>0</v>
          </cell>
          <cell r="J198">
            <v>14</v>
          </cell>
          <cell r="K198">
            <v>14</v>
          </cell>
          <cell r="L198">
            <v>104</v>
          </cell>
          <cell r="M198">
            <v>104</v>
          </cell>
        </row>
        <row r="199">
          <cell r="C199" t="str">
            <v>C151</v>
          </cell>
          <cell r="D199" t="str">
            <v>MOHAMMED ASHMIL K A</v>
          </cell>
          <cell r="E199" t="str">
            <v>JARF</v>
          </cell>
          <cell r="F199" t="str">
            <v>SENIOR</v>
          </cell>
          <cell r="G199">
            <v>6</v>
          </cell>
          <cell r="H199">
            <v>6</v>
          </cell>
          <cell r="I199">
            <v>0</v>
          </cell>
          <cell r="J199">
            <v>6</v>
          </cell>
          <cell r="K199">
            <v>6</v>
          </cell>
          <cell r="L199">
            <v>171</v>
          </cell>
          <cell r="M199">
            <v>171</v>
          </cell>
        </row>
        <row r="200">
          <cell r="C200" t="str">
            <v>C152</v>
          </cell>
          <cell r="D200" t="str">
            <v>MUHAMMED SABITH ALI TM</v>
          </cell>
          <cell r="E200" t="str">
            <v>JARF</v>
          </cell>
          <cell r="F200" t="str">
            <v>SENIOR</v>
          </cell>
          <cell r="G200">
            <v>6</v>
          </cell>
          <cell r="H200">
            <v>6</v>
          </cell>
          <cell r="I200">
            <v>0</v>
          </cell>
          <cell r="J200">
            <v>6</v>
          </cell>
          <cell r="K200">
            <v>6</v>
          </cell>
          <cell r="L200">
            <v>171</v>
          </cell>
          <cell r="M200">
            <v>171</v>
          </cell>
        </row>
        <row r="201">
          <cell r="C201" t="str">
            <v>C153</v>
          </cell>
          <cell r="D201" t="str">
            <v>MUHAMMED AHMASH K</v>
          </cell>
          <cell r="E201" t="str">
            <v>DAHF</v>
          </cell>
          <cell r="F201" t="str">
            <v>SENIOR</v>
          </cell>
          <cell r="G201">
            <v>6</v>
          </cell>
          <cell r="H201">
            <v>4</v>
          </cell>
          <cell r="I201">
            <v>0</v>
          </cell>
          <cell r="J201">
            <v>4</v>
          </cell>
          <cell r="K201">
            <v>4</v>
          </cell>
          <cell r="L201">
            <v>197</v>
          </cell>
          <cell r="M201">
            <v>197</v>
          </cell>
        </row>
        <row r="202">
          <cell r="C202" t="str">
            <v>C154</v>
          </cell>
          <cell r="D202" t="str">
            <v>MOHAMMED RAZEEN S.P</v>
          </cell>
          <cell r="E202" t="str">
            <v>DAHF</v>
          </cell>
          <cell r="F202" t="str">
            <v>SENIOR</v>
          </cell>
          <cell r="G202">
            <v>6</v>
          </cell>
          <cell r="H202">
            <v>26.5</v>
          </cell>
          <cell r="I202">
            <v>0</v>
          </cell>
          <cell r="J202">
            <v>26.5</v>
          </cell>
          <cell r="K202">
            <v>26.5</v>
          </cell>
          <cell r="L202">
            <v>56</v>
          </cell>
          <cell r="M202">
            <v>56</v>
          </cell>
        </row>
        <row r="203">
          <cell r="C203" t="str">
            <v>C155</v>
          </cell>
          <cell r="D203" t="str">
            <v>HASSAN ZARKASH</v>
          </cell>
          <cell r="E203" t="str">
            <v>FANT</v>
          </cell>
          <cell r="F203" t="str">
            <v>SENIOR</v>
          </cell>
          <cell r="G203">
            <v>6</v>
          </cell>
          <cell r="H203">
            <v>33</v>
          </cell>
          <cell r="I203">
            <v>0</v>
          </cell>
          <cell r="J203">
            <v>33</v>
          </cell>
          <cell r="K203">
            <v>33</v>
          </cell>
          <cell r="L203">
            <v>37</v>
          </cell>
          <cell r="M203">
            <v>37</v>
          </cell>
        </row>
        <row r="204">
          <cell r="C204" t="str">
            <v>C156</v>
          </cell>
          <cell r="D204" t="str">
            <v>ABDULLA RAMSHAD</v>
          </cell>
          <cell r="E204" t="str">
            <v>FANT</v>
          </cell>
          <cell r="F204" t="str">
            <v>SENIOR</v>
          </cell>
          <cell r="G204">
            <v>6</v>
          </cell>
          <cell r="H204">
            <v>14</v>
          </cell>
          <cell r="I204">
            <v>0</v>
          </cell>
          <cell r="J204">
            <v>14</v>
          </cell>
          <cell r="K204">
            <v>14</v>
          </cell>
          <cell r="L204">
            <v>104</v>
          </cell>
          <cell r="M204">
            <v>104</v>
          </cell>
        </row>
        <row r="205">
          <cell r="C205" t="str">
            <v>C157</v>
          </cell>
          <cell r="D205" t="str">
            <v>HASAN YASIR</v>
          </cell>
          <cell r="E205" t="str">
            <v>BADF</v>
          </cell>
          <cell r="F205" t="str">
            <v>SENIOR</v>
          </cell>
          <cell r="G205">
            <v>6</v>
          </cell>
          <cell r="H205">
            <v>1</v>
          </cell>
          <cell r="I205">
            <v>0</v>
          </cell>
          <cell r="J205">
            <v>1</v>
          </cell>
          <cell r="K205">
            <v>1</v>
          </cell>
          <cell r="L205">
            <v>231</v>
          </cell>
          <cell r="M205">
            <v>231</v>
          </cell>
        </row>
        <row r="206">
          <cell r="C206" t="str">
            <v>C158</v>
          </cell>
          <cell r="D206" t="str">
            <v>ABDUL FATHAH AHAMMED C</v>
          </cell>
          <cell r="E206" t="str">
            <v>DAHF</v>
          </cell>
          <cell r="F206" t="str">
            <v>SENIOR</v>
          </cell>
          <cell r="G206">
            <v>6</v>
          </cell>
          <cell r="H206">
            <v>6</v>
          </cell>
          <cell r="I206">
            <v>0</v>
          </cell>
          <cell r="J206">
            <v>6</v>
          </cell>
          <cell r="K206">
            <v>6</v>
          </cell>
          <cell r="L206">
            <v>171</v>
          </cell>
          <cell r="M206">
            <v>171</v>
          </cell>
        </row>
        <row r="207">
          <cell r="C207" t="str">
            <v>C159</v>
          </cell>
          <cell r="D207" t="str">
            <v>MUHAMMED KAIF BS</v>
          </cell>
          <cell r="E207" t="str">
            <v>BADF</v>
          </cell>
          <cell r="F207" t="str">
            <v>SENIOR</v>
          </cell>
          <cell r="G207">
            <v>6</v>
          </cell>
          <cell r="H207">
            <v>12</v>
          </cell>
          <cell r="I207">
            <v>0</v>
          </cell>
          <cell r="J207">
            <v>12</v>
          </cell>
          <cell r="K207">
            <v>12</v>
          </cell>
          <cell r="L207">
            <v>119</v>
          </cell>
          <cell r="M207">
            <v>119</v>
          </cell>
        </row>
        <row r="208">
          <cell r="C208" t="str">
            <v>C160</v>
          </cell>
          <cell r="D208" t="str">
            <v>AJMAL AM</v>
          </cell>
          <cell r="E208" t="str">
            <v>BADF</v>
          </cell>
          <cell r="F208" t="str">
            <v>SENIOR</v>
          </cell>
          <cell r="G208">
            <v>7</v>
          </cell>
          <cell r="H208">
            <v>3</v>
          </cell>
          <cell r="I208">
            <v>0</v>
          </cell>
          <cell r="J208">
            <v>3</v>
          </cell>
          <cell r="K208">
            <v>3</v>
          </cell>
          <cell r="L208">
            <v>209</v>
          </cell>
          <cell r="M208">
            <v>209</v>
          </cell>
        </row>
        <row r="209">
          <cell r="C209" t="str">
            <v>C161</v>
          </cell>
          <cell r="D209" t="str">
            <v>MOHAMMED ABDUL KHADER NABAVI E A</v>
          </cell>
          <cell r="E209" t="str">
            <v>DAHF</v>
          </cell>
          <cell r="F209" t="str">
            <v>SENIOR</v>
          </cell>
          <cell r="G209">
            <v>7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255</v>
          </cell>
          <cell r="M209">
            <v>255</v>
          </cell>
        </row>
        <row r="210">
          <cell r="C210" t="str">
            <v>C162</v>
          </cell>
          <cell r="D210" t="str">
            <v>MUHAMMAD K.A</v>
          </cell>
          <cell r="E210" t="str">
            <v>FANT</v>
          </cell>
          <cell r="F210" t="str">
            <v>SENIOR</v>
          </cell>
          <cell r="G210">
            <v>7</v>
          </cell>
          <cell r="H210">
            <v>11</v>
          </cell>
          <cell r="I210">
            <v>0</v>
          </cell>
          <cell r="J210">
            <v>11</v>
          </cell>
          <cell r="K210">
            <v>11</v>
          </cell>
          <cell r="L210">
            <v>123</v>
          </cell>
          <cell r="M210">
            <v>123</v>
          </cell>
        </row>
        <row r="211">
          <cell r="C211" t="str">
            <v>C163</v>
          </cell>
          <cell r="D211" t="str">
            <v>MOHAMMED SAHEED A.K</v>
          </cell>
          <cell r="E211" t="str">
            <v>JARF</v>
          </cell>
          <cell r="F211" t="str">
            <v>SENIOR</v>
          </cell>
          <cell r="G211">
            <v>7</v>
          </cell>
          <cell r="H211">
            <v>12</v>
          </cell>
          <cell r="I211">
            <v>0</v>
          </cell>
          <cell r="J211">
            <v>12</v>
          </cell>
          <cell r="K211">
            <v>12</v>
          </cell>
          <cell r="L211">
            <v>119</v>
          </cell>
          <cell r="M211">
            <v>119</v>
          </cell>
        </row>
        <row r="212">
          <cell r="C212" t="str">
            <v>C164</v>
          </cell>
          <cell r="D212" t="str">
            <v>AHMED FAHEEM MA</v>
          </cell>
          <cell r="E212" t="str">
            <v>FANT</v>
          </cell>
          <cell r="F212" t="str">
            <v>SENIOR</v>
          </cell>
          <cell r="G212">
            <v>7</v>
          </cell>
          <cell r="H212">
            <v>9</v>
          </cell>
          <cell r="I212">
            <v>0</v>
          </cell>
          <cell r="J212">
            <v>9</v>
          </cell>
          <cell r="K212">
            <v>9</v>
          </cell>
          <cell r="L212">
            <v>139</v>
          </cell>
          <cell r="M212">
            <v>139</v>
          </cell>
        </row>
        <row r="213">
          <cell r="C213" t="str">
            <v>C165</v>
          </cell>
          <cell r="D213" t="str">
            <v>MUHAMMAD IBN AHMAD</v>
          </cell>
          <cell r="E213" t="str">
            <v>JARF</v>
          </cell>
          <cell r="F213" t="str">
            <v>SENIOR</v>
          </cell>
          <cell r="G213">
            <v>7</v>
          </cell>
          <cell r="H213">
            <v>52</v>
          </cell>
          <cell r="I213">
            <v>0</v>
          </cell>
          <cell r="J213">
            <v>52</v>
          </cell>
          <cell r="K213">
            <v>52</v>
          </cell>
          <cell r="L213">
            <v>11</v>
          </cell>
          <cell r="M213">
            <v>11</v>
          </cell>
        </row>
        <row r="214">
          <cell r="C214" t="str">
            <v>C166</v>
          </cell>
          <cell r="D214" t="str">
            <v>RESWAN</v>
          </cell>
          <cell r="E214" t="str">
            <v>DAHF</v>
          </cell>
          <cell r="F214" t="str">
            <v>SENIOR</v>
          </cell>
          <cell r="G214">
            <v>7</v>
          </cell>
          <cell r="H214">
            <v>14</v>
          </cell>
          <cell r="I214">
            <v>0</v>
          </cell>
          <cell r="J214">
            <v>14</v>
          </cell>
          <cell r="K214">
            <v>14</v>
          </cell>
          <cell r="L214">
            <v>104</v>
          </cell>
          <cell r="M214">
            <v>104</v>
          </cell>
        </row>
        <row r="215">
          <cell r="C215" t="str">
            <v>C167</v>
          </cell>
          <cell r="D215" t="str">
            <v>MUHAMMED MUJTHABA MK</v>
          </cell>
          <cell r="E215" t="str">
            <v>JARF</v>
          </cell>
          <cell r="F215" t="str">
            <v>SENIOR</v>
          </cell>
          <cell r="G215">
            <v>7</v>
          </cell>
          <cell r="H215">
            <v>18</v>
          </cell>
          <cell r="I215">
            <v>0</v>
          </cell>
          <cell r="J215">
            <v>18</v>
          </cell>
          <cell r="K215">
            <v>18</v>
          </cell>
          <cell r="L215">
            <v>81</v>
          </cell>
          <cell r="M215">
            <v>81</v>
          </cell>
        </row>
        <row r="216">
          <cell r="C216" t="str">
            <v>C168</v>
          </cell>
          <cell r="D216" t="str">
            <v>MUHAMMED SHAHAN P.S</v>
          </cell>
          <cell r="E216" t="str">
            <v>FANT</v>
          </cell>
          <cell r="F216" t="str">
            <v>SENIOR</v>
          </cell>
          <cell r="G216">
            <v>7</v>
          </cell>
          <cell r="H216">
            <v>41</v>
          </cell>
          <cell r="I216">
            <v>0</v>
          </cell>
          <cell r="J216">
            <v>41</v>
          </cell>
          <cell r="K216">
            <v>41</v>
          </cell>
          <cell r="L216">
            <v>21</v>
          </cell>
          <cell r="M216">
            <v>21</v>
          </cell>
        </row>
        <row r="217">
          <cell r="C217" t="str">
            <v>C169</v>
          </cell>
          <cell r="D217" t="str">
            <v>MOHAMMED THAJUDDEEN A R P</v>
          </cell>
          <cell r="E217" t="str">
            <v>BADF</v>
          </cell>
          <cell r="F217" t="str">
            <v>SENIOR</v>
          </cell>
          <cell r="G217">
            <v>7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255</v>
          </cell>
          <cell r="M217">
            <v>255</v>
          </cell>
        </row>
        <row r="218">
          <cell r="C218" t="str">
            <v>C170</v>
          </cell>
          <cell r="D218" t="str">
            <v>RUMAIZALI R IBRAHIM</v>
          </cell>
          <cell r="E218" t="str">
            <v>BADF</v>
          </cell>
          <cell r="F218" t="str">
            <v>SENIOR</v>
          </cell>
          <cell r="G218">
            <v>7</v>
          </cell>
          <cell r="H218">
            <v>52</v>
          </cell>
          <cell r="I218">
            <v>0</v>
          </cell>
          <cell r="J218">
            <v>52</v>
          </cell>
          <cell r="K218">
            <v>52</v>
          </cell>
          <cell r="L218">
            <v>11</v>
          </cell>
          <cell r="M218">
            <v>11</v>
          </cell>
        </row>
        <row r="219">
          <cell r="C219" t="str">
            <v>C171</v>
          </cell>
          <cell r="D219" t="str">
            <v>MUHAMMED THASLEEM</v>
          </cell>
          <cell r="E219" t="str">
            <v>BADF</v>
          </cell>
          <cell r="F219" t="str">
            <v>SENIOR</v>
          </cell>
          <cell r="G219">
            <v>7</v>
          </cell>
          <cell r="H219">
            <v>23</v>
          </cell>
          <cell r="I219">
            <v>0</v>
          </cell>
          <cell r="J219">
            <v>23</v>
          </cell>
          <cell r="K219">
            <v>23</v>
          </cell>
          <cell r="L219">
            <v>68</v>
          </cell>
          <cell r="M219">
            <v>68</v>
          </cell>
        </row>
        <row r="220">
          <cell r="C220" t="str">
            <v>C172</v>
          </cell>
          <cell r="D220" t="str">
            <v>AHAMED SHAMMAS C.M</v>
          </cell>
          <cell r="E220" t="str">
            <v>DAHF</v>
          </cell>
          <cell r="F220" t="str">
            <v>SENIOR</v>
          </cell>
          <cell r="G220">
            <v>7</v>
          </cell>
          <cell r="H220">
            <v>11</v>
          </cell>
          <cell r="I220">
            <v>0</v>
          </cell>
          <cell r="J220">
            <v>11</v>
          </cell>
          <cell r="K220">
            <v>11</v>
          </cell>
          <cell r="L220">
            <v>123</v>
          </cell>
          <cell r="M220">
            <v>123</v>
          </cell>
        </row>
        <row r="221">
          <cell r="C221" t="str">
            <v>C173</v>
          </cell>
          <cell r="D221" t="str">
            <v>ABDUL HADIL P.M</v>
          </cell>
          <cell r="E221" t="str">
            <v>FANT</v>
          </cell>
          <cell r="F221" t="str">
            <v>SENIOR</v>
          </cell>
          <cell r="G221">
            <v>7</v>
          </cell>
          <cell r="H221">
            <v>32</v>
          </cell>
          <cell r="I221">
            <v>0</v>
          </cell>
          <cell r="J221">
            <v>32</v>
          </cell>
          <cell r="K221">
            <v>32</v>
          </cell>
          <cell r="L221">
            <v>40</v>
          </cell>
          <cell r="M221">
            <v>40</v>
          </cell>
        </row>
        <row r="222">
          <cell r="C222" t="str">
            <v>C174</v>
          </cell>
          <cell r="D222" t="str">
            <v>MUHAMMAD MUSTHAFA K.M</v>
          </cell>
          <cell r="E222" t="str">
            <v>BADF</v>
          </cell>
          <cell r="F222" t="str">
            <v>SENIOR</v>
          </cell>
          <cell r="G222">
            <v>7</v>
          </cell>
          <cell r="H222">
            <v>34</v>
          </cell>
          <cell r="I222">
            <v>0</v>
          </cell>
          <cell r="J222">
            <v>34</v>
          </cell>
          <cell r="K222">
            <v>34</v>
          </cell>
          <cell r="L222">
            <v>34</v>
          </cell>
          <cell r="M222">
            <v>34</v>
          </cell>
        </row>
        <row r="223">
          <cell r="C223" t="str">
            <v>C175</v>
          </cell>
          <cell r="D223" t="str">
            <v>ABDULLAH MAZIN</v>
          </cell>
          <cell r="E223" t="str">
            <v>JARF</v>
          </cell>
          <cell r="F223" t="str">
            <v>SENIOR</v>
          </cell>
          <cell r="G223">
            <v>7</v>
          </cell>
          <cell r="H223">
            <v>8</v>
          </cell>
          <cell r="I223">
            <v>0</v>
          </cell>
          <cell r="J223">
            <v>8</v>
          </cell>
          <cell r="K223">
            <v>8</v>
          </cell>
          <cell r="L223">
            <v>147</v>
          </cell>
          <cell r="M223">
            <v>147</v>
          </cell>
        </row>
        <row r="224">
          <cell r="C224" t="str">
            <v>C176</v>
          </cell>
          <cell r="D224" t="str">
            <v>MUHAMMED T A</v>
          </cell>
          <cell r="E224" t="str">
            <v>FANT</v>
          </cell>
          <cell r="F224" t="str">
            <v>SENIOR</v>
          </cell>
          <cell r="G224">
            <v>7</v>
          </cell>
          <cell r="H224">
            <v>17</v>
          </cell>
          <cell r="I224">
            <v>0</v>
          </cell>
          <cell r="J224">
            <v>17</v>
          </cell>
          <cell r="K224">
            <v>17</v>
          </cell>
          <cell r="L224">
            <v>87</v>
          </cell>
          <cell r="M224">
            <v>87</v>
          </cell>
        </row>
        <row r="225">
          <cell r="C225" t="str">
            <v>C177</v>
          </cell>
          <cell r="D225" t="str">
            <v>MOHAMMED HUSSAIN</v>
          </cell>
          <cell r="E225" t="str">
            <v>DAHF</v>
          </cell>
          <cell r="F225" t="str">
            <v>SENIOR</v>
          </cell>
          <cell r="G225">
            <v>7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255</v>
          </cell>
          <cell r="M225">
            <v>255</v>
          </cell>
        </row>
        <row r="226">
          <cell r="C226" t="str">
            <v>C178</v>
          </cell>
          <cell r="D226" t="str">
            <v>MUHAMMED ZAYAN N.S</v>
          </cell>
          <cell r="E226" t="str">
            <v>JARF</v>
          </cell>
          <cell r="F226" t="str">
            <v>SENIOR</v>
          </cell>
          <cell r="G226">
            <v>7</v>
          </cell>
          <cell r="H226">
            <v>8</v>
          </cell>
          <cell r="I226">
            <v>0</v>
          </cell>
          <cell r="J226">
            <v>8</v>
          </cell>
          <cell r="K226">
            <v>8</v>
          </cell>
          <cell r="L226">
            <v>147</v>
          </cell>
          <cell r="M226">
            <v>147</v>
          </cell>
        </row>
        <row r="227">
          <cell r="C227" t="str">
            <v>C179</v>
          </cell>
          <cell r="D227" t="str">
            <v>MUHAMMED FARHAN</v>
          </cell>
          <cell r="E227" t="str">
            <v>DAHF</v>
          </cell>
          <cell r="F227" t="str">
            <v>SENIOR</v>
          </cell>
          <cell r="G227">
            <v>7</v>
          </cell>
          <cell r="H227">
            <v>16</v>
          </cell>
          <cell r="I227">
            <v>0</v>
          </cell>
          <cell r="J227">
            <v>16</v>
          </cell>
          <cell r="K227">
            <v>16</v>
          </cell>
          <cell r="L227">
            <v>94</v>
          </cell>
          <cell r="M227">
            <v>94</v>
          </cell>
        </row>
        <row r="228">
          <cell r="C228" t="str">
            <v>D100</v>
          </cell>
          <cell r="D228" t="str">
            <v>MOHAMMED RAZI</v>
          </cell>
          <cell r="E228" t="str">
            <v>JARF</v>
          </cell>
          <cell r="F228" t="str">
            <v>SUPER SENIOR</v>
          </cell>
          <cell r="G228">
            <v>8</v>
          </cell>
          <cell r="H228">
            <v>4</v>
          </cell>
          <cell r="I228">
            <v>0</v>
          </cell>
          <cell r="J228">
            <v>4</v>
          </cell>
          <cell r="K228">
            <v>4</v>
          </cell>
          <cell r="L228">
            <v>197</v>
          </cell>
          <cell r="M228">
            <v>197</v>
          </cell>
        </row>
        <row r="229">
          <cell r="C229" t="str">
            <v>D101</v>
          </cell>
          <cell r="D229" t="str">
            <v>MOHAMMED AFSAL</v>
          </cell>
          <cell r="E229" t="str">
            <v>JARF</v>
          </cell>
          <cell r="F229" t="str">
            <v>SUPER SENIOR</v>
          </cell>
          <cell r="G229">
            <v>8</v>
          </cell>
          <cell r="H229">
            <v>8</v>
          </cell>
          <cell r="I229">
            <v>0</v>
          </cell>
          <cell r="J229">
            <v>8</v>
          </cell>
          <cell r="K229">
            <v>8</v>
          </cell>
          <cell r="L229">
            <v>147</v>
          </cell>
          <cell r="M229">
            <v>147</v>
          </cell>
        </row>
        <row r="230">
          <cell r="C230" t="str">
            <v>D102</v>
          </cell>
          <cell r="D230" t="str">
            <v>JALALUDHEEN K</v>
          </cell>
          <cell r="E230" t="str">
            <v>DAHF</v>
          </cell>
          <cell r="F230" t="str">
            <v>SUPER SENIOR</v>
          </cell>
          <cell r="G230">
            <v>8</v>
          </cell>
          <cell r="H230">
            <v>4</v>
          </cell>
          <cell r="I230">
            <v>0</v>
          </cell>
          <cell r="J230">
            <v>4</v>
          </cell>
          <cell r="K230">
            <v>4</v>
          </cell>
          <cell r="L230">
            <v>197</v>
          </cell>
          <cell r="M230">
            <v>197</v>
          </cell>
        </row>
        <row r="231">
          <cell r="C231" t="str">
            <v>D103</v>
          </cell>
          <cell r="D231" t="str">
            <v>MUHAMMAD RAZI</v>
          </cell>
          <cell r="E231" t="str">
            <v>DAHF</v>
          </cell>
          <cell r="F231" t="str">
            <v>SUPER SENIOR</v>
          </cell>
          <cell r="G231">
            <v>8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255</v>
          </cell>
          <cell r="M231">
            <v>255</v>
          </cell>
        </row>
        <row r="232">
          <cell r="C232" t="str">
            <v>D104</v>
          </cell>
          <cell r="D232" t="str">
            <v>MUHAMMAD SHANEED.</v>
          </cell>
          <cell r="E232" t="str">
            <v>JARF</v>
          </cell>
          <cell r="F232" t="str">
            <v>SUPER SENIOR</v>
          </cell>
          <cell r="G232">
            <v>8</v>
          </cell>
          <cell r="H232">
            <v>3</v>
          </cell>
          <cell r="I232">
            <v>0</v>
          </cell>
          <cell r="J232">
            <v>3</v>
          </cell>
          <cell r="K232">
            <v>3</v>
          </cell>
          <cell r="L232">
            <v>209</v>
          </cell>
          <cell r="M232">
            <v>209</v>
          </cell>
        </row>
        <row r="233">
          <cell r="C233" t="str">
            <v>D105</v>
          </cell>
          <cell r="D233" t="str">
            <v>ABDUL WADHOOD</v>
          </cell>
          <cell r="E233" t="str">
            <v>FANT</v>
          </cell>
          <cell r="F233" t="str">
            <v>SUPER SENIOR</v>
          </cell>
          <cell r="G233">
            <v>8</v>
          </cell>
          <cell r="H233">
            <v>8</v>
          </cell>
          <cell r="I233">
            <v>0</v>
          </cell>
          <cell r="J233">
            <v>8</v>
          </cell>
          <cell r="K233">
            <v>8</v>
          </cell>
          <cell r="L233">
            <v>147</v>
          </cell>
          <cell r="M233">
            <v>147</v>
          </cell>
        </row>
        <row r="234">
          <cell r="C234" t="str">
            <v>D106</v>
          </cell>
          <cell r="D234" t="str">
            <v>MOHAMMED SHAMMAS S.I</v>
          </cell>
          <cell r="E234" t="str">
            <v>DAHF</v>
          </cell>
          <cell r="F234" t="str">
            <v>SUPER SENIOR</v>
          </cell>
          <cell r="G234">
            <v>8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255</v>
          </cell>
          <cell r="M234">
            <v>255</v>
          </cell>
        </row>
        <row r="235">
          <cell r="C235" t="str">
            <v>D107</v>
          </cell>
          <cell r="D235" t="str">
            <v>AHMMED HASHIM M</v>
          </cell>
          <cell r="E235" t="str">
            <v>DAHF</v>
          </cell>
          <cell r="F235" t="str">
            <v>SUPER SENIOR</v>
          </cell>
          <cell r="G235">
            <v>8</v>
          </cell>
          <cell r="H235">
            <v>1</v>
          </cell>
          <cell r="I235">
            <v>0</v>
          </cell>
          <cell r="J235">
            <v>1</v>
          </cell>
          <cell r="K235">
            <v>1</v>
          </cell>
          <cell r="L235">
            <v>231</v>
          </cell>
          <cell r="M235">
            <v>231</v>
          </cell>
        </row>
        <row r="236">
          <cell r="C236" t="str">
            <v>D108</v>
          </cell>
          <cell r="D236" t="str">
            <v>MOHAMMED HASHIR</v>
          </cell>
          <cell r="E236" t="str">
            <v>DAHF</v>
          </cell>
          <cell r="F236" t="str">
            <v>SUPER SENIOR</v>
          </cell>
          <cell r="G236">
            <v>8</v>
          </cell>
          <cell r="H236">
            <v>46</v>
          </cell>
          <cell r="I236">
            <v>0</v>
          </cell>
          <cell r="J236">
            <v>46</v>
          </cell>
          <cell r="K236">
            <v>46</v>
          </cell>
          <cell r="L236">
            <v>17</v>
          </cell>
          <cell r="M236">
            <v>17</v>
          </cell>
        </row>
        <row r="237">
          <cell r="C237" t="str">
            <v>D109</v>
          </cell>
          <cell r="D237" t="str">
            <v>AHAMMED AJEER</v>
          </cell>
          <cell r="E237" t="str">
            <v>BADF</v>
          </cell>
          <cell r="F237" t="str">
            <v>SUPER SENIOR</v>
          </cell>
          <cell r="G237">
            <v>8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255</v>
          </cell>
          <cell r="M237">
            <v>255</v>
          </cell>
        </row>
        <row r="238">
          <cell r="C238" t="str">
            <v>D110</v>
          </cell>
          <cell r="D238" t="str">
            <v>ABBAS AZNAB M.A</v>
          </cell>
          <cell r="E238" t="str">
            <v>BADF</v>
          </cell>
          <cell r="F238" t="str">
            <v>SUPER SENIOR</v>
          </cell>
          <cell r="G238">
            <v>8</v>
          </cell>
          <cell r="H238">
            <v>8</v>
          </cell>
          <cell r="I238">
            <v>0</v>
          </cell>
          <cell r="J238">
            <v>8</v>
          </cell>
          <cell r="K238">
            <v>8</v>
          </cell>
          <cell r="L238">
            <v>147</v>
          </cell>
          <cell r="M238">
            <v>147</v>
          </cell>
        </row>
        <row r="239">
          <cell r="C239" t="str">
            <v>D111</v>
          </cell>
          <cell r="D239" t="str">
            <v>MAHAMMED SHAMEEL</v>
          </cell>
          <cell r="E239" t="str">
            <v>JARF</v>
          </cell>
          <cell r="F239" t="str">
            <v>SUPER SENIOR</v>
          </cell>
          <cell r="G239">
            <v>8</v>
          </cell>
          <cell r="H239">
            <v>70.5</v>
          </cell>
          <cell r="I239">
            <v>0</v>
          </cell>
          <cell r="J239">
            <v>70.5</v>
          </cell>
          <cell r="K239">
            <v>70.5</v>
          </cell>
          <cell r="L239">
            <v>4</v>
          </cell>
          <cell r="M239">
            <v>4</v>
          </cell>
        </row>
        <row r="240">
          <cell r="C240" t="str">
            <v>D112</v>
          </cell>
          <cell r="D240" t="str">
            <v>AMEEN ABDULLA</v>
          </cell>
          <cell r="E240" t="str">
            <v>FANT</v>
          </cell>
          <cell r="F240" t="str">
            <v>SUPER SENIOR</v>
          </cell>
          <cell r="G240">
            <v>8</v>
          </cell>
          <cell r="H240">
            <v>16</v>
          </cell>
          <cell r="I240">
            <v>0</v>
          </cell>
          <cell r="J240">
            <v>16</v>
          </cell>
          <cell r="K240">
            <v>16</v>
          </cell>
          <cell r="L240">
            <v>94</v>
          </cell>
          <cell r="M240">
            <v>94</v>
          </cell>
        </row>
        <row r="241">
          <cell r="C241" t="str">
            <v>D113</v>
          </cell>
          <cell r="D241" t="str">
            <v>ZULFIKARALI</v>
          </cell>
          <cell r="E241" t="str">
            <v>JARF</v>
          </cell>
          <cell r="F241" t="str">
            <v>SUPER SENIOR</v>
          </cell>
          <cell r="G241">
            <v>8</v>
          </cell>
          <cell r="H241">
            <v>4</v>
          </cell>
          <cell r="I241">
            <v>0</v>
          </cell>
          <cell r="J241">
            <v>4</v>
          </cell>
          <cell r="K241">
            <v>4</v>
          </cell>
          <cell r="L241">
            <v>197</v>
          </cell>
          <cell r="M241">
            <v>197</v>
          </cell>
        </row>
        <row r="242">
          <cell r="C242" t="str">
            <v>D114</v>
          </cell>
          <cell r="D242" t="str">
            <v>MUHAMMED ANAS M.N</v>
          </cell>
          <cell r="E242" t="str">
            <v>FANT</v>
          </cell>
          <cell r="F242" t="str">
            <v>SUPER SENIOR</v>
          </cell>
          <cell r="G242">
            <v>8</v>
          </cell>
          <cell r="H242">
            <v>1</v>
          </cell>
          <cell r="I242">
            <v>0</v>
          </cell>
          <cell r="J242">
            <v>1</v>
          </cell>
          <cell r="K242">
            <v>1</v>
          </cell>
          <cell r="L242">
            <v>231</v>
          </cell>
          <cell r="M242">
            <v>231</v>
          </cell>
        </row>
        <row r="243">
          <cell r="C243" t="str">
            <v>D115</v>
          </cell>
          <cell r="D243" t="str">
            <v>ABDULLA M HAKEEM</v>
          </cell>
          <cell r="E243" t="str">
            <v>DAHF</v>
          </cell>
          <cell r="F243" t="str">
            <v>SUPER SENIOR</v>
          </cell>
          <cell r="G243">
            <v>8</v>
          </cell>
          <cell r="H243">
            <v>4</v>
          </cell>
          <cell r="I243">
            <v>0</v>
          </cell>
          <cell r="J243">
            <v>4</v>
          </cell>
          <cell r="K243">
            <v>4</v>
          </cell>
          <cell r="L243">
            <v>197</v>
          </cell>
          <cell r="M243">
            <v>197</v>
          </cell>
        </row>
        <row r="244">
          <cell r="C244" t="str">
            <v>D116</v>
          </cell>
          <cell r="D244" t="str">
            <v>HASSAN SHADDAD UM</v>
          </cell>
          <cell r="E244" t="str">
            <v>JARF</v>
          </cell>
          <cell r="F244" t="str">
            <v>SUPER SENIOR</v>
          </cell>
          <cell r="G244">
            <v>8</v>
          </cell>
          <cell r="H244">
            <v>1</v>
          </cell>
          <cell r="I244">
            <v>0</v>
          </cell>
          <cell r="J244">
            <v>1</v>
          </cell>
          <cell r="K244">
            <v>1</v>
          </cell>
          <cell r="L244">
            <v>231</v>
          </cell>
          <cell r="M244">
            <v>231</v>
          </cell>
        </row>
        <row r="245">
          <cell r="C245" t="str">
            <v>D117</v>
          </cell>
          <cell r="D245" t="str">
            <v>MOHAMMED SAHL CS</v>
          </cell>
          <cell r="E245" t="str">
            <v>FANT</v>
          </cell>
          <cell r="F245" t="str">
            <v>SUPER SENIOR</v>
          </cell>
          <cell r="G245">
            <v>8</v>
          </cell>
          <cell r="H245">
            <v>16</v>
          </cell>
          <cell r="I245">
            <v>0</v>
          </cell>
          <cell r="J245">
            <v>16</v>
          </cell>
          <cell r="K245">
            <v>16</v>
          </cell>
          <cell r="L245">
            <v>94</v>
          </cell>
          <cell r="M245">
            <v>94</v>
          </cell>
        </row>
        <row r="246">
          <cell r="C246" t="str">
            <v>D118</v>
          </cell>
          <cell r="D246" t="str">
            <v>MOHAMMAD KHALANDAR ZIYAD</v>
          </cell>
          <cell r="E246" t="str">
            <v>BADF</v>
          </cell>
          <cell r="F246" t="str">
            <v>SUPER SENIOR</v>
          </cell>
          <cell r="G246">
            <v>8</v>
          </cell>
          <cell r="H246">
            <v>31</v>
          </cell>
          <cell r="I246">
            <v>0</v>
          </cell>
          <cell r="J246">
            <v>31</v>
          </cell>
          <cell r="K246">
            <v>31</v>
          </cell>
          <cell r="L246">
            <v>42</v>
          </cell>
          <cell r="M246">
            <v>42</v>
          </cell>
        </row>
        <row r="247">
          <cell r="C247" t="str">
            <v>D119</v>
          </cell>
          <cell r="D247" t="str">
            <v>ABU THAHIR</v>
          </cell>
          <cell r="E247" t="str">
            <v>BADF</v>
          </cell>
          <cell r="F247" t="str">
            <v>SUPER SENIOR</v>
          </cell>
          <cell r="G247">
            <v>8</v>
          </cell>
          <cell r="H247">
            <v>10</v>
          </cell>
          <cell r="I247">
            <v>0</v>
          </cell>
          <cell r="J247">
            <v>10</v>
          </cell>
          <cell r="K247">
            <v>10</v>
          </cell>
          <cell r="L247">
            <v>131</v>
          </cell>
          <cell r="M247">
            <v>131</v>
          </cell>
        </row>
        <row r="248">
          <cell r="C248" t="str">
            <v>D120</v>
          </cell>
          <cell r="D248" t="str">
            <v>MUHAMMAD SINAN NP</v>
          </cell>
          <cell r="E248" t="str">
            <v>FANT</v>
          </cell>
          <cell r="F248" t="str">
            <v>SUPER SENIOR</v>
          </cell>
          <cell r="G248">
            <v>8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255</v>
          </cell>
          <cell r="M248">
            <v>255</v>
          </cell>
        </row>
        <row r="249">
          <cell r="C249" t="str">
            <v>D121</v>
          </cell>
          <cell r="D249" t="str">
            <v>ABDUL RAHMAN MUNZIR</v>
          </cell>
          <cell r="E249" t="str">
            <v>DAHF</v>
          </cell>
          <cell r="F249" t="str">
            <v>SUPER SENIOR</v>
          </cell>
          <cell r="G249">
            <v>8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255</v>
          </cell>
          <cell r="M249">
            <v>255</v>
          </cell>
        </row>
        <row r="250">
          <cell r="C250" t="str">
            <v>D122</v>
          </cell>
          <cell r="D250" t="str">
            <v>MUHAMMED MUZAMMIL P.M</v>
          </cell>
          <cell r="F250" t="str">
            <v>SUPER SENIOR</v>
          </cell>
          <cell r="G250">
            <v>8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255</v>
          </cell>
          <cell r="M250">
            <v>255</v>
          </cell>
        </row>
        <row r="251">
          <cell r="C251" t="str">
            <v>D123</v>
          </cell>
          <cell r="D251" t="str">
            <v>MOHAMMED SALIH</v>
          </cell>
          <cell r="E251" t="str">
            <v>JARF</v>
          </cell>
          <cell r="F251" t="str">
            <v>SUPER SENIOR</v>
          </cell>
          <cell r="G251">
            <v>8</v>
          </cell>
          <cell r="H251">
            <v>8</v>
          </cell>
          <cell r="I251">
            <v>0</v>
          </cell>
          <cell r="J251">
            <v>8</v>
          </cell>
          <cell r="K251">
            <v>8</v>
          </cell>
          <cell r="L251">
            <v>147</v>
          </cell>
          <cell r="M251">
            <v>147</v>
          </cell>
        </row>
        <row r="252">
          <cell r="C252" t="str">
            <v>D124</v>
          </cell>
          <cell r="D252" t="str">
            <v>MUHAMMED SUFAZ P</v>
          </cell>
          <cell r="E252" t="str">
            <v>BADF</v>
          </cell>
          <cell r="F252" t="str">
            <v>SUPER SENIOR</v>
          </cell>
          <cell r="G252">
            <v>8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255</v>
          </cell>
          <cell r="M252">
            <v>255</v>
          </cell>
        </row>
        <row r="253">
          <cell r="C253" t="str">
            <v>D125</v>
          </cell>
          <cell r="D253" t="str">
            <v>SAYYAD MOHAMMED VASIL</v>
          </cell>
          <cell r="E253" t="str">
            <v>DAHF</v>
          </cell>
          <cell r="F253" t="str">
            <v>SUPER SENIOR</v>
          </cell>
          <cell r="G253">
            <v>8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255</v>
          </cell>
          <cell r="M253">
            <v>255</v>
          </cell>
        </row>
        <row r="254">
          <cell r="C254" t="str">
            <v>D126</v>
          </cell>
          <cell r="D254" t="str">
            <v>MUHAMMED MIDHLAJ KK</v>
          </cell>
          <cell r="E254" t="str">
            <v>BADF</v>
          </cell>
          <cell r="F254" t="str">
            <v>SUPER SENIOR</v>
          </cell>
          <cell r="G254">
            <v>8</v>
          </cell>
          <cell r="H254">
            <v>10</v>
          </cell>
          <cell r="I254">
            <v>0</v>
          </cell>
          <cell r="J254">
            <v>10</v>
          </cell>
          <cell r="K254">
            <v>10</v>
          </cell>
          <cell r="L254">
            <v>131</v>
          </cell>
          <cell r="M254">
            <v>131</v>
          </cell>
        </row>
        <row r="255">
          <cell r="C255" t="str">
            <v>D127</v>
          </cell>
          <cell r="D255" t="str">
            <v>SHADIN G</v>
          </cell>
          <cell r="E255" t="str">
            <v>FANT</v>
          </cell>
          <cell r="F255" t="str">
            <v>SUPER SENIOR</v>
          </cell>
          <cell r="G255">
            <v>8</v>
          </cell>
          <cell r="H255">
            <v>50</v>
          </cell>
          <cell r="I255">
            <v>0</v>
          </cell>
          <cell r="J255">
            <v>50</v>
          </cell>
          <cell r="K255">
            <v>50</v>
          </cell>
          <cell r="L255">
            <v>15</v>
          </cell>
          <cell r="M255">
            <v>15</v>
          </cell>
        </row>
        <row r="256">
          <cell r="C256" t="str">
            <v>D128</v>
          </cell>
          <cell r="D256" t="str">
            <v>MEHAZIN AMAN T</v>
          </cell>
          <cell r="E256" t="str">
            <v>FANT</v>
          </cell>
          <cell r="F256" t="str">
            <v>SUPER SENIOR</v>
          </cell>
          <cell r="G256">
            <v>8</v>
          </cell>
          <cell r="H256">
            <v>28</v>
          </cell>
          <cell r="I256">
            <v>0</v>
          </cell>
          <cell r="J256">
            <v>28</v>
          </cell>
          <cell r="K256">
            <v>28</v>
          </cell>
          <cell r="L256">
            <v>51</v>
          </cell>
          <cell r="M256">
            <v>51</v>
          </cell>
        </row>
        <row r="257">
          <cell r="C257" t="str">
            <v>D129</v>
          </cell>
          <cell r="D257" t="str">
            <v>MUHAMMED UNAIS CK</v>
          </cell>
          <cell r="E257" t="str">
            <v>BADF</v>
          </cell>
          <cell r="F257" t="str">
            <v>SUPER SENIOR</v>
          </cell>
          <cell r="G257">
            <v>8</v>
          </cell>
          <cell r="H257">
            <v>25</v>
          </cell>
          <cell r="I257">
            <v>0</v>
          </cell>
          <cell r="J257">
            <v>25</v>
          </cell>
          <cell r="K257">
            <v>25</v>
          </cell>
          <cell r="L257">
            <v>60</v>
          </cell>
          <cell r="M257">
            <v>60</v>
          </cell>
        </row>
        <row r="258">
          <cell r="C258" t="str">
            <v>D130</v>
          </cell>
          <cell r="D258" t="str">
            <v>ZAINUDEEN</v>
          </cell>
          <cell r="E258" t="str">
            <v>DAHF</v>
          </cell>
          <cell r="F258" t="str">
            <v>SUPER SENIOR</v>
          </cell>
          <cell r="G258">
            <v>9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255</v>
          </cell>
          <cell r="M258">
            <v>255</v>
          </cell>
        </row>
        <row r="259">
          <cell r="C259" t="str">
            <v>D131</v>
          </cell>
          <cell r="D259" t="str">
            <v>MAHAMMAD RIYAZ</v>
          </cell>
          <cell r="E259" t="str">
            <v>DAHF</v>
          </cell>
          <cell r="F259" t="str">
            <v>SUPER SENIOR</v>
          </cell>
          <cell r="G259">
            <v>9</v>
          </cell>
          <cell r="H259">
            <v>6</v>
          </cell>
          <cell r="I259">
            <v>0</v>
          </cell>
          <cell r="J259">
            <v>6</v>
          </cell>
          <cell r="K259">
            <v>6</v>
          </cell>
          <cell r="L259">
            <v>171</v>
          </cell>
          <cell r="M259">
            <v>171</v>
          </cell>
        </row>
        <row r="260">
          <cell r="C260" t="str">
            <v>D132</v>
          </cell>
          <cell r="D260" t="str">
            <v>ABOOBAKR MA'ROOF</v>
          </cell>
          <cell r="E260" t="str">
            <v>FANT</v>
          </cell>
          <cell r="F260" t="str">
            <v>SUPER SENIOR</v>
          </cell>
          <cell r="G260">
            <v>9</v>
          </cell>
          <cell r="H260">
            <v>7</v>
          </cell>
          <cell r="I260">
            <v>0</v>
          </cell>
          <cell r="J260">
            <v>7</v>
          </cell>
          <cell r="K260">
            <v>7</v>
          </cell>
          <cell r="L260">
            <v>167</v>
          </cell>
          <cell r="M260">
            <v>167</v>
          </cell>
        </row>
        <row r="261">
          <cell r="C261" t="str">
            <v>D133</v>
          </cell>
          <cell r="D261" t="str">
            <v>MOHAMMED SHAMSHEER</v>
          </cell>
          <cell r="E261" t="str">
            <v>FANT</v>
          </cell>
          <cell r="F261" t="str">
            <v>SUPER SENIOR</v>
          </cell>
          <cell r="G261">
            <v>9</v>
          </cell>
          <cell r="H261">
            <v>25</v>
          </cell>
          <cell r="I261">
            <v>0</v>
          </cell>
          <cell r="J261">
            <v>25</v>
          </cell>
          <cell r="K261">
            <v>25</v>
          </cell>
          <cell r="L261">
            <v>60</v>
          </cell>
          <cell r="M261">
            <v>60</v>
          </cell>
        </row>
        <row r="262">
          <cell r="C262" t="str">
            <v>D134</v>
          </cell>
          <cell r="D262" t="str">
            <v>AJMAL ANEES</v>
          </cell>
          <cell r="E262" t="str">
            <v>FANT</v>
          </cell>
          <cell r="F262" t="str">
            <v>SUPER SENIOR</v>
          </cell>
          <cell r="G262">
            <v>9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255</v>
          </cell>
          <cell r="M262">
            <v>255</v>
          </cell>
        </row>
        <row r="263">
          <cell r="C263" t="str">
            <v>D135</v>
          </cell>
          <cell r="D263" t="str">
            <v>HASHIR HUSSAIN IK</v>
          </cell>
          <cell r="E263" t="str">
            <v>DAHF</v>
          </cell>
          <cell r="F263" t="str">
            <v>SUPER SENIOR</v>
          </cell>
          <cell r="G263">
            <v>9</v>
          </cell>
          <cell r="H263">
            <v>10</v>
          </cell>
          <cell r="I263">
            <v>0</v>
          </cell>
          <cell r="J263">
            <v>10</v>
          </cell>
          <cell r="K263">
            <v>10</v>
          </cell>
          <cell r="L263">
            <v>131</v>
          </cell>
          <cell r="M263">
            <v>131</v>
          </cell>
        </row>
        <row r="264">
          <cell r="C264" t="str">
            <v>D136</v>
          </cell>
          <cell r="D264" t="str">
            <v>MUHAMMED ASBAQUE</v>
          </cell>
          <cell r="E264" t="str">
            <v>JARF</v>
          </cell>
          <cell r="F264" t="str">
            <v>SUPER SENIOR</v>
          </cell>
          <cell r="G264">
            <v>9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255</v>
          </cell>
          <cell r="M264">
            <v>255</v>
          </cell>
        </row>
        <row r="265">
          <cell r="C265" t="str">
            <v>D137</v>
          </cell>
          <cell r="D265" t="str">
            <v>AYYOOB V.N</v>
          </cell>
          <cell r="E265" t="str">
            <v>BADF</v>
          </cell>
          <cell r="F265" t="str">
            <v>SUPER SENIOR</v>
          </cell>
          <cell r="G265">
            <v>9</v>
          </cell>
          <cell r="H265">
            <v>9</v>
          </cell>
          <cell r="I265">
            <v>0</v>
          </cell>
          <cell r="J265">
            <v>9</v>
          </cell>
          <cell r="K265">
            <v>9</v>
          </cell>
          <cell r="L265">
            <v>139</v>
          </cell>
          <cell r="M265">
            <v>139</v>
          </cell>
        </row>
        <row r="266">
          <cell r="C266" t="str">
            <v>D138</v>
          </cell>
          <cell r="D266" t="str">
            <v>MOHAMMED JAWAD A</v>
          </cell>
          <cell r="E266" t="str">
            <v>FANT</v>
          </cell>
          <cell r="F266" t="str">
            <v>SUPER SENIOR</v>
          </cell>
          <cell r="G266">
            <v>9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255</v>
          </cell>
          <cell r="M266">
            <v>255</v>
          </cell>
        </row>
        <row r="267">
          <cell r="C267" t="str">
            <v>D139</v>
          </cell>
          <cell r="D267" t="str">
            <v>AHAMMED MUBARAK KA</v>
          </cell>
          <cell r="E267" t="str">
            <v>JARF</v>
          </cell>
          <cell r="F267" t="str">
            <v>SUPER SENIOR</v>
          </cell>
          <cell r="G267">
            <v>9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255</v>
          </cell>
          <cell r="M267">
            <v>255</v>
          </cell>
        </row>
        <row r="268">
          <cell r="C268" t="str">
            <v>D140</v>
          </cell>
          <cell r="D268" t="str">
            <v>MUHAMMED FAISAL A K</v>
          </cell>
          <cell r="E268" t="str">
            <v>DAHF</v>
          </cell>
          <cell r="F268" t="str">
            <v>SUPER SENIOR</v>
          </cell>
          <cell r="G268">
            <v>9</v>
          </cell>
          <cell r="H268">
            <v>75</v>
          </cell>
          <cell r="I268">
            <v>0</v>
          </cell>
          <cell r="J268">
            <v>75</v>
          </cell>
          <cell r="K268">
            <v>75</v>
          </cell>
          <cell r="L268">
            <v>1</v>
          </cell>
          <cell r="M268">
            <v>1</v>
          </cell>
        </row>
        <row r="269">
          <cell r="C269" t="str">
            <v>D141</v>
          </cell>
          <cell r="D269" t="str">
            <v>MUHAMMAD MUSTHAFA P.K</v>
          </cell>
          <cell r="E269" t="str">
            <v>BADF</v>
          </cell>
          <cell r="F269" t="str">
            <v>SUPER SENIOR</v>
          </cell>
          <cell r="G269">
            <v>9</v>
          </cell>
          <cell r="H269">
            <v>14</v>
          </cell>
          <cell r="I269">
            <v>0</v>
          </cell>
          <cell r="J269">
            <v>14</v>
          </cell>
          <cell r="K269">
            <v>14</v>
          </cell>
          <cell r="L269">
            <v>104</v>
          </cell>
          <cell r="M269">
            <v>104</v>
          </cell>
        </row>
        <row r="270">
          <cell r="C270" t="str">
            <v>D142</v>
          </cell>
          <cell r="D270" t="str">
            <v>ISHAM V.K</v>
          </cell>
          <cell r="E270" t="str">
            <v>FANT</v>
          </cell>
          <cell r="F270" t="str">
            <v>SUPER SENIOR</v>
          </cell>
          <cell r="G270">
            <v>9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255</v>
          </cell>
          <cell r="M270">
            <v>255</v>
          </cell>
        </row>
        <row r="271">
          <cell r="C271" t="str">
            <v>D143</v>
          </cell>
          <cell r="D271" t="str">
            <v>MUHAMMED MA</v>
          </cell>
          <cell r="E271" t="str">
            <v>BADF</v>
          </cell>
          <cell r="F271" t="str">
            <v>SUPER SENIOR</v>
          </cell>
          <cell r="G271">
            <v>9</v>
          </cell>
          <cell r="H271">
            <v>6</v>
          </cell>
          <cell r="I271">
            <v>0</v>
          </cell>
          <cell r="J271">
            <v>6</v>
          </cell>
          <cell r="K271">
            <v>6</v>
          </cell>
          <cell r="L271">
            <v>171</v>
          </cell>
          <cell r="M271">
            <v>171</v>
          </cell>
        </row>
        <row r="272">
          <cell r="C272" t="str">
            <v>D144</v>
          </cell>
          <cell r="D272" t="str">
            <v>MUHAMMED RASHAD KA</v>
          </cell>
          <cell r="E272" t="str">
            <v>JARF</v>
          </cell>
          <cell r="F272" t="str">
            <v>SUPER SENIOR</v>
          </cell>
          <cell r="G272">
            <v>9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255</v>
          </cell>
          <cell r="M272">
            <v>255</v>
          </cell>
        </row>
        <row r="273">
          <cell r="C273" t="str">
            <v>D145</v>
          </cell>
          <cell r="D273" t="str">
            <v>ABBAS ARFAS O.R</v>
          </cell>
          <cell r="E273" t="str">
            <v>BADF</v>
          </cell>
          <cell r="F273" t="str">
            <v>SUPER SENIOR</v>
          </cell>
          <cell r="G273">
            <v>9</v>
          </cell>
          <cell r="H273">
            <v>10</v>
          </cell>
          <cell r="I273">
            <v>0</v>
          </cell>
          <cell r="J273">
            <v>10</v>
          </cell>
          <cell r="K273">
            <v>10</v>
          </cell>
          <cell r="L273">
            <v>131</v>
          </cell>
          <cell r="M273">
            <v>131</v>
          </cell>
        </row>
        <row r="274">
          <cell r="C274" t="str">
            <v>D146</v>
          </cell>
          <cell r="D274" t="str">
            <v>ABDUL YOUNUS</v>
          </cell>
          <cell r="E274" t="str">
            <v>DAHF</v>
          </cell>
          <cell r="F274" t="str">
            <v>SUPER SENIOR</v>
          </cell>
          <cell r="G274">
            <v>9</v>
          </cell>
          <cell r="H274">
            <v>6</v>
          </cell>
          <cell r="I274">
            <v>0</v>
          </cell>
          <cell r="J274">
            <v>6</v>
          </cell>
          <cell r="K274">
            <v>6</v>
          </cell>
          <cell r="L274">
            <v>171</v>
          </cell>
          <cell r="M274">
            <v>171</v>
          </cell>
        </row>
        <row r="275">
          <cell r="C275" t="str">
            <v>D147</v>
          </cell>
          <cell r="D275" t="str">
            <v>MOHAMMED SHAHZAN T.K</v>
          </cell>
          <cell r="E275" t="str">
            <v>FANT</v>
          </cell>
          <cell r="F275" t="str">
            <v>SUPER SENIOR</v>
          </cell>
          <cell r="G275">
            <v>9</v>
          </cell>
          <cell r="H275">
            <v>54</v>
          </cell>
          <cell r="I275">
            <v>0</v>
          </cell>
          <cell r="J275">
            <v>54</v>
          </cell>
          <cell r="K275">
            <v>54</v>
          </cell>
          <cell r="L275">
            <v>9</v>
          </cell>
          <cell r="M275">
            <v>9</v>
          </cell>
        </row>
        <row r="276">
          <cell r="C276" t="str">
            <v>D148</v>
          </cell>
          <cell r="D276" t="str">
            <v>UMARUL FAROOK K .K</v>
          </cell>
          <cell r="E276" t="str">
            <v>DAHF</v>
          </cell>
          <cell r="F276" t="str">
            <v>SUPER SENIOR</v>
          </cell>
          <cell r="G276">
            <v>9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255</v>
          </cell>
          <cell r="M276">
            <v>255</v>
          </cell>
        </row>
        <row r="277">
          <cell r="C277" t="str">
            <v>D149</v>
          </cell>
          <cell r="D277" t="str">
            <v>MOHAMMED MARZOOK AM</v>
          </cell>
          <cell r="E277" t="str">
            <v>JARF</v>
          </cell>
          <cell r="F277" t="str">
            <v>SUPER SENIOR</v>
          </cell>
          <cell r="G277">
            <v>9</v>
          </cell>
          <cell r="H277">
            <v>8</v>
          </cell>
          <cell r="I277">
            <v>0</v>
          </cell>
          <cell r="J277">
            <v>8</v>
          </cell>
          <cell r="K277">
            <v>8</v>
          </cell>
          <cell r="L277">
            <v>147</v>
          </cell>
          <cell r="M277">
            <v>147</v>
          </cell>
        </row>
        <row r="278">
          <cell r="C278" t="str">
            <v>D150</v>
          </cell>
          <cell r="D278" t="str">
            <v>ABDUL KHADER</v>
          </cell>
          <cell r="E278" t="str">
            <v>DAHF</v>
          </cell>
          <cell r="F278" t="str">
            <v>SUPER SENIOR</v>
          </cell>
          <cell r="G278">
            <v>9</v>
          </cell>
          <cell r="H278">
            <v>44</v>
          </cell>
          <cell r="I278">
            <v>0</v>
          </cell>
          <cell r="J278">
            <v>44</v>
          </cell>
          <cell r="K278">
            <v>44</v>
          </cell>
          <cell r="L278">
            <v>19</v>
          </cell>
          <cell r="M278">
            <v>19</v>
          </cell>
        </row>
        <row r="279">
          <cell r="C279" t="str">
            <v>D151</v>
          </cell>
          <cell r="D279" t="str">
            <v>MUHAMMED SHANAVAS M.A</v>
          </cell>
          <cell r="E279" t="str">
            <v>JARF</v>
          </cell>
          <cell r="F279" t="str">
            <v>SUPER SENIOR</v>
          </cell>
          <cell r="G279">
            <v>9</v>
          </cell>
          <cell r="H279">
            <v>3</v>
          </cell>
          <cell r="I279">
            <v>0</v>
          </cell>
          <cell r="J279">
            <v>3</v>
          </cell>
          <cell r="K279">
            <v>3</v>
          </cell>
          <cell r="L279">
            <v>209</v>
          </cell>
          <cell r="M279">
            <v>209</v>
          </cell>
        </row>
        <row r="280">
          <cell r="C280" t="str">
            <v>D152</v>
          </cell>
          <cell r="D280" t="str">
            <v>MOHAMMAD ISMAIL SINAN KM</v>
          </cell>
          <cell r="E280" t="str">
            <v>DAHF</v>
          </cell>
          <cell r="F280" t="str">
            <v>SUPER SENIOR</v>
          </cell>
          <cell r="G280">
            <v>9</v>
          </cell>
          <cell r="H280">
            <v>4</v>
          </cell>
          <cell r="I280">
            <v>0</v>
          </cell>
          <cell r="J280">
            <v>4</v>
          </cell>
          <cell r="K280">
            <v>4</v>
          </cell>
          <cell r="L280">
            <v>197</v>
          </cell>
          <cell r="M280">
            <v>197</v>
          </cell>
        </row>
        <row r="281">
          <cell r="C281" t="str">
            <v>D153</v>
          </cell>
          <cell r="D281" t="str">
            <v>MUHAMMED UNAIS PT</v>
          </cell>
          <cell r="E281" t="str">
            <v>JARF</v>
          </cell>
          <cell r="F281" t="str">
            <v>SUPER SENIOR</v>
          </cell>
          <cell r="G281">
            <v>9</v>
          </cell>
          <cell r="H281">
            <v>11</v>
          </cell>
          <cell r="I281">
            <v>0</v>
          </cell>
          <cell r="J281">
            <v>11</v>
          </cell>
          <cell r="K281">
            <v>11</v>
          </cell>
          <cell r="L281">
            <v>123</v>
          </cell>
          <cell r="M281">
            <v>123</v>
          </cell>
        </row>
        <row r="282">
          <cell r="C282" t="str">
            <v>D154</v>
          </cell>
          <cell r="D282" t="str">
            <v>ASHIKK.I</v>
          </cell>
          <cell r="E282" t="str">
            <v>JARF</v>
          </cell>
          <cell r="F282" t="str">
            <v>SUPER SENIOR</v>
          </cell>
          <cell r="G282">
            <v>9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255</v>
          </cell>
          <cell r="M282">
            <v>255</v>
          </cell>
        </row>
        <row r="283">
          <cell r="C283" t="str">
            <v>D155</v>
          </cell>
          <cell r="D283" t="str">
            <v>MUHAMMED YASIR K</v>
          </cell>
          <cell r="E283" t="str">
            <v>BADF</v>
          </cell>
          <cell r="F283" t="str">
            <v>SUPER SENIOR</v>
          </cell>
          <cell r="G283">
            <v>9</v>
          </cell>
          <cell r="H283">
            <v>24</v>
          </cell>
          <cell r="I283">
            <v>0</v>
          </cell>
          <cell r="J283">
            <v>24</v>
          </cell>
          <cell r="K283">
            <v>24</v>
          </cell>
          <cell r="L283">
            <v>64</v>
          </cell>
          <cell r="M283">
            <v>64</v>
          </cell>
        </row>
        <row r="284">
          <cell r="C284" t="str">
            <v>D156</v>
          </cell>
          <cell r="D284" t="str">
            <v>MUHAMMED BIN ABDUL KADHAR</v>
          </cell>
          <cell r="F284" t="str">
            <v>SUPER SENIOR</v>
          </cell>
          <cell r="G284">
            <v>9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255</v>
          </cell>
          <cell r="M284">
            <v>255</v>
          </cell>
        </row>
        <row r="285">
          <cell r="C285" t="str">
            <v>D157</v>
          </cell>
          <cell r="D285" t="str">
            <v>MUHAMMAD MUZAMMIL E.A</v>
          </cell>
          <cell r="E285" t="str">
            <v>BADF</v>
          </cell>
          <cell r="F285" t="str">
            <v>SUPER SENIOR</v>
          </cell>
          <cell r="G285">
            <v>9</v>
          </cell>
          <cell r="H285">
            <v>8</v>
          </cell>
          <cell r="I285">
            <v>0</v>
          </cell>
          <cell r="J285">
            <v>8</v>
          </cell>
          <cell r="K285">
            <v>8</v>
          </cell>
          <cell r="L285">
            <v>147</v>
          </cell>
          <cell r="M285">
            <v>147</v>
          </cell>
        </row>
        <row r="286">
          <cell r="C286" t="str">
            <v>D158</v>
          </cell>
          <cell r="D286" t="str">
            <v>MUHAMMED UNAIS</v>
          </cell>
          <cell r="F286" t="str">
            <v>SUPER SENIOR</v>
          </cell>
          <cell r="G286">
            <v>9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255</v>
          </cell>
          <cell r="M286">
            <v>255</v>
          </cell>
        </row>
        <row r="287">
          <cell r="C287" t="str">
            <v>D159</v>
          </cell>
          <cell r="D287" t="str">
            <v>MUHAMMED MUZAMMIL</v>
          </cell>
          <cell r="E287" t="str">
            <v>FANT</v>
          </cell>
          <cell r="F287" t="str">
            <v>SUPER SENIOR</v>
          </cell>
          <cell r="G287">
            <v>9</v>
          </cell>
          <cell r="H287">
            <v>1</v>
          </cell>
          <cell r="I287">
            <v>0</v>
          </cell>
          <cell r="J287">
            <v>1</v>
          </cell>
          <cell r="K287">
            <v>1</v>
          </cell>
          <cell r="L287">
            <v>231</v>
          </cell>
          <cell r="M287">
            <v>231</v>
          </cell>
        </row>
        <row r="288">
          <cell r="C288" t="str">
            <v>D160</v>
          </cell>
          <cell r="D288" t="str">
            <v>SALMAN FARIS</v>
          </cell>
          <cell r="E288" t="str">
            <v>JARF</v>
          </cell>
          <cell r="F288" t="str">
            <v>SUPER SENIOR</v>
          </cell>
          <cell r="G288">
            <v>9</v>
          </cell>
          <cell r="H288">
            <v>1</v>
          </cell>
          <cell r="I288">
            <v>0</v>
          </cell>
          <cell r="J288">
            <v>1</v>
          </cell>
          <cell r="K288">
            <v>1</v>
          </cell>
          <cell r="L288">
            <v>231</v>
          </cell>
          <cell r="M288">
            <v>231</v>
          </cell>
        </row>
        <row r="289">
          <cell r="C289" t="str">
            <v>D161</v>
          </cell>
          <cell r="D289" t="str">
            <v>MOHAMMED ATHHAR THAYYIB MS</v>
          </cell>
          <cell r="E289" t="str">
            <v>BADF</v>
          </cell>
          <cell r="F289" t="str">
            <v>SUPER SENIOR</v>
          </cell>
          <cell r="G289">
            <v>9</v>
          </cell>
          <cell r="H289">
            <v>3</v>
          </cell>
          <cell r="I289">
            <v>0</v>
          </cell>
          <cell r="J289">
            <v>3</v>
          </cell>
          <cell r="K289">
            <v>3</v>
          </cell>
          <cell r="L289">
            <v>209</v>
          </cell>
          <cell r="M289">
            <v>209</v>
          </cell>
        </row>
        <row r="290">
          <cell r="C290" t="str">
            <v>D162</v>
          </cell>
          <cell r="D290" t="str">
            <v>ABDURAHMAN P.H</v>
          </cell>
          <cell r="E290" t="str">
            <v>BADF</v>
          </cell>
          <cell r="F290" t="str">
            <v>SUPER SENIOR</v>
          </cell>
          <cell r="G290">
            <v>9</v>
          </cell>
          <cell r="H290">
            <v>38</v>
          </cell>
          <cell r="I290">
            <v>0</v>
          </cell>
          <cell r="J290">
            <v>38</v>
          </cell>
          <cell r="K290">
            <v>38</v>
          </cell>
          <cell r="L290">
            <v>26</v>
          </cell>
          <cell r="M290">
            <v>26</v>
          </cell>
        </row>
        <row r="291">
          <cell r="C291" t="str">
            <v>D163</v>
          </cell>
          <cell r="D291" t="str">
            <v>ABDUL JANIS</v>
          </cell>
          <cell r="E291" t="str">
            <v>FANT</v>
          </cell>
          <cell r="F291" t="str">
            <v>SUPER SENIOR</v>
          </cell>
          <cell r="G291">
            <v>9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255</v>
          </cell>
          <cell r="M291">
            <v>255</v>
          </cell>
        </row>
        <row r="292">
          <cell r="C292" t="str">
            <v>D164</v>
          </cell>
          <cell r="D292" t="str">
            <v>AHMED SULTHAN</v>
          </cell>
          <cell r="E292" t="str">
            <v>JARF</v>
          </cell>
          <cell r="F292" t="str">
            <v>SUPER SENIOR</v>
          </cell>
          <cell r="G292">
            <v>9</v>
          </cell>
          <cell r="H292">
            <v>37</v>
          </cell>
          <cell r="I292">
            <v>0</v>
          </cell>
          <cell r="J292">
            <v>37</v>
          </cell>
          <cell r="K292">
            <v>37</v>
          </cell>
          <cell r="L292">
            <v>30</v>
          </cell>
          <cell r="M292">
            <v>30</v>
          </cell>
        </row>
        <row r="293">
          <cell r="C293" t="str">
            <v>D165</v>
          </cell>
          <cell r="D293" t="str">
            <v>AJMAL KI</v>
          </cell>
          <cell r="E293" t="str">
            <v>FANT</v>
          </cell>
          <cell r="F293" t="str">
            <v>SUPER SENIOR</v>
          </cell>
          <cell r="G293">
            <v>9</v>
          </cell>
          <cell r="H293">
            <v>42.5</v>
          </cell>
          <cell r="I293">
            <v>0</v>
          </cell>
          <cell r="J293">
            <v>42.5</v>
          </cell>
          <cell r="K293">
            <v>42.5</v>
          </cell>
          <cell r="L293">
            <v>20</v>
          </cell>
          <cell r="M293">
            <v>20</v>
          </cell>
        </row>
        <row r="294">
          <cell r="C294" t="str">
            <v>D166</v>
          </cell>
          <cell r="D294" t="str">
            <v>MOHAMMED IRFAN C</v>
          </cell>
          <cell r="E294" t="str">
            <v>DAHF</v>
          </cell>
          <cell r="F294" t="str">
            <v>SUPER SENIOR</v>
          </cell>
          <cell r="G294">
            <v>9</v>
          </cell>
          <cell r="H294">
            <v>32</v>
          </cell>
          <cell r="I294">
            <v>0</v>
          </cell>
          <cell r="J294">
            <v>32</v>
          </cell>
          <cell r="K294">
            <v>32</v>
          </cell>
          <cell r="L294">
            <v>40</v>
          </cell>
          <cell r="M294">
            <v>40</v>
          </cell>
        </row>
        <row r="295">
          <cell r="C295" t="str">
            <v>D167</v>
          </cell>
          <cell r="D295" t="str">
            <v>AHMAD BINYAMUL ASHIQUE</v>
          </cell>
          <cell r="E295" t="str">
            <v>JARF</v>
          </cell>
          <cell r="F295" t="str">
            <v>SUPER SENIOR</v>
          </cell>
          <cell r="G295">
            <v>10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255</v>
          </cell>
          <cell r="M295">
            <v>255</v>
          </cell>
        </row>
        <row r="296">
          <cell r="C296" t="str">
            <v>D168</v>
          </cell>
          <cell r="D296" t="str">
            <v>MOHAMMED NAFIH KA</v>
          </cell>
          <cell r="E296" t="str">
            <v>FANT</v>
          </cell>
          <cell r="F296" t="str">
            <v>SUPER SENIOR</v>
          </cell>
          <cell r="G296">
            <v>10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255</v>
          </cell>
          <cell r="M296">
            <v>255</v>
          </cell>
        </row>
        <row r="297">
          <cell r="C297" t="str">
            <v>D169</v>
          </cell>
          <cell r="D297" t="str">
            <v>MUHAMMED AYIZ</v>
          </cell>
          <cell r="E297" t="str">
            <v>BADF</v>
          </cell>
          <cell r="F297" t="str">
            <v>SUPER SENIOR</v>
          </cell>
          <cell r="G297">
            <v>10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255</v>
          </cell>
          <cell r="M297">
            <v>255</v>
          </cell>
        </row>
        <row r="298">
          <cell r="C298" t="str">
            <v>D170</v>
          </cell>
          <cell r="D298" t="str">
            <v>AHMED ADIL B.K</v>
          </cell>
          <cell r="E298" t="str">
            <v>JARF</v>
          </cell>
          <cell r="F298" t="str">
            <v>SUPER SENIOR</v>
          </cell>
          <cell r="G298">
            <v>10</v>
          </cell>
          <cell r="H298">
            <v>18</v>
          </cell>
          <cell r="I298">
            <v>0</v>
          </cell>
          <cell r="J298">
            <v>18</v>
          </cell>
          <cell r="K298">
            <v>18</v>
          </cell>
          <cell r="L298">
            <v>81</v>
          </cell>
          <cell r="M298">
            <v>81</v>
          </cell>
        </row>
        <row r="299">
          <cell r="C299" t="str">
            <v>D171</v>
          </cell>
          <cell r="D299" t="str">
            <v>MOHAMMED ANFAHUDEEN T.A</v>
          </cell>
          <cell r="E299" t="str">
            <v>FANT</v>
          </cell>
          <cell r="F299" t="str">
            <v>SUPER SENIOR</v>
          </cell>
          <cell r="G299">
            <v>10</v>
          </cell>
          <cell r="H299">
            <v>2</v>
          </cell>
          <cell r="I299">
            <v>0</v>
          </cell>
          <cell r="J299">
            <v>2</v>
          </cell>
          <cell r="K299">
            <v>2</v>
          </cell>
          <cell r="L299">
            <v>224</v>
          </cell>
          <cell r="M299">
            <v>224</v>
          </cell>
        </row>
        <row r="300">
          <cell r="C300" t="str">
            <v>D172</v>
          </cell>
          <cell r="D300" t="str">
            <v>MUHAMMED MUFEED</v>
          </cell>
          <cell r="E300" t="str">
            <v>DAHF</v>
          </cell>
          <cell r="F300" t="str">
            <v>SUPER SENIOR</v>
          </cell>
          <cell r="G300">
            <v>10</v>
          </cell>
          <cell r="H300">
            <v>2</v>
          </cell>
          <cell r="I300">
            <v>0</v>
          </cell>
          <cell r="J300">
            <v>2</v>
          </cell>
          <cell r="K300">
            <v>2</v>
          </cell>
          <cell r="L300">
            <v>224</v>
          </cell>
          <cell r="M300">
            <v>224</v>
          </cell>
        </row>
        <row r="301">
          <cell r="C301" t="str">
            <v>D173</v>
          </cell>
          <cell r="D301" t="str">
            <v>ABOOBACKER SIDDIK</v>
          </cell>
          <cell r="E301" t="str">
            <v>BADF</v>
          </cell>
          <cell r="F301" t="str">
            <v>SUPER SENIOR</v>
          </cell>
          <cell r="G301">
            <v>10</v>
          </cell>
          <cell r="H301">
            <v>5</v>
          </cell>
          <cell r="I301">
            <v>0</v>
          </cell>
          <cell r="J301">
            <v>5</v>
          </cell>
          <cell r="K301">
            <v>5</v>
          </cell>
          <cell r="L301">
            <v>190</v>
          </cell>
          <cell r="M301">
            <v>190</v>
          </cell>
        </row>
        <row r="302">
          <cell r="C302" t="str">
            <v>D174</v>
          </cell>
          <cell r="D302" t="str">
            <v>BADRUDHIN A</v>
          </cell>
          <cell r="E302" t="str">
            <v>BADF</v>
          </cell>
          <cell r="F302" t="str">
            <v>SUPER SENIOR</v>
          </cell>
          <cell r="G302">
            <v>10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255</v>
          </cell>
          <cell r="M302">
            <v>255</v>
          </cell>
        </row>
        <row r="303">
          <cell r="C303" t="str">
            <v>D175</v>
          </cell>
          <cell r="D303" t="str">
            <v>AKBAR P</v>
          </cell>
          <cell r="E303" t="str">
            <v>FANT</v>
          </cell>
          <cell r="F303" t="str">
            <v>SUPER SENIOR</v>
          </cell>
          <cell r="G303">
            <v>10</v>
          </cell>
          <cell r="H303">
            <v>18</v>
          </cell>
          <cell r="I303">
            <v>0</v>
          </cell>
          <cell r="J303">
            <v>18</v>
          </cell>
          <cell r="K303">
            <v>18</v>
          </cell>
          <cell r="L303">
            <v>81</v>
          </cell>
          <cell r="M303">
            <v>81</v>
          </cell>
        </row>
        <row r="304">
          <cell r="C304" t="str">
            <v>D176</v>
          </cell>
          <cell r="D304" t="str">
            <v>MOHAMMED NASFAR AFNAN H</v>
          </cell>
          <cell r="E304" t="str">
            <v>JARF</v>
          </cell>
          <cell r="F304" t="str">
            <v>SUPER SENIOR</v>
          </cell>
          <cell r="G304">
            <v>10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255</v>
          </cell>
          <cell r="M304">
            <v>255</v>
          </cell>
        </row>
        <row r="305">
          <cell r="C305" t="str">
            <v>D177</v>
          </cell>
          <cell r="D305" t="str">
            <v>SHAMEEM ABDULLA P.S</v>
          </cell>
          <cell r="E305" t="str">
            <v>FANT</v>
          </cell>
          <cell r="F305" t="str">
            <v>SUPER SENIOR</v>
          </cell>
          <cell r="G305">
            <v>10</v>
          </cell>
          <cell r="H305">
            <v>51</v>
          </cell>
          <cell r="I305">
            <v>0</v>
          </cell>
          <cell r="J305">
            <v>51</v>
          </cell>
          <cell r="K305">
            <v>51</v>
          </cell>
          <cell r="L305">
            <v>13</v>
          </cell>
          <cell r="M305">
            <v>13</v>
          </cell>
        </row>
        <row r="306">
          <cell r="C306" t="str">
            <v>D178</v>
          </cell>
          <cell r="D306" t="str">
            <v>AHMED BK</v>
          </cell>
          <cell r="E306" t="str">
            <v>BADF</v>
          </cell>
          <cell r="F306" t="str">
            <v>SUPER SENIOR</v>
          </cell>
          <cell r="G306">
            <v>10</v>
          </cell>
          <cell r="H306">
            <v>31</v>
          </cell>
          <cell r="I306">
            <v>0</v>
          </cell>
          <cell r="J306">
            <v>31</v>
          </cell>
          <cell r="K306">
            <v>31</v>
          </cell>
          <cell r="L306">
            <v>42</v>
          </cell>
          <cell r="M306">
            <v>42</v>
          </cell>
        </row>
        <row r="307">
          <cell r="C307" t="str">
            <v>D179</v>
          </cell>
          <cell r="D307" t="str">
            <v>MUHAMMED AKBAR NP</v>
          </cell>
          <cell r="E307" t="str">
            <v>DAHF</v>
          </cell>
          <cell r="F307" t="str">
            <v>SUPER SENIOR</v>
          </cell>
          <cell r="G307">
            <v>10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255</v>
          </cell>
          <cell r="M307">
            <v>255</v>
          </cell>
        </row>
        <row r="308">
          <cell r="C308" t="str">
            <v>D180</v>
          </cell>
          <cell r="D308" t="str">
            <v>ATHIF ABDULKHADER</v>
          </cell>
          <cell r="E308" t="str">
            <v>FANT</v>
          </cell>
          <cell r="F308" t="str">
            <v>SUPER SENIOR</v>
          </cell>
          <cell r="G308">
            <v>10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255</v>
          </cell>
          <cell r="M308">
            <v>255</v>
          </cell>
        </row>
        <row r="309">
          <cell r="C309" t="str">
            <v>D181</v>
          </cell>
          <cell r="D309" t="str">
            <v>MUHAMMED SAJJAD</v>
          </cell>
          <cell r="E309" t="str">
            <v>DAHF</v>
          </cell>
          <cell r="F309" t="str">
            <v>SUPER SENIOR</v>
          </cell>
          <cell r="G309">
            <v>10</v>
          </cell>
          <cell r="H309">
            <v>1</v>
          </cell>
          <cell r="I309">
            <v>0</v>
          </cell>
          <cell r="J309">
            <v>1</v>
          </cell>
          <cell r="K309">
            <v>1</v>
          </cell>
          <cell r="L309">
            <v>231</v>
          </cell>
          <cell r="M309">
            <v>231</v>
          </cell>
        </row>
        <row r="310">
          <cell r="C310" t="str">
            <v>D182</v>
          </cell>
          <cell r="D310" t="str">
            <v>AHAMED ASIF M</v>
          </cell>
          <cell r="E310" t="str">
            <v>JARF</v>
          </cell>
          <cell r="F310" t="str">
            <v>SUPER SENIOR</v>
          </cell>
          <cell r="G310">
            <v>10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255</v>
          </cell>
          <cell r="M310">
            <v>255</v>
          </cell>
        </row>
        <row r="311">
          <cell r="C311" t="str">
            <v>D183</v>
          </cell>
          <cell r="D311" t="str">
            <v>MOHAMMAD SWALIH K</v>
          </cell>
          <cell r="E311" t="str">
            <v>DAHF</v>
          </cell>
          <cell r="F311" t="str">
            <v>SUPER SENIOR</v>
          </cell>
          <cell r="G311">
            <v>10</v>
          </cell>
          <cell r="H311">
            <v>16</v>
          </cell>
          <cell r="I311">
            <v>0</v>
          </cell>
          <cell r="J311">
            <v>16</v>
          </cell>
          <cell r="K311">
            <v>16</v>
          </cell>
          <cell r="L311">
            <v>94</v>
          </cell>
          <cell r="M311">
            <v>94</v>
          </cell>
        </row>
        <row r="312">
          <cell r="C312" t="str">
            <v>D184</v>
          </cell>
          <cell r="D312" t="str">
            <v>YASEEN</v>
          </cell>
          <cell r="E312" t="str">
            <v>FANT</v>
          </cell>
          <cell r="F312" t="str">
            <v>SUPER SENIOR</v>
          </cell>
          <cell r="G312">
            <v>10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255</v>
          </cell>
          <cell r="M312">
            <v>255</v>
          </cell>
        </row>
        <row r="313">
          <cell r="C313" t="str">
            <v>D185</v>
          </cell>
          <cell r="D313" t="str">
            <v>MAHAMMED ASHIK</v>
          </cell>
          <cell r="F313" t="str">
            <v>SUPER SENIOR</v>
          </cell>
          <cell r="G313">
            <v>10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255</v>
          </cell>
          <cell r="M313">
            <v>255</v>
          </cell>
        </row>
        <row r="314">
          <cell r="C314" t="str">
            <v>D186</v>
          </cell>
          <cell r="D314" t="str">
            <v>SALAHUDDEEN AYYOOBI KM</v>
          </cell>
          <cell r="E314" t="str">
            <v>FANT</v>
          </cell>
          <cell r="F314" t="str">
            <v>SUPER SENIOR</v>
          </cell>
          <cell r="G314">
            <v>10</v>
          </cell>
          <cell r="H314">
            <v>8</v>
          </cell>
          <cell r="I314">
            <v>0</v>
          </cell>
          <cell r="J314">
            <v>8</v>
          </cell>
          <cell r="K314">
            <v>8</v>
          </cell>
          <cell r="L314">
            <v>147</v>
          </cell>
          <cell r="M314">
            <v>147</v>
          </cell>
        </row>
        <row r="315">
          <cell r="C315" t="str">
            <v>D187</v>
          </cell>
          <cell r="D315" t="str">
            <v>ABDUL RAHMAN</v>
          </cell>
          <cell r="E315" t="str">
            <v>DAHF</v>
          </cell>
          <cell r="F315" t="str">
            <v>SUPER SENIOR</v>
          </cell>
          <cell r="G315">
            <v>10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255</v>
          </cell>
          <cell r="M315">
            <v>255</v>
          </cell>
        </row>
        <row r="316">
          <cell r="C316" t="str">
            <v>D188</v>
          </cell>
          <cell r="D316" t="str">
            <v>AHMED MANHAL HUSSAIN</v>
          </cell>
          <cell r="E316" t="str">
            <v>FANT</v>
          </cell>
          <cell r="F316" t="str">
            <v>SUPER SENIOR</v>
          </cell>
          <cell r="G316">
            <v>10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255</v>
          </cell>
          <cell r="M316">
            <v>255</v>
          </cell>
        </row>
        <row r="317">
          <cell r="C317" t="str">
            <v>D189</v>
          </cell>
          <cell r="D317" t="str">
            <v>ASGAR ALI</v>
          </cell>
          <cell r="E317" t="str">
            <v>BADF</v>
          </cell>
          <cell r="F317" t="str">
            <v>SUPER SENIOR</v>
          </cell>
          <cell r="G317">
            <v>10</v>
          </cell>
          <cell r="H317">
            <v>4</v>
          </cell>
          <cell r="I317">
            <v>0</v>
          </cell>
          <cell r="J317">
            <v>4</v>
          </cell>
          <cell r="K317">
            <v>4</v>
          </cell>
          <cell r="L317">
            <v>197</v>
          </cell>
          <cell r="M317">
            <v>197</v>
          </cell>
        </row>
        <row r="318">
          <cell r="C318" t="str">
            <v>D190</v>
          </cell>
          <cell r="D318" t="str">
            <v>MOHAMMED AMEEN B.A</v>
          </cell>
          <cell r="E318" t="str">
            <v>BADF</v>
          </cell>
          <cell r="F318" t="str">
            <v>SUPER SENIOR</v>
          </cell>
          <cell r="G318">
            <v>10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255</v>
          </cell>
          <cell r="M318">
            <v>255</v>
          </cell>
        </row>
        <row r="319">
          <cell r="C319" t="str">
            <v>D191</v>
          </cell>
          <cell r="D319" t="str">
            <v>THAMJEED TM</v>
          </cell>
          <cell r="E319" t="str">
            <v>JARF</v>
          </cell>
          <cell r="F319" t="str">
            <v>SUPER SENIOR</v>
          </cell>
          <cell r="G319">
            <v>10</v>
          </cell>
          <cell r="H319">
            <v>6</v>
          </cell>
          <cell r="I319">
            <v>0</v>
          </cell>
          <cell r="J319">
            <v>6</v>
          </cell>
          <cell r="K319">
            <v>6</v>
          </cell>
          <cell r="L319">
            <v>171</v>
          </cell>
          <cell r="M319">
            <v>171</v>
          </cell>
        </row>
        <row r="320">
          <cell r="C320" t="str">
            <v>D192</v>
          </cell>
          <cell r="D320" t="str">
            <v>MUHAMMED SIFARATH T A</v>
          </cell>
          <cell r="E320" t="str">
            <v>DAHF</v>
          </cell>
          <cell r="F320" t="str">
            <v>SUPER SENIOR</v>
          </cell>
          <cell r="G320">
            <v>10</v>
          </cell>
          <cell r="H320">
            <v>3</v>
          </cell>
          <cell r="I320">
            <v>0</v>
          </cell>
          <cell r="J320">
            <v>3</v>
          </cell>
          <cell r="K320">
            <v>3</v>
          </cell>
          <cell r="L320">
            <v>209</v>
          </cell>
          <cell r="M320">
            <v>209</v>
          </cell>
        </row>
        <row r="321">
          <cell r="C321" t="str">
            <v>D193</v>
          </cell>
          <cell r="D321" t="str">
            <v>MUHAMMED ABDUL GHANI M.A</v>
          </cell>
          <cell r="E321" t="str">
            <v>JARF</v>
          </cell>
          <cell r="F321" t="str">
            <v>SUPER SENIOR</v>
          </cell>
          <cell r="G321">
            <v>10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255</v>
          </cell>
          <cell r="M321">
            <v>255</v>
          </cell>
        </row>
        <row r="322">
          <cell r="C322" t="str">
            <v>D194</v>
          </cell>
          <cell r="D322" t="str">
            <v>AYAZ RAHMAN T</v>
          </cell>
          <cell r="E322" t="str">
            <v>JARF</v>
          </cell>
          <cell r="F322" t="str">
            <v>SUPER SENIOR</v>
          </cell>
          <cell r="G322">
            <v>10</v>
          </cell>
          <cell r="H322">
            <v>58</v>
          </cell>
          <cell r="I322">
            <v>0</v>
          </cell>
          <cell r="J322">
            <v>58</v>
          </cell>
          <cell r="K322">
            <v>58</v>
          </cell>
          <cell r="L322">
            <v>6</v>
          </cell>
          <cell r="M322">
            <v>6</v>
          </cell>
        </row>
        <row r="323">
          <cell r="C323" t="str">
            <v>D195</v>
          </cell>
          <cell r="D323" t="str">
            <v>AHMED SWALAHUDHEEN PI</v>
          </cell>
          <cell r="E323" t="str">
            <v>BADF</v>
          </cell>
          <cell r="F323" t="str">
            <v>SUPER SENIOR</v>
          </cell>
          <cell r="G323">
            <v>10</v>
          </cell>
          <cell r="H323">
            <v>36</v>
          </cell>
          <cell r="I323">
            <v>0</v>
          </cell>
          <cell r="J323">
            <v>36</v>
          </cell>
          <cell r="K323">
            <v>36</v>
          </cell>
          <cell r="L323">
            <v>31</v>
          </cell>
          <cell r="M323">
            <v>31</v>
          </cell>
        </row>
        <row r="324">
          <cell r="C324" t="str">
            <v>D196</v>
          </cell>
          <cell r="D324" t="str">
            <v>ABDUL VAJID K</v>
          </cell>
          <cell r="E324" t="str">
            <v>DAHF</v>
          </cell>
          <cell r="F324" t="str">
            <v>SUPER SENIOR</v>
          </cell>
          <cell r="G324">
            <v>10</v>
          </cell>
          <cell r="H324">
            <v>18</v>
          </cell>
          <cell r="I324">
            <v>0</v>
          </cell>
          <cell r="J324">
            <v>18</v>
          </cell>
          <cell r="K324">
            <v>18</v>
          </cell>
          <cell r="L324">
            <v>81</v>
          </cell>
          <cell r="M324">
            <v>81</v>
          </cell>
        </row>
        <row r="325">
          <cell r="C325" t="str">
            <v>D197</v>
          </cell>
          <cell r="D325" t="str">
            <v>MUHAMMED ASHFAK K</v>
          </cell>
          <cell r="E325" t="str">
            <v>DAHF</v>
          </cell>
          <cell r="F325" t="str">
            <v>SUPER SENIOR</v>
          </cell>
          <cell r="G325">
            <v>10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255</v>
          </cell>
          <cell r="M325">
            <v>255</v>
          </cell>
        </row>
        <row r="326">
          <cell r="C326" t="str">
            <v>D198</v>
          </cell>
          <cell r="D326" t="str">
            <v>MUHAMMED SAFWAN</v>
          </cell>
          <cell r="E326" t="str">
            <v>FANT</v>
          </cell>
          <cell r="F326" t="str">
            <v>SUPER SENIOR</v>
          </cell>
          <cell r="G326">
            <v>10</v>
          </cell>
          <cell r="H326">
            <v>7</v>
          </cell>
          <cell r="I326">
            <v>0</v>
          </cell>
          <cell r="J326">
            <v>7</v>
          </cell>
          <cell r="K326">
            <v>7</v>
          </cell>
          <cell r="L326">
            <v>167</v>
          </cell>
          <cell r="M326">
            <v>167</v>
          </cell>
        </row>
        <row r="327">
          <cell r="C327" t="str">
            <v>D199</v>
          </cell>
          <cell r="D327" t="str">
            <v>Simsarul Haq VPM</v>
          </cell>
          <cell r="E327" t="str">
            <v>BADF</v>
          </cell>
          <cell r="F327" t="str">
            <v>SUPER SENIOR</v>
          </cell>
          <cell r="G327">
            <v>10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255</v>
          </cell>
          <cell r="M327">
            <v>255</v>
          </cell>
        </row>
        <row r="328"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>
            <v>255</v>
          </cell>
          <cell r="M328" t="str">
            <v/>
          </cell>
        </row>
        <row r="329"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>
            <v>255</v>
          </cell>
          <cell r="M329" t="str">
            <v/>
          </cell>
        </row>
        <row r="330"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>
            <v>255</v>
          </cell>
          <cell r="M330" t="str">
            <v/>
          </cell>
        </row>
        <row r="331"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>
            <v>255</v>
          </cell>
          <cell r="M331" t="str">
            <v/>
          </cell>
        </row>
        <row r="332"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>
            <v>255</v>
          </cell>
          <cell r="M332" t="str">
            <v/>
          </cell>
        </row>
        <row r="333"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>
            <v>255</v>
          </cell>
          <cell r="M333" t="str">
            <v/>
          </cell>
        </row>
        <row r="334"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>
            <v>255</v>
          </cell>
          <cell r="M334" t="str">
            <v/>
          </cell>
        </row>
        <row r="335"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>
            <v>255</v>
          </cell>
          <cell r="M335" t="str">
            <v/>
          </cell>
        </row>
        <row r="336"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>
            <v>255</v>
          </cell>
          <cell r="M336" t="str">
            <v/>
          </cell>
        </row>
        <row r="337"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>
            <v>255</v>
          </cell>
          <cell r="M337" t="str">
            <v/>
          </cell>
        </row>
        <row r="338"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>
            <v>255</v>
          </cell>
          <cell r="M338" t="str">
            <v/>
          </cell>
        </row>
        <row r="339"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>
            <v>255</v>
          </cell>
          <cell r="M339" t="str">
            <v/>
          </cell>
        </row>
        <row r="340"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>
            <v>255</v>
          </cell>
          <cell r="M340" t="str">
            <v/>
          </cell>
        </row>
        <row r="341"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>
            <v>255</v>
          </cell>
          <cell r="M341" t="str">
            <v/>
          </cell>
        </row>
        <row r="342"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>
            <v>255</v>
          </cell>
          <cell r="M342" t="str">
            <v/>
          </cell>
        </row>
        <row r="343"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>
            <v>255</v>
          </cell>
          <cell r="M343" t="str">
            <v/>
          </cell>
        </row>
        <row r="344"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>
            <v>255</v>
          </cell>
          <cell r="M344" t="str">
            <v/>
          </cell>
        </row>
        <row r="345"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>
            <v>255</v>
          </cell>
          <cell r="M345" t="str">
            <v/>
          </cell>
        </row>
        <row r="346"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>
            <v>255</v>
          </cell>
          <cell r="M346" t="str">
            <v/>
          </cell>
        </row>
        <row r="347"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>
            <v>255</v>
          </cell>
          <cell r="M347" t="str">
            <v/>
          </cell>
        </row>
        <row r="348"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>
            <v>255</v>
          </cell>
          <cell r="M348" t="str">
            <v/>
          </cell>
        </row>
        <row r="349"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>
            <v>255</v>
          </cell>
          <cell r="M349" t="str">
            <v/>
          </cell>
        </row>
        <row r="350"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>
            <v>255</v>
          </cell>
          <cell r="M350" t="str">
            <v/>
          </cell>
        </row>
        <row r="351"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>
            <v>255</v>
          </cell>
          <cell r="M351" t="str">
            <v/>
          </cell>
        </row>
        <row r="352"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>
            <v>255</v>
          </cell>
          <cell r="M352" t="str">
            <v/>
          </cell>
        </row>
        <row r="353"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>
            <v>255</v>
          </cell>
          <cell r="M353" t="str">
            <v/>
          </cell>
        </row>
        <row r="354"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>
            <v>255</v>
          </cell>
          <cell r="M354" t="str">
            <v/>
          </cell>
        </row>
        <row r="355"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>
            <v>255</v>
          </cell>
          <cell r="M355" t="str">
            <v/>
          </cell>
        </row>
        <row r="356"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>
            <v>255</v>
          </cell>
          <cell r="M356" t="str">
            <v/>
          </cell>
        </row>
        <row r="357"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>
            <v>255</v>
          </cell>
          <cell r="M357" t="str">
            <v/>
          </cell>
        </row>
        <row r="358"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>
            <v>255</v>
          </cell>
          <cell r="M358" t="str">
            <v/>
          </cell>
        </row>
        <row r="359"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>
            <v>255</v>
          </cell>
          <cell r="M359" t="str">
            <v/>
          </cell>
        </row>
        <row r="360"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>
            <v>255</v>
          </cell>
          <cell r="M360" t="str">
            <v/>
          </cell>
        </row>
        <row r="361"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>
            <v>255</v>
          </cell>
          <cell r="M361" t="str">
            <v/>
          </cell>
        </row>
        <row r="362"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>
            <v>255</v>
          </cell>
          <cell r="M362" t="str">
            <v/>
          </cell>
        </row>
        <row r="363"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>
            <v>255</v>
          </cell>
          <cell r="M363" t="str">
            <v/>
          </cell>
        </row>
        <row r="364"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>
            <v>255</v>
          </cell>
          <cell r="M364" t="str">
            <v/>
          </cell>
        </row>
        <row r="365"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>
            <v>255</v>
          </cell>
          <cell r="M365" t="str">
            <v/>
          </cell>
        </row>
        <row r="366"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>
            <v>255</v>
          </cell>
          <cell r="M366" t="str">
            <v/>
          </cell>
        </row>
        <row r="367"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>
            <v>255</v>
          </cell>
          <cell r="M367" t="str">
            <v/>
          </cell>
        </row>
        <row r="368"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>
            <v>255</v>
          </cell>
          <cell r="M368" t="str">
            <v/>
          </cell>
        </row>
        <row r="369"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>
            <v>255</v>
          </cell>
          <cell r="M369" t="str">
            <v/>
          </cell>
        </row>
        <row r="370"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>
            <v>255</v>
          </cell>
          <cell r="M370" t="str">
            <v/>
          </cell>
        </row>
        <row r="371"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>
            <v>255</v>
          </cell>
          <cell r="M371" t="str">
            <v/>
          </cell>
        </row>
        <row r="372"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>
            <v>255</v>
          </cell>
          <cell r="M372" t="str">
            <v/>
          </cell>
        </row>
        <row r="373"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>
            <v>255</v>
          </cell>
          <cell r="M373" t="str">
            <v/>
          </cell>
        </row>
        <row r="374"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>
            <v>255</v>
          </cell>
          <cell r="M374" t="str">
            <v/>
          </cell>
        </row>
        <row r="375"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>
            <v>255</v>
          </cell>
          <cell r="M375" t="str">
            <v/>
          </cell>
        </row>
        <row r="376">
          <cell r="H376">
            <v>0</v>
          </cell>
          <cell r="I376">
            <v>0</v>
          </cell>
          <cell r="J376">
            <v>0</v>
          </cell>
          <cell r="K376" t="str">
            <v/>
          </cell>
          <cell r="L376">
            <v>255</v>
          </cell>
          <cell r="M376" t="str">
            <v/>
          </cell>
        </row>
        <row r="377">
          <cell r="H377">
            <v>0</v>
          </cell>
          <cell r="I377">
            <v>0</v>
          </cell>
          <cell r="J377">
            <v>0</v>
          </cell>
          <cell r="K377" t="str">
            <v/>
          </cell>
          <cell r="L377">
            <v>255</v>
          </cell>
          <cell r="M377" t="str">
            <v/>
          </cell>
        </row>
        <row r="378">
          <cell r="H378">
            <v>0</v>
          </cell>
          <cell r="I378">
            <v>0</v>
          </cell>
          <cell r="J378">
            <v>0</v>
          </cell>
          <cell r="K378" t="str">
            <v/>
          </cell>
          <cell r="L378">
            <v>255</v>
          </cell>
          <cell r="M378" t="str">
            <v/>
          </cell>
        </row>
        <row r="379">
          <cell r="H379">
            <v>0</v>
          </cell>
          <cell r="I379">
            <v>0</v>
          </cell>
          <cell r="J379">
            <v>0</v>
          </cell>
          <cell r="K379" t="str">
            <v/>
          </cell>
          <cell r="L379">
            <v>255</v>
          </cell>
          <cell r="M379" t="str">
            <v/>
          </cell>
        </row>
        <row r="380">
          <cell r="H380">
            <v>0</v>
          </cell>
          <cell r="I380">
            <v>0</v>
          </cell>
          <cell r="J380">
            <v>0</v>
          </cell>
          <cell r="K380" t="str">
            <v/>
          </cell>
          <cell r="L380">
            <v>255</v>
          </cell>
          <cell r="M380" t="str">
            <v/>
          </cell>
        </row>
        <row r="381">
          <cell r="H381">
            <v>0</v>
          </cell>
          <cell r="I381">
            <v>0</v>
          </cell>
          <cell r="J381">
            <v>0</v>
          </cell>
          <cell r="K381" t="str">
            <v/>
          </cell>
          <cell r="L381">
            <v>255</v>
          </cell>
          <cell r="M381" t="str">
            <v/>
          </cell>
        </row>
        <row r="382">
          <cell r="H382">
            <v>0</v>
          </cell>
          <cell r="I382">
            <v>0</v>
          </cell>
          <cell r="J382">
            <v>0</v>
          </cell>
          <cell r="K382" t="str">
            <v/>
          </cell>
          <cell r="L382">
            <v>255</v>
          </cell>
          <cell r="M382" t="str">
            <v/>
          </cell>
        </row>
        <row r="383">
          <cell r="H383">
            <v>0</v>
          </cell>
          <cell r="I383">
            <v>0</v>
          </cell>
          <cell r="J383">
            <v>0</v>
          </cell>
          <cell r="K383" t="str">
            <v/>
          </cell>
          <cell r="L383">
            <v>255</v>
          </cell>
          <cell r="M383" t="str">
            <v/>
          </cell>
        </row>
        <row r="384">
          <cell r="H384">
            <v>0</v>
          </cell>
          <cell r="I384">
            <v>0</v>
          </cell>
          <cell r="J384">
            <v>0</v>
          </cell>
          <cell r="K384" t="str">
            <v/>
          </cell>
          <cell r="L384">
            <v>255</v>
          </cell>
          <cell r="M384" t="str">
            <v/>
          </cell>
        </row>
        <row r="385">
          <cell r="H385">
            <v>0</v>
          </cell>
          <cell r="I385">
            <v>0</v>
          </cell>
          <cell r="J385">
            <v>0</v>
          </cell>
          <cell r="K385" t="str">
            <v/>
          </cell>
          <cell r="L385">
            <v>255</v>
          </cell>
          <cell r="M385" t="str">
            <v/>
          </cell>
        </row>
        <row r="386">
          <cell r="H386">
            <v>0</v>
          </cell>
          <cell r="I386">
            <v>0</v>
          </cell>
          <cell r="J386">
            <v>0</v>
          </cell>
          <cell r="K386" t="str">
            <v/>
          </cell>
          <cell r="L386">
            <v>255</v>
          </cell>
          <cell r="M386" t="str">
            <v/>
          </cell>
        </row>
        <row r="387">
          <cell r="H387">
            <v>0</v>
          </cell>
          <cell r="I387">
            <v>0</v>
          </cell>
          <cell r="J387">
            <v>0</v>
          </cell>
          <cell r="K387" t="str">
            <v/>
          </cell>
          <cell r="L387">
            <v>255</v>
          </cell>
          <cell r="M387" t="str">
            <v/>
          </cell>
        </row>
        <row r="388">
          <cell r="H388">
            <v>0</v>
          </cell>
          <cell r="I388">
            <v>0</v>
          </cell>
          <cell r="J388">
            <v>0</v>
          </cell>
          <cell r="K388" t="str">
            <v/>
          </cell>
          <cell r="L388">
            <v>255</v>
          </cell>
          <cell r="M388" t="str">
            <v/>
          </cell>
        </row>
        <row r="389">
          <cell r="H389">
            <v>0</v>
          </cell>
          <cell r="I389">
            <v>0</v>
          </cell>
          <cell r="J389">
            <v>0</v>
          </cell>
          <cell r="K389" t="str">
            <v/>
          </cell>
          <cell r="L389">
            <v>255</v>
          </cell>
          <cell r="M389" t="str">
            <v/>
          </cell>
        </row>
        <row r="390">
          <cell r="H390">
            <v>0</v>
          </cell>
          <cell r="I390">
            <v>0</v>
          </cell>
          <cell r="J390">
            <v>0</v>
          </cell>
          <cell r="K390" t="str">
            <v/>
          </cell>
          <cell r="L390">
            <v>255</v>
          </cell>
          <cell r="M390" t="str">
            <v/>
          </cell>
        </row>
        <row r="391">
          <cell r="H391">
            <v>0</v>
          </cell>
          <cell r="I391">
            <v>0</v>
          </cell>
          <cell r="J391">
            <v>0</v>
          </cell>
          <cell r="K391" t="str">
            <v/>
          </cell>
          <cell r="L391">
            <v>255</v>
          </cell>
          <cell r="M391" t="str">
            <v/>
          </cell>
        </row>
        <row r="392">
          <cell r="H392">
            <v>0</v>
          </cell>
          <cell r="I392">
            <v>0</v>
          </cell>
          <cell r="J392">
            <v>0</v>
          </cell>
          <cell r="K392" t="str">
            <v/>
          </cell>
          <cell r="L392">
            <v>255</v>
          </cell>
          <cell r="M392" t="str">
            <v/>
          </cell>
        </row>
        <row r="393">
          <cell r="H393">
            <v>0</v>
          </cell>
          <cell r="I393">
            <v>0</v>
          </cell>
          <cell r="J393">
            <v>0</v>
          </cell>
          <cell r="K393" t="str">
            <v/>
          </cell>
          <cell r="L393">
            <v>255</v>
          </cell>
          <cell r="M393" t="str">
            <v/>
          </cell>
        </row>
        <row r="394">
          <cell r="H394">
            <v>0</v>
          </cell>
          <cell r="I394">
            <v>0</v>
          </cell>
          <cell r="J394">
            <v>0</v>
          </cell>
          <cell r="K394" t="str">
            <v/>
          </cell>
          <cell r="L394">
            <v>255</v>
          </cell>
          <cell r="M394" t="str">
            <v/>
          </cell>
        </row>
        <row r="395">
          <cell r="H395">
            <v>0</v>
          </cell>
          <cell r="I395">
            <v>0</v>
          </cell>
          <cell r="J395">
            <v>0</v>
          </cell>
          <cell r="K395" t="str">
            <v/>
          </cell>
          <cell r="L395">
            <v>255</v>
          </cell>
          <cell r="M395" t="str">
            <v/>
          </cell>
        </row>
        <row r="396">
          <cell r="H396">
            <v>0</v>
          </cell>
          <cell r="I396">
            <v>0</v>
          </cell>
          <cell r="J396">
            <v>0</v>
          </cell>
          <cell r="K396" t="str">
            <v/>
          </cell>
          <cell r="L396">
            <v>255</v>
          </cell>
          <cell r="M396" t="str">
            <v/>
          </cell>
        </row>
        <row r="397">
          <cell r="H397">
            <v>0</v>
          </cell>
          <cell r="I397">
            <v>0</v>
          </cell>
          <cell r="J397">
            <v>0</v>
          </cell>
          <cell r="K397" t="str">
            <v/>
          </cell>
          <cell r="L397">
            <v>255</v>
          </cell>
          <cell r="M397" t="str">
            <v/>
          </cell>
        </row>
        <row r="398">
          <cell r="H398">
            <v>0</v>
          </cell>
          <cell r="I398">
            <v>0</v>
          </cell>
          <cell r="J398">
            <v>0</v>
          </cell>
          <cell r="K398" t="str">
            <v/>
          </cell>
          <cell r="L398">
            <v>255</v>
          </cell>
          <cell r="M398" t="str">
            <v/>
          </cell>
        </row>
        <row r="399">
          <cell r="H399">
            <v>0</v>
          </cell>
          <cell r="I399">
            <v>0</v>
          </cell>
          <cell r="J399">
            <v>0</v>
          </cell>
          <cell r="K399" t="str">
            <v/>
          </cell>
          <cell r="L399">
            <v>255</v>
          </cell>
          <cell r="M399" t="str">
            <v/>
          </cell>
        </row>
        <row r="400">
          <cell r="H400">
            <v>0</v>
          </cell>
          <cell r="I400">
            <v>0</v>
          </cell>
          <cell r="J400">
            <v>0</v>
          </cell>
          <cell r="K400" t="str">
            <v/>
          </cell>
          <cell r="L400">
            <v>255</v>
          </cell>
          <cell r="M400" t="str">
            <v/>
          </cell>
        </row>
        <row r="401">
          <cell r="H401">
            <v>0</v>
          </cell>
          <cell r="I401">
            <v>0</v>
          </cell>
          <cell r="J401">
            <v>0</v>
          </cell>
          <cell r="K401" t="str">
            <v/>
          </cell>
          <cell r="L401">
            <v>255</v>
          </cell>
          <cell r="M401" t="str">
            <v/>
          </cell>
        </row>
        <row r="402">
          <cell r="H402">
            <v>0</v>
          </cell>
          <cell r="I402">
            <v>0</v>
          </cell>
          <cell r="J402">
            <v>0</v>
          </cell>
          <cell r="K402" t="str">
            <v/>
          </cell>
          <cell r="L402">
            <v>255</v>
          </cell>
          <cell r="M402" t="str">
            <v/>
          </cell>
        </row>
        <row r="403">
          <cell r="H403">
            <v>0</v>
          </cell>
          <cell r="I403">
            <v>0</v>
          </cell>
          <cell r="J403">
            <v>0</v>
          </cell>
          <cell r="K403" t="str">
            <v/>
          </cell>
          <cell r="L403">
            <v>255</v>
          </cell>
          <cell r="M403" t="str">
            <v/>
          </cell>
        </row>
        <row r="404">
          <cell r="H404">
            <v>0</v>
          </cell>
          <cell r="I404">
            <v>0</v>
          </cell>
          <cell r="J404">
            <v>0</v>
          </cell>
          <cell r="K404" t="str">
            <v/>
          </cell>
          <cell r="L404">
            <v>255</v>
          </cell>
          <cell r="M404" t="str">
            <v/>
          </cell>
        </row>
        <row r="405">
          <cell r="H405">
            <v>0</v>
          </cell>
          <cell r="I405">
            <v>0</v>
          </cell>
          <cell r="J405">
            <v>0</v>
          </cell>
          <cell r="K405" t="str">
            <v/>
          </cell>
          <cell r="L405">
            <v>255</v>
          </cell>
          <cell r="M405" t="str">
            <v/>
          </cell>
        </row>
        <row r="406">
          <cell r="H406">
            <v>0</v>
          </cell>
          <cell r="I406">
            <v>0</v>
          </cell>
          <cell r="J406">
            <v>0</v>
          </cell>
          <cell r="K406" t="str">
            <v/>
          </cell>
          <cell r="L406">
            <v>255</v>
          </cell>
          <cell r="M406" t="str">
            <v/>
          </cell>
        </row>
        <row r="407">
          <cell r="H407">
            <v>0</v>
          </cell>
          <cell r="I407">
            <v>0</v>
          </cell>
          <cell r="J407">
            <v>0</v>
          </cell>
          <cell r="K407" t="str">
            <v/>
          </cell>
          <cell r="L407">
            <v>255</v>
          </cell>
          <cell r="M407" t="str">
            <v/>
          </cell>
        </row>
        <row r="408">
          <cell r="H408">
            <v>0</v>
          </cell>
          <cell r="I408">
            <v>0</v>
          </cell>
          <cell r="J408">
            <v>0</v>
          </cell>
          <cell r="K408" t="str">
            <v/>
          </cell>
          <cell r="L408">
            <v>255</v>
          </cell>
          <cell r="M408" t="str">
            <v/>
          </cell>
        </row>
        <row r="409">
          <cell r="H409">
            <v>0</v>
          </cell>
          <cell r="I409">
            <v>0</v>
          </cell>
          <cell r="J409">
            <v>0</v>
          </cell>
          <cell r="K409" t="str">
            <v/>
          </cell>
          <cell r="L409">
            <v>255</v>
          </cell>
          <cell r="M409" t="str">
            <v/>
          </cell>
        </row>
        <row r="410">
          <cell r="H410">
            <v>0</v>
          </cell>
          <cell r="I410">
            <v>0</v>
          </cell>
          <cell r="J410">
            <v>0</v>
          </cell>
          <cell r="K410" t="str">
            <v/>
          </cell>
          <cell r="L410">
            <v>255</v>
          </cell>
          <cell r="M410" t="str">
            <v/>
          </cell>
        </row>
        <row r="411">
          <cell r="H411">
            <v>0</v>
          </cell>
          <cell r="I411">
            <v>0</v>
          </cell>
          <cell r="J411">
            <v>0</v>
          </cell>
          <cell r="K411" t="str">
            <v/>
          </cell>
          <cell r="L411">
            <v>255</v>
          </cell>
          <cell r="M411" t="str">
            <v/>
          </cell>
        </row>
        <row r="412">
          <cell r="H412">
            <v>0</v>
          </cell>
          <cell r="I412">
            <v>0</v>
          </cell>
          <cell r="J412">
            <v>0</v>
          </cell>
          <cell r="K412" t="str">
            <v/>
          </cell>
          <cell r="L412">
            <v>255</v>
          </cell>
          <cell r="M412" t="str">
            <v/>
          </cell>
        </row>
        <row r="413">
          <cell r="H413">
            <v>0</v>
          </cell>
          <cell r="I413">
            <v>0</v>
          </cell>
          <cell r="J413">
            <v>0</v>
          </cell>
          <cell r="K413" t="str">
            <v/>
          </cell>
          <cell r="L413">
            <v>255</v>
          </cell>
          <cell r="M413" t="str">
            <v/>
          </cell>
        </row>
        <row r="414">
          <cell r="H414">
            <v>0</v>
          </cell>
          <cell r="I414">
            <v>0</v>
          </cell>
          <cell r="J414">
            <v>0</v>
          </cell>
          <cell r="K414" t="str">
            <v/>
          </cell>
          <cell r="L414">
            <v>255</v>
          </cell>
          <cell r="M414" t="str">
            <v/>
          </cell>
        </row>
        <row r="415">
          <cell r="H415">
            <v>0</v>
          </cell>
          <cell r="I415">
            <v>0</v>
          </cell>
          <cell r="J415">
            <v>0</v>
          </cell>
          <cell r="K415" t="str">
            <v/>
          </cell>
          <cell r="L415">
            <v>255</v>
          </cell>
          <cell r="M415" t="str">
            <v/>
          </cell>
        </row>
        <row r="416">
          <cell r="H416">
            <v>0</v>
          </cell>
          <cell r="I416">
            <v>0</v>
          </cell>
          <cell r="J416">
            <v>0</v>
          </cell>
          <cell r="K416" t="str">
            <v/>
          </cell>
          <cell r="L416">
            <v>255</v>
          </cell>
          <cell r="M416" t="str">
            <v/>
          </cell>
        </row>
        <row r="417">
          <cell r="H417">
            <v>0</v>
          </cell>
          <cell r="I417">
            <v>0</v>
          </cell>
          <cell r="J417">
            <v>0</v>
          </cell>
          <cell r="K417" t="str">
            <v/>
          </cell>
          <cell r="L417">
            <v>255</v>
          </cell>
          <cell r="M417" t="str">
            <v/>
          </cell>
        </row>
        <row r="418">
          <cell r="H418">
            <v>0</v>
          </cell>
          <cell r="I418">
            <v>0</v>
          </cell>
          <cell r="J418">
            <v>0</v>
          </cell>
          <cell r="K418" t="str">
            <v/>
          </cell>
          <cell r="L418">
            <v>255</v>
          </cell>
          <cell r="M418" t="str">
            <v/>
          </cell>
        </row>
        <row r="419">
          <cell r="H419">
            <v>0</v>
          </cell>
          <cell r="I419">
            <v>0</v>
          </cell>
          <cell r="J419">
            <v>0</v>
          </cell>
          <cell r="K419" t="str">
            <v/>
          </cell>
          <cell r="L419">
            <v>255</v>
          </cell>
          <cell r="M419" t="str">
            <v/>
          </cell>
        </row>
        <row r="420">
          <cell r="H420">
            <v>0</v>
          </cell>
          <cell r="I420">
            <v>0</v>
          </cell>
          <cell r="J420">
            <v>0</v>
          </cell>
          <cell r="K420" t="str">
            <v/>
          </cell>
          <cell r="L420">
            <v>255</v>
          </cell>
          <cell r="M420" t="str">
            <v/>
          </cell>
        </row>
        <row r="421">
          <cell r="H421">
            <v>0</v>
          </cell>
          <cell r="I421">
            <v>0</v>
          </cell>
          <cell r="J421">
            <v>0</v>
          </cell>
          <cell r="K421" t="str">
            <v/>
          </cell>
          <cell r="L421">
            <v>255</v>
          </cell>
          <cell r="M421" t="str">
            <v/>
          </cell>
        </row>
        <row r="422">
          <cell r="H422">
            <v>0</v>
          </cell>
          <cell r="I422">
            <v>0</v>
          </cell>
          <cell r="J422">
            <v>0</v>
          </cell>
          <cell r="K422" t="str">
            <v/>
          </cell>
          <cell r="L422">
            <v>255</v>
          </cell>
          <cell r="M422" t="str">
            <v/>
          </cell>
        </row>
        <row r="423">
          <cell r="H423">
            <v>0</v>
          </cell>
          <cell r="I423">
            <v>0</v>
          </cell>
          <cell r="J423">
            <v>0</v>
          </cell>
          <cell r="K423" t="str">
            <v/>
          </cell>
          <cell r="L423">
            <v>255</v>
          </cell>
          <cell r="M423" t="str">
            <v/>
          </cell>
        </row>
        <row r="424">
          <cell r="H424">
            <v>0</v>
          </cell>
          <cell r="I424">
            <v>0</v>
          </cell>
          <cell r="J424">
            <v>0</v>
          </cell>
          <cell r="K424" t="str">
            <v/>
          </cell>
          <cell r="L424">
            <v>255</v>
          </cell>
          <cell r="M424" t="str">
            <v/>
          </cell>
        </row>
        <row r="425">
          <cell r="H425">
            <v>0</v>
          </cell>
          <cell r="I425">
            <v>0</v>
          </cell>
          <cell r="J425">
            <v>0</v>
          </cell>
          <cell r="K425" t="str">
            <v/>
          </cell>
          <cell r="L425">
            <v>255</v>
          </cell>
          <cell r="M425" t="str">
            <v/>
          </cell>
        </row>
        <row r="426">
          <cell r="H426">
            <v>0</v>
          </cell>
          <cell r="I426">
            <v>0</v>
          </cell>
          <cell r="J426">
            <v>0</v>
          </cell>
          <cell r="K426" t="str">
            <v/>
          </cell>
          <cell r="L426">
            <v>255</v>
          </cell>
          <cell r="M426" t="str">
            <v/>
          </cell>
        </row>
        <row r="427">
          <cell r="H427">
            <v>0</v>
          </cell>
          <cell r="I427">
            <v>0</v>
          </cell>
          <cell r="J427">
            <v>0</v>
          </cell>
          <cell r="K427" t="str">
            <v/>
          </cell>
          <cell r="L427">
            <v>255</v>
          </cell>
          <cell r="M427" t="str">
            <v/>
          </cell>
        </row>
        <row r="428">
          <cell r="H428">
            <v>0</v>
          </cell>
          <cell r="I428">
            <v>0</v>
          </cell>
          <cell r="J428">
            <v>0</v>
          </cell>
          <cell r="K428" t="str">
            <v/>
          </cell>
          <cell r="L428">
            <v>255</v>
          </cell>
          <cell r="M428" t="str">
            <v/>
          </cell>
        </row>
        <row r="429">
          <cell r="H429">
            <v>0</v>
          </cell>
          <cell r="I429">
            <v>0</v>
          </cell>
          <cell r="J429">
            <v>0</v>
          </cell>
          <cell r="K429" t="str">
            <v/>
          </cell>
          <cell r="L429">
            <v>255</v>
          </cell>
          <cell r="M429" t="str">
            <v/>
          </cell>
        </row>
        <row r="430">
          <cell r="H430">
            <v>0</v>
          </cell>
          <cell r="I430">
            <v>0</v>
          </cell>
          <cell r="J430">
            <v>0</v>
          </cell>
          <cell r="K430" t="str">
            <v/>
          </cell>
          <cell r="L430">
            <v>255</v>
          </cell>
          <cell r="M430" t="str">
            <v/>
          </cell>
        </row>
        <row r="431">
          <cell r="H431">
            <v>0</v>
          </cell>
          <cell r="I431">
            <v>0</v>
          </cell>
          <cell r="J431">
            <v>0</v>
          </cell>
          <cell r="K431" t="str">
            <v/>
          </cell>
          <cell r="L431">
            <v>255</v>
          </cell>
          <cell r="M431" t="str">
            <v/>
          </cell>
        </row>
        <row r="432">
          <cell r="H432">
            <v>0</v>
          </cell>
          <cell r="I432">
            <v>0</v>
          </cell>
          <cell r="J432">
            <v>0</v>
          </cell>
          <cell r="K432" t="str">
            <v/>
          </cell>
          <cell r="L432">
            <v>255</v>
          </cell>
          <cell r="M432" t="str">
            <v/>
          </cell>
        </row>
        <row r="433">
          <cell r="H433">
            <v>0</v>
          </cell>
          <cell r="I433">
            <v>0</v>
          </cell>
          <cell r="J433">
            <v>0</v>
          </cell>
          <cell r="K433" t="str">
            <v/>
          </cell>
          <cell r="L433">
            <v>255</v>
          </cell>
          <cell r="M433" t="str">
            <v/>
          </cell>
        </row>
        <row r="434">
          <cell r="H434">
            <v>0</v>
          </cell>
          <cell r="I434">
            <v>0</v>
          </cell>
          <cell r="J434">
            <v>0</v>
          </cell>
          <cell r="K434" t="str">
            <v/>
          </cell>
          <cell r="L434">
            <v>255</v>
          </cell>
          <cell r="M434" t="str">
            <v/>
          </cell>
        </row>
        <row r="435">
          <cell r="H435">
            <v>0</v>
          </cell>
          <cell r="I435">
            <v>0</v>
          </cell>
          <cell r="J435">
            <v>0</v>
          </cell>
          <cell r="K435" t="str">
            <v/>
          </cell>
          <cell r="L435">
            <v>255</v>
          </cell>
          <cell r="M435" t="str">
            <v/>
          </cell>
        </row>
        <row r="436">
          <cell r="H436">
            <v>0</v>
          </cell>
          <cell r="I436">
            <v>0</v>
          </cell>
          <cell r="J436">
            <v>0</v>
          </cell>
          <cell r="K436" t="str">
            <v/>
          </cell>
          <cell r="L436">
            <v>255</v>
          </cell>
          <cell r="M436" t="str">
            <v/>
          </cell>
        </row>
        <row r="437">
          <cell r="H437">
            <v>0</v>
          </cell>
          <cell r="I437">
            <v>0</v>
          </cell>
          <cell r="J437">
            <v>0</v>
          </cell>
          <cell r="K437" t="str">
            <v/>
          </cell>
          <cell r="L437">
            <v>255</v>
          </cell>
          <cell r="M437" t="str">
            <v/>
          </cell>
        </row>
        <row r="438">
          <cell r="H438">
            <v>0</v>
          </cell>
          <cell r="I438">
            <v>0</v>
          </cell>
          <cell r="J438">
            <v>0</v>
          </cell>
          <cell r="K438" t="str">
            <v/>
          </cell>
          <cell r="L438">
            <v>255</v>
          </cell>
          <cell r="M438" t="str">
            <v/>
          </cell>
        </row>
        <row r="439">
          <cell r="H439">
            <v>0</v>
          </cell>
          <cell r="I439">
            <v>0</v>
          </cell>
          <cell r="J439">
            <v>0</v>
          </cell>
          <cell r="K439" t="str">
            <v/>
          </cell>
          <cell r="L439">
            <v>255</v>
          </cell>
          <cell r="M439" t="str">
            <v/>
          </cell>
        </row>
        <row r="440">
          <cell r="H440">
            <v>0</v>
          </cell>
          <cell r="I440">
            <v>0</v>
          </cell>
          <cell r="J440">
            <v>0</v>
          </cell>
          <cell r="K440" t="str">
            <v/>
          </cell>
          <cell r="L440">
            <v>255</v>
          </cell>
          <cell r="M440" t="str">
            <v/>
          </cell>
        </row>
        <row r="441">
          <cell r="H441">
            <v>0</v>
          </cell>
          <cell r="I441">
            <v>0</v>
          </cell>
          <cell r="J441">
            <v>0</v>
          </cell>
          <cell r="K441" t="str">
            <v/>
          </cell>
          <cell r="L441">
            <v>255</v>
          </cell>
          <cell r="M441" t="str">
            <v/>
          </cell>
        </row>
        <row r="442">
          <cell r="H442">
            <v>0</v>
          </cell>
          <cell r="I442">
            <v>0</v>
          </cell>
          <cell r="J442">
            <v>0</v>
          </cell>
          <cell r="K442" t="str">
            <v/>
          </cell>
          <cell r="L442">
            <v>255</v>
          </cell>
          <cell r="M442" t="str">
            <v/>
          </cell>
        </row>
        <row r="443">
          <cell r="H443">
            <v>0</v>
          </cell>
          <cell r="I443">
            <v>0</v>
          </cell>
          <cell r="J443">
            <v>0</v>
          </cell>
          <cell r="K443" t="str">
            <v/>
          </cell>
          <cell r="L443">
            <v>255</v>
          </cell>
          <cell r="M443" t="str">
            <v/>
          </cell>
        </row>
        <row r="444">
          <cell r="H444">
            <v>0</v>
          </cell>
          <cell r="I444">
            <v>0</v>
          </cell>
          <cell r="J444">
            <v>0</v>
          </cell>
          <cell r="K444" t="str">
            <v/>
          </cell>
          <cell r="L444">
            <v>255</v>
          </cell>
          <cell r="M444" t="str">
            <v/>
          </cell>
        </row>
        <row r="445">
          <cell r="H445">
            <v>0</v>
          </cell>
          <cell r="I445">
            <v>0</v>
          </cell>
          <cell r="J445">
            <v>0</v>
          </cell>
          <cell r="K445" t="str">
            <v/>
          </cell>
          <cell r="L445">
            <v>255</v>
          </cell>
          <cell r="M445" t="str">
            <v/>
          </cell>
        </row>
        <row r="446">
          <cell r="H446">
            <v>0</v>
          </cell>
          <cell r="I446">
            <v>0</v>
          </cell>
          <cell r="J446">
            <v>0</v>
          </cell>
          <cell r="K446" t="str">
            <v/>
          </cell>
          <cell r="L446">
            <v>255</v>
          </cell>
          <cell r="M446" t="str">
            <v/>
          </cell>
        </row>
        <row r="447">
          <cell r="H447">
            <v>0</v>
          </cell>
          <cell r="I447">
            <v>0</v>
          </cell>
          <cell r="J447">
            <v>0</v>
          </cell>
          <cell r="K447" t="str">
            <v/>
          </cell>
          <cell r="L447">
            <v>255</v>
          </cell>
          <cell r="M447" t="str">
            <v/>
          </cell>
        </row>
        <row r="448">
          <cell r="H448">
            <v>0</v>
          </cell>
          <cell r="I448">
            <v>0</v>
          </cell>
          <cell r="J448">
            <v>0</v>
          </cell>
          <cell r="K448" t="str">
            <v/>
          </cell>
          <cell r="L448">
            <v>255</v>
          </cell>
          <cell r="M448" t="str">
            <v/>
          </cell>
        </row>
        <row r="449">
          <cell r="H449">
            <v>0</v>
          </cell>
          <cell r="I449">
            <v>0</v>
          </cell>
          <cell r="J449">
            <v>0</v>
          </cell>
          <cell r="K449" t="str">
            <v/>
          </cell>
          <cell r="L449">
            <v>255</v>
          </cell>
          <cell r="M449" t="str">
            <v/>
          </cell>
        </row>
        <row r="450">
          <cell r="H450">
            <v>0</v>
          </cell>
          <cell r="I450">
            <v>0</v>
          </cell>
          <cell r="J450">
            <v>0</v>
          </cell>
          <cell r="K450" t="str">
            <v/>
          </cell>
          <cell r="L450">
            <v>255</v>
          </cell>
          <cell r="M450" t="str">
            <v/>
          </cell>
        </row>
        <row r="451">
          <cell r="H451">
            <v>0</v>
          </cell>
          <cell r="I451">
            <v>0</v>
          </cell>
          <cell r="J451">
            <v>0</v>
          </cell>
          <cell r="K451" t="str">
            <v/>
          </cell>
          <cell r="L451">
            <v>255</v>
          </cell>
          <cell r="M451" t="str">
            <v/>
          </cell>
        </row>
        <row r="452">
          <cell r="H452">
            <v>0</v>
          </cell>
          <cell r="I452">
            <v>0</v>
          </cell>
          <cell r="J452">
            <v>0</v>
          </cell>
          <cell r="K452" t="str">
            <v/>
          </cell>
          <cell r="L452">
            <v>255</v>
          </cell>
          <cell r="M452" t="str">
            <v/>
          </cell>
        </row>
        <row r="453">
          <cell r="H453">
            <v>0</v>
          </cell>
          <cell r="I453">
            <v>0</v>
          </cell>
          <cell r="J453">
            <v>0</v>
          </cell>
          <cell r="K453" t="str">
            <v/>
          </cell>
          <cell r="L453">
            <v>255</v>
          </cell>
          <cell r="M453" t="str">
            <v/>
          </cell>
        </row>
        <row r="454">
          <cell r="H454">
            <v>0</v>
          </cell>
          <cell r="I454">
            <v>0</v>
          </cell>
          <cell r="J454">
            <v>0</v>
          </cell>
          <cell r="K454" t="str">
            <v/>
          </cell>
          <cell r="L454">
            <v>255</v>
          </cell>
          <cell r="M454" t="str">
            <v/>
          </cell>
        </row>
        <row r="455">
          <cell r="H455">
            <v>0</v>
          </cell>
          <cell r="I455">
            <v>0</v>
          </cell>
          <cell r="J455">
            <v>0</v>
          </cell>
          <cell r="K455" t="str">
            <v/>
          </cell>
          <cell r="L455">
            <v>255</v>
          </cell>
          <cell r="M455" t="str">
            <v/>
          </cell>
        </row>
        <row r="456">
          <cell r="H456">
            <v>0</v>
          </cell>
          <cell r="I456">
            <v>0</v>
          </cell>
          <cell r="J456">
            <v>0</v>
          </cell>
          <cell r="K456" t="str">
            <v/>
          </cell>
          <cell r="L456">
            <v>255</v>
          </cell>
          <cell r="M456" t="str">
            <v/>
          </cell>
        </row>
        <row r="457">
          <cell r="H457">
            <v>0</v>
          </cell>
          <cell r="I457">
            <v>0</v>
          </cell>
          <cell r="J457">
            <v>0</v>
          </cell>
          <cell r="K457" t="str">
            <v/>
          </cell>
          <cell r="L457">
            <v>255</v>
          </cell>
          <cell r="M457" t="str">
            <v/>
          </cell>
        </row>
        <row r="458">
          <cell r="H458">
            <v>0</v>
          </cell>
          <cell r="I458">
            <v>0</v>
          </cell>
          <cell r="J458">
            <v>0</v>
          </cell>
          <cell r="K458" t="str">
            <v/>
          </cell>
          <cell r="L458">
            <v>255</v>
          </cell>
          <cell r="M458" t="str">
            <v/>
          </cell>
        </row>
        <row r="459">
          <cell r="H459">
            <v>0</v>
          </cell>
          <cell r="I459">
            <v>0</v>
          </cell>
          <cell r="J459">
            <v>0</v>
          </cell>
          <cell r="K459" t="str">
            <v/>
          </cell>
          <cell r="L459">
            <v>255</v>
          </cell>
          <cell r="M459" t="str">
            <v/>
          </cell>
        </row>
        <row r="460">
          <cell r="H460">
            <v>0</v>
          </cell>
          <cell r="I460">
            <v>0</v>
          </cell>
          <cell r="J460">
            <v>0</v>
          </cell>
          <cell r="K460" t="str">
            <v/>
          </cell>
          <cell r="L460">
            <v>255</v>
          </cell>
          <cell r="M460" t="str">
            <v/>
          </cell>
        </row>
        <row r="461">
          <cell r="H461">
            <v>0</v>
          </cell>
          <cell r="I461">
            <v>0</v>
          </cell>
          <cell r="J461">
            <v>0</v>
          </cell>
          <cell r="K461" t="str">
            <v/>
          </cell>
          <cell r="L461">
            <v>255</v>
          </cell>
          <cell r="M461" t="str">
            <v/>
          </cell>
        </row>
        <row r="462">
          <cell r="H462">
            <v>0</v>
          </cell>
          <cell r="I462">
            <v>0</v>
          </cell>
          <cell r="J462">
            <v>0</v>
          </cell>
          <cell r="K462" t="str">
            <v/>
          </cell>
          <cell r="L462">
            <v>255</v>
          </cell>
          <cell r="M462" t="str">
            <v/>
          </cell>
        </row>
        <row r="463">
          <cell r="H463">
            <v>0</v>
          </cell>
          <cell r="I463">
            <v>0</v>
          </cell>
          <cell r="J463">
            <v>0</v>
          </cell>
          <cell r="K463" t="str">
            <v/>
          </cell>
          <cell r="L463">
            <v>255</v>
          </cell>
          <cell r="M463" t="str">
            <v/>
          </cell>
        </row>
        <row r="464">
          <cell r="H464">
            <v>0</v>
          </cell>
          <cell r="I464">
            <v>0</v>
          </cell>
          <cell r="J464">
            <v>0</v>
          </cell>
          <cell r="K464" t="str">
            <v/>
          </cell>
          <cell r="L464">
            <v>255</v>
          </cell>
          <cell r="M464" t="str">
            <v/>
          </cell>
        </row>
        <row r="465">
          <cell r="H465">
            <v>0</v>
          </cell>
          <cell r="I465">
            <v>0</v>
          </cell>
          <cell r="J465">
            <v>0</v>
          </cell>
          <cell r="K465" t="str">
            <v/>
          </cell>
          <cell r="L465">
            <v>255</v>
          </cell>
          <cell r="M465" t="str">
            <v/>
          </cell>
        </row>
        <row r="466">
          <cell r="H466">
            <v>0</v>
          </cell>
          <cell r="I466">
            <v>0</v>
          </cell>
          <cell r="J466">
            <v>0</v>
          </cell>
          <cell r="K466" t="str">
            <v/>
          </cell>
          <cell r="L466">
            <v>255</v>
          </cell>
          <cell r="M466" t="str">
            <v/>
          </cell>
        </row>
        <row r="467">
          <cell r="H467">
            <v>0</v>
          </cell>
          <cell r="I467">
            <v>0</v>
          </cell>
          <cell r="J467">
            <v>0</v>
          </cell>
          <cell r="K467" t="str">
            <v/>
          </cell>
          <cell r="L467">
            <v>255</v>
          </cell>
          <cell r="M467" t="str">
            <v/>
          </cell>
        </row>
        <row r="468">
          <cell r="H468">
            <v>0</v>
          </cell>
          <cell r="I468">
            <v>0</v>
          </cell>
          <cell r="J468">
            <v>0</v>
          </cell>
          <cell r="K468" t="str">
            <v/>
          </cell>
          <cell r="L468">
            <v>255</v>
          </cell>
          <cell r="M468" t="str">
            <v/>
          </cell>
        </row>
        <row r="469">
          <cell r="H469">
            <v>0</v>
          </cell>
          <cell r="I469">
            <v>0</v>
          </cell>
          <cell r="J469">
            <v>0</v>
          </cell>
          <cell r="K469" t="str">
            <v/>
          </cell>
          <cell r="L469">
            <v>255</v>
          </cell>
          <cell r="M469" t="str">
            <v/>
          </cell>
        </row>
        <row r="470">
          <cell r="H470">
            <v>0</v>
          </cell>
          <cell r="I470">
            <v>0</v>
          </cell>
          <cell r="J470">
            <v>0</v>
          </cell>
          <cell r="K470" t="str">
            <v/>
          </cell>
          <cell r="L470">
            <v>255</v>
          </cell>
          <cell r="M470" t="str">
            <v/>
          </cell>
        </row>
        <row r="471">
          <cell r="H471">
            <v>0</v>
          </cell>
          <cell r="I471">
            <v>0</v>
          </cell>
          <cell r="J471">
            <v>0</v>
          </cell>
          <cell r="K471" t="str">
            <v/>
          </cell>
          <cell r="L471">
            <v>255</v>
          </cell>
          <cell r="M471" t="str">
            <v/>
          </cell>
        </row>
        <row r="472">
          <cell r="H472">
            <v>0</v>
          </cell>
          <cell r="I472">
            <v>0</v>
          </cell>
          <cell r="J472">
            <v>0</v>
          </cell>
          <cell r="K472" t="str">
            <v/>
          </cell>
          <cell r="L472">
            <v>255</v>
          </cell>
          <cell r="M472" t="str">
            <v/>
          </cell>
        </row>
        <row r="473">
          <cell r="H473">
            <v>0</v>
          </cell>
          <cell r="I473">
            <v>0</v>
          </cell>
          <cell r="J473">
            <v>0</v>
          </cell>
          <cell r="K473" t="str">
            <v/>
          </cell>
          <cell r="L473">
            <v>255</v>
          </cell>
          <cell r="M473" t="str">
            <v/>
          </cell>
        </row>
        <row r="474">
          <cell r="H474">
            <v>0</v>
          </cell>
          <cell r="I474">
            <v>0</v>
          </cell>
          <cell r="J474">
            <v>0</v>
          </cell>
          <cell r="K474" t="str">
            <v/>
          </cell>
          <cell r="L474">
            <v>255</v>
          </cell>
          <cell r="M474" t="str">
            <v/>
          </cell>
        </row>
        <row r="475">
          <cell r="H475">
            <v>0</v>
          </cell>
          <cell r="I475">
            <v>0</v>
          </cell>
          <cell r="J475">
            <v>0</v>
          </cell>
          <cell r="K475" t="str">
            <v/>
          </cell>
          <cell r="L475">
            <v>255</v>
          </cell>
          <cell r="M475" t="str">
            <v/>
          </cell>
        </row>
        <row r="476">
          <cell r="H476">
            <v>0</v>
          </cell>
          <cell r="I476">
            <v>0</v>
          </cell>
          <cell r="J476">
            <v>0</v>
          </cell>
          <cell r="K476" t="str">
            <v/>
          </cell>
          <cell r="L476">
            <v>255</v>
          </cell>
          <cell r="M476" t="str">
            <v/>
          </cell>
        </row>
        <row r="477">
          <cell r="H477">
            <v>0</v>
          </cell>
          <cell r="I477">
            <v>0</v>
          </cell>
          <cell r="J477">
            <v>0</v>
          </cell>
          <cell r="K477" t="str">
            <v/>
          </cell>
          <cell r="L477">
            <v>255</v>
          </cell>
          <cell r="M477" t="str">
            <v/>
          </cell>
        </row>
        <row r="478">
          <cell r="H478">
            <v>0</v>
          </cell>
          <cell r="I478">
            <v>0</v>
          </cell>
          <cell r="J478">
            <v>0</v>
          </cell>
          <cell r="K478" t="str">
            <v/>
          </cell>
          <cell r="L478">
            <v>255</v>
          </cell>
          <cell r="M478" t="str">
            <v/>
          </cell>
        </row>
        <row r="479">
          <cell r="H479">
            <v>0</v>
          </cell>
          <cell r="I479">
            <v>0</v>
          </cell>
          <cell r="J479">
            <v>0</v>
          </cell>
          <cell r="K479" t="str">
            <v/>
          </cell>
          <cell r="L479">
            <v>255</v>
          </cell>
          <cell r="M479" t="str">
            <v/>
          </cell>
        </row>
        <row r="480">
          <cell r="H480">
            <v>0</v>
          </cell>
          <cell r="I480">
            <v>0</v>
          </cell>
          <cell r="J480">
            <v>0</v>
          </cell>
          <cell r="K480" t="str">
            <v/>
          </cell>
          <cell r="L480">
            <v>255</v>
          </cell>
          <cell r="M480" t="str">
            <v/>
          </cell>
        </row>
        <row r="481">
          <cell r="H481">
            <v>0</v>
          </cell>
          <cell r="I481">
            <v>0</v>
          </cell>
          <cell r="J481">
            <v>0</v>
          </cell>
          <cell r="K481" t="str">
            <v/>
          </cell>
          <cell r="L481">
            <v>255</v>
          </cell>
          <cell r="M481" t="str">
            <v/>
          </cell>
        </row>
        <row r="482">
          <cell r="H482">
            <v>0</v>
          </cell>
          <cell r="I482">
            <v>0</v>
          </cell>
          <cell r="J482">
            <v>0</v>
          </cell>
          <cell r="K482" t="str">
            <v/>
          </cell>
          <cell r="L482">
            <v>255</v>
          </cell>
          <cell r="M482" t="str">
            <v/>
          </cell>
        </row>
        <row r="483">
          <cell r="H483">
            <v>0</v>
          </cell>
          <cell r="I483">
            <v>0</v>
          </cell>
          <cell r="J483">
            <v>0</v>
          </cell>
          <cell r="K483" t="str">
            <v/>
          </cell>
          <cell r="L483">
            <v>255</v>
          </cell>
          <cell r="M483" t="str">
            <v/>
          </cell>
        </row>
        <row r="484">
          <cell r="H484">
            <v>0</v>
          </cell>
          <cell r="I484">
            <v>0</v>
          </cell>
          <cell r="J484">
            <v>0</v>
          </cell>
          <cell r="K484" t="str">
            <v/>
          </cell>
          <cell r="L484">
            <v>255</v>
          </cell>
          <cell r="M484" t="str">
            <v/>
          </cell>
        </row>
        <row r="485">
          <cell r="H485">
            <v>0</v>
          </cell>
          <cell r="I485">
            <v>0</v>
          </cell>
          <cell r="J485">
            <v>0</v>
          </cell>
          <cell r="K485" t="str">
            <v/>
          </cell>
          <cell r="L485">
            <v>255</v>
          </cell>
          <cell r="M485" t="str">
            <v/>
          </cell>
        </row>
        <row r="486">
          <cell r="H486">
            <v>0</v>
          </cell>
          <cell r="I486">
            <v>0</v>
          </cell>
          <cell r="J486">
            <v>0</v>
          </cell>
          <cell r="K486" t="str">
            <v/>
          </cell>
          <cell r="L486">
            <v>255</v>
          </cell>
          <cell r="M486" t="str">
            <v/>
          </cell>
        </row>
        <row r="487">
          <cell r="H487">
            <v>0</v>
          </cell>
          <cell r="I487">
            <v>0</v>
          </cell>
          <cell r="J487">
            <v>0</v>
          </cell>
          <cell r="K487" t="str">
            <v/>
          </cell>
          <cell r="L487">
            <v>255</v>
          </cell>
          <cell r="M487" t="str">
            <v/>
          </cell>
        </row>
        <row r="488">
          <cell r="H488">
            <v>0</v>
          </cell>
          <cell r="I488">
            <v>0</v>
          </cell>
          <cell r="J488">
            <v>0</v>
          </cell>
          <cell r="K488" t="str">
            <v/>
          </cell>
          <cell r="L488">
            <v>255</v>
          </cell>
          <cell r="M488" t="str">
            <v/>
          </cell>
        </row>
        <row r="489">
          <cell r="H489">
            <v>0</v>
          </cell>
          <cell r="I489">
            <v>0</v>
          </cell>
          <cell r="J489">
            <v>0</v>
          </cell>
          <cell r="K489" t="str">
            <v/>
          </cell>
          <cell r="L489">
            <v>255</v>
          </cell>
          <cell r="M489" t="str">
            <v/>
          </cell>
        </row>
        <row r="490">
          <cell r="H490">
            <v>0</v>
          </cell>
          <cell r="I490">
            <v>0</v>
          </cell>
          <cell r="J490">
            <v>0</v>
          </cell>
          <cell r="K490" t="str">
            <v/>
          </cell>
          <cell r="L490">
            <v>255</v>
          </cell>
          <cell r="M490" t="str">
            <v/>
          </cell>
        </row>
        <row r="491">
          <cell r="H491">
            <v>0</v>
          </cell>
          <cell r="I491">
            <v>0</v>
          </cell>
          <cell r="J491">
            <v>0</v>
          </cell>
          <cell r="K491" t="str">
            <v/>
          </cell>
          <cell r="L491">
            <v>255</v>
          </cell>
          <cell r="M491" t="str">
            <v/>
          </cell>
        </row>
        <row r="492">
          <cell r="H492">
            <v>0</v>
          </cell>
          <cell r="I492">
            <v>0</v>
          </cell>
          <cell r="J492">
            <v>0</v>
          </cell>
          <cell r="K492" t="str">
            <v/>
          </cell>
          <cell r="L492">
            <v>255</v>
          </cell>
          <cell r="M492" t="str">
            <v/>
          </cell>
        </row>
        <row r="493">
          <cell r="H493">
            <v>0</v>
          </cell>
          <cell r="I493">
            <v>0</v>
          </cell>
          <cell r="J493">
            <v>0</v>
          </cell>
          <cell r="K493" t="str">
            <v/>
          </cell>
          <cell r="L493">
            <v>255</v>
          </cell>
          <cell r="M493" t="str">
            <v/>
          </cell>
        </row>
        <row r="494">
          <cell r="H494">
            <v>0</v>
          </cell>
          <cell r="I494">
            <v>0</v>
          </cell>
          <cell r="J494">
            <v>0</v>
          </cell>
          <cell r="K494" t="str">
            <v/>
          </cell>
          <cell r="L494">
            <v>255</v>
          </cell>
          <cell r="M494" t="str">
            <v/>
          </cell>
        </row>
        <row r="495">
          <cell r="H495">
            <v>0</v>
          </cell>
          <cell r="I495">
            <v>0</v>
          </cell>
          <cell r="J495">
            <v>0</v>
          </cell>
          <cell r="K495" t="str">
            <v/>
          </cell>
          <cell r="L495">
            <v>255</v>
          </cell>
          <cell r="M495" t="str">
            <v/>
          </cell>
        </row>
        <row r="496">
          <cell r="H496">
            <v>0</v>
          </cell>
          <cell r="I496">
            <v>0</v>
          </cell>
          <cell r="J496">
            <v>0</v>
          </cell>
          <cell r="K496" t="str">
            <v/>
          </cell>
          <cell r="L496">
            <v>255</v>
          </cell>
          <cell r="M496" t="str">
            <v/>
          </cell>
        </row>
        <row r="497">
          <cell r="H497">
            <v>0</v>
          </cell>
          <cell r="I497">
            <v>0</v>
          </cell>
          <cell r="J497">
            <v>0</v>
          </cell>
          <cell r="K497" t="str">
            <v/>
          </cell>
          <cell r="L497">
            <v>255</v>
          </cell>
          <cell r="M497" t="str">
            <v/>
          </cell>
        </row>
        <row r="498">
          <cell r="H498">
            <v>0</v>
          </cell>
          <cell r="I498">
            <v>0</v>
          </cell>
          <cell r="J498">
            <v>0</v>
          </cell>
          <cell r="K498" t="str">
            <v/>
          </cell>
          <cell r="L498">
            <v>255</v>
          </cell>
          <cell r="M498" t="str">
            <v/>
          </cell>
        </row>
        <row r="499">
          <cell r="H499">
            <v>0</v>
          </cell>
          <cell r="I499">
            <v>0</v>
          </cell>
          <cell r="J499">
            <v>0</v>
          </cell>
          <cell r="K499" t="str">
            <v/>
          </cell>
          <cell r="L499">
            <v>255</v>
          </cell>
          <cell r="M499" t="str">
            <v/>
          </cell>
        </row>
        <row r="500">
          <cell r="H500">
            <v>0</v>
          </cell>
          <cell r="I500">
            <v>0</v>
          </cell>
          <cell r="J500">
            <v>0</v>
          </cell>
          <cell r="K500" t="str">
            <v/>
          </cell>
          <cell r="L500">
            <v>255</v>
          </cell>
          <cell r="M500" t="str">
            <v/>
          </cell>
        </row>
        <row r="501">
          <cell r="H501">
            <v>0</v>
          </cell>
          <cell r="I501">
            <v>0</v>
          </cell>
          <cell r="J501">
            <v>0</v>
          </cell>
          <cell r="K501" t="str">
            <v/>
          </cell>
          <cell r="L501">
            <v>255</v>
          </cell>
          <cell r="M501" t="str">
            <v/>
          </cell>
        </row>
        <row r="502">
          <cell r="H502">
            <v>0</v>
          </cell>
          <cell r="I502">
            <v>0</v>
          </cell>
          <cell r="J502">
            <v>0</v>
          </cell>
          <cell r="K502" t="str">
            <v/>
          </cell>
          <cell r="L502">
            <v>255</v>
          </cell>
          <cell r="M502" t="str">
            <v/>
          </cell>
        </row>
        <row r="503">
          <cell r="H503">
            <v>0</v>
          </cell>
          <cell r="I503">
            <v>0</v>
          </cell>
          <cell r="J503">
            <v>0</v>
          </cell>
          <cell r="K503" t="str">
            <v/>
          </cell>
          <cell r="L503">
            <v>255</v>
          </cell>
          <cell r="M503" t="str">
            <v/>
          </cell>
        </row>
        <row r="504">
          <cell r="H504">
            <v>0</v>
          </cell>
          <cell r="I504">
            <v>0</v>
          </cell>
          <cell r="J504">
            <v>0</v>
          </cell>
          <cell r="K504" t="str">
            <v/>
          </cell>
          <cell r="L504">
            <v>255</v>
          </cell>
          <cell r="M504" t="str">
            <v/>
          </cell>
        </row>
        <row r="505">
          <cell r="H505">
            <v>0</v>
          </cell>
          <cell r="I505">
            <v>0</v>
          </cell>
          <cell r="J505">
            <v>0</v>
          </cell>
          <cell r="K505" t="str">
            <v/>
          </cell>
          <cell r="L505">
            <v>255</v>
          </cell>
          <cell r="M505" t="str">
            <v/>
          </cell>
        </row>
        <row r="506">
          <cell r="H506">
            <v>0</v>
          </cell>
          <cell r="I506">
            <v>0</v>
          </cell>
          <cell r="J506">
            <v>0</v>
          </cell>
          <cell r="K506" t="str">
            <v/>
          </cell>
          <cell r="L506">
            <v>255</v>
          </cell>
          <cell r="M506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🏠MENU"/>
      <sheetName val="BASIC"/>
      <sheetName val="TEAMS"/>
      <sheetName val="CANDIDATES"/>
      <sheetName val="PROGRAMS"/>
      <sheetName val="PROGRAM REGI. LIMITS"/>
      <sheetName val="PROGRAM REGI."/>
      <sheetName val="CHECK REGI. LIMITS"/>
      <sheetName val="SEARCH"/>
      <sheetName val="ADD RESULT"/>
      <sheetName val="RESULT SEARCH"/>
      <sheetName val="MINUS AND PLUS"/>
      <sheetName val="lists for dropdown in filter"/>
      <sheetName val="SPORTS_FMS_RESULT_MANAGER"/>
    </sheetNames>
    <definedNames>
      <definedName name="detailsof_candidates" refersTo="='CANDIDATES'!$C$7:$M$506"/>
    </definedNames>
    <sheetDataSet>
      <sheetData sheetId="0"/>
      <sheetData sheetId="1"/>
      <sheetData sheetId="2"/>
      <sheetData sheetId="3"/>
      <sheetData sheetId="4">
        <row r="7">
          <cell r="C7" t="str">
            <v>A100</v>
          </cell>
          <cell r="D7" t="str">
            <v>ADINAN ABOOBACKER K</v>
          </cell>
          <cell r="E7" t="str">
            <v>FANT</v>
          </cell>
          <cell r="F7" t="str">
            <v>SUB JUNIOR</v>
          </cell>
          <cell r="G7">
            <v>1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76</v>
          </cell>
          <cell r="M7">
            <v>96</v>
          </cell>
        </row>
        <row r="8">
          <cell r="C8" t="str">
            <v>A101</v>
          </cell>
          <cell r="D8" t="str">
            <v>MUHAMMED TAMEEM</v>
          </cell>
          <cell r="E8" t="str">
            <v>JARF</v>
          </cell>
          <cell r="F8" t="str">
            <v>SUB JUNIOR</v>
          </cell>
          <cell r="G8">
            <v>1</v>
          </cell>
          <cell r="H8">
            <v>3</v>
          </cell>
          <cell r="I8">
            <v>0</v>
          </cell>
          <cell r="J8">
            <v>3</v>
          </cell>
          <cell r="K8">
            <v>3</v>
          </cell>
          <cell r="L8">
            <v>30</v>
          </cell>
          <cell r="M8">
            <v>46</v>
          </cell>
        </row>
        <row r="9">
          <cell r="C9" t="str">
            <v>A102</v>
          </cell>
          <cell r="D9" t="str">
            <v>AJZAL ASHRAF OV</v>
          </cell>
          <cell r="E9" t="str">
            <v>JARF</v>
          </cell>
          <cell r="F9" t="str">
            <v>SUB JUNIOR</v>
          </cell>
          <cell r="G9">
            <v>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76</v>
          </cell>
          <cell r="M9">
            <v>96</v>
          </cell>
        </row>
        <row r="10">
          <cell r="C10" t="str">
            <v>A103</v>
          </cell>
          <cell r="D10" t="str">
            <v>MUHAMMED RIZIN AMAN</v>
          </cell>
          <cell r="E10" t="str">
            <v>JARF</v>
          </cell>
          <cell r="F10" t="str">
            <v>SUB JUNIOR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76</v>
          </cell>
          <cell r="M10">
            <v>96</v>
          </cell>
        </row>
        <row r="11">
          <cell r="C11" t="str">
            <v>A104</v>
          </cell>
          <cell r="D11" t="str">
            <v>MUHAMMAD AZEEM</v>
          </cell>
          <cell r="E11" t="str">
            <v>BADF</v>
          </cell>
          <cell r="F11" t="str">
            <v>SUB JUNIOR</v>
          </cell>
          <cell r="G11">
            <v>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76</v>
          </cell>
          <cell r="M11">
            <v>96</v>
          </cell>
        </row>
        <row r="12">
          <cell r="C12" t="str">
            <v>A105</v>
          </cell>
          <cell r="D12" t="str">
            <v>MUHAMMED HAFIZ S T</v>
          </cell>
          <cell r="E12" t="str">
            <v>FANT</v>
          </cell>
          <cell r="F12" t="str">
            <v>SUB JUNIOR</v>
          </cell>
          <cell r="G12">
            <v>1</v>
          </cell>
          <cell r="H12">
            <v>3</v>
          </cell>
          <cell r="I12">
            <v>0</v>
          </cell>
          <cell r="J12">
            <v>3</v>
          </cell>
          <cell r="K12">
            <v>3</v>
          </cell>
          <cell r="L12">
            <v>30</v>
          </cell>
          <cell r="M12">
            <v>46</v>
          </cell>
        </row>
        <row r="13">
          <cell r="C13" t="str">
            <v>A106</v>
          </cell>
          <cell r="D13" t="str">
            <v>Abdul Khader Uvais K A</v>
          </cell>
          <cell r="E13" t="str">
            <v>BADF</v>
          </cell>
          <cell r="F13" t="str">
            <v>SUB JUNIOR</v>
          </cell>
          <cell r="G13">
            <v>1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76</v>
          </cell>
          <cell r="M13">
            <v>96</v>
          </cell>
        </row>
        <row r="14">
          <cell r="C14" t="str">
            <v>A107</v>
          </cell>
          <cell r="D14" t="str">
            <v>MUHAMMED ADHIL C H</v>
          </cell>
          <cell r="E14" t="str">
            <v>FANT</v>
          </cell>
          <cell r="F14" t="str">
            <v>SUB JUNIOR</v>
          </cell>
          <cell r="G14">
            <v>1</v>
          </cell>
          <cell r="H14">
            <v>0</v>
          </cell>
          <cell r="I14">
            <v>3</v>
          </cell>
          <cell r="J14">
            <v>3</v>
          </cell>
          <cell r="K14">
            <v>3</v>
          </cell>
          <cell r="L14">
            <v>30</v>
          </cell>
          <cell r="M14">
            <v>46</v>
          </cell>
        </row>
        <row r="15">
          <cell r="C15" t="str">
            <v>A108</v>
          </cell>
          <cell r="D15" t="str">
            <v>Mohammed Sinan N.A</v>
          </cell>
          <cell r="E15" t="str">
            <v>BADF</v>
          </cell>
          <cell r="F15" t="str">
            <v>SUB JUNIOR</v>
          </cell>
          <cell r="G15">
            <v>1</v>
          </cell>
          <cell r="H15">
            <v>5</v>
          </cell>
          <cell r="I15">
            <v>0</v>
          </cell>
          <cell r="J15">
            <v>5</v>
          </cell>
          <cell r="K15">
            <v>5</v>
          </cell>
          <cell r="L15">
            <v>13</v>
          </cell>
          <cell r="M15">
            <v>24</v>
          </cell>
        </row>
        <row r="16">
          <cell r="C16" t="str">
            <v>A109</v>
          </cell>
          <cell r="D16" t="str">
            <v>AHMED RAZI MR</v>
          </cell>
          <cell r="E16" t="str">
            <v>BADF</v>
          </cell>
          <cell r="F16" t="str">
            <v>SUB JUNIOR</v>
          </cell>
          <cell r="G16">
            <v>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76</v>
          </cell>
          <cell r="M16">
            <v>96</v>
          </cell>
        </row>
        <row r="17">
          <cell r="C17" t="str">
            <v>A110</v>
          </cell>
          <cell r="D17" t="str">
            <v>Muhammed Hisham K M</v>
          </cell>
          <cell r="E17" t="str">
            <v>FANT</v>
          </cell>
          <cell r="F17" t="str">
            <v>SUB JUNIOR</v>
          </cell>
          <cell r="G17">
            <v>1</v>
          </cell>
          <cell r="H17">
            <v>1</v>
          </cell>
          <cell r="I17">
            <v>0</v>
          </cell>
          <cell r="J17">
            <v>1</v>
          </cell>
          <cell r="K17">
            <v>1</v>
          </cell>
          <cell r="L17">
            <v>54</v>
          </cell>
          <cell r="M17">
            <v>69</v>
          </cell>
        </row>
        <row r="18">
          <cell r="C18" t="str">
            <v>A111</v>
          </cell>
          <cell r="D18" t="str">
            <v>HUSSAIN MUHAVIZ B A</v>
          </cell>
          <cell r="E18" t="str">
            <v>FANT</v>
          </cell>
          <cell r="F18" t="str">
            <v>SUB JUNIOR</v>
          </cell>
          <cell r="G18">
            <v>1</v>
          </cell>
          <cell r="H18">
            <v>5</v>
          </cell>
          <cell r="I18">
            <v>0</v>
          </cell>
          <cell r="J18">
            <v>5</v>
          </cell>
          <cell r="K18">
            <v>5</v>
          </cell>
          <cell r="L18">
            <v>13</v>
          </cell>
          <cell r="M18">
            <v>24</v>
          </cell>
        </row>
        <row r="19">
          <cell r="C19" t="str">
            <v>A112</v>
          </cell>
          <cell r="D19" t="str">
            <v>HILAL ABDULLA C H</v>
          </cell>
          <cell r="E19" t="str">
            <v>DAHF</v>
          </cell>
          <cell r="F19" t="str">
            <v>SUB JUNIOR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76</v>
          </cell>
          <cell r="M19">
            <v>96</v>
          </cell>
        </row>
        <row r="20">
          <cell r="C20" t="str">
            <v>A113</v>
          </cell>
          <cell r="D20" t="str">
            <v>MOIDEEN KAIS</v>
          </cell>
          <cell r="E20" t="str">
            <v>DAHF</v>
          </cell>
          <cell r="F20" t="str">
            <v>SUB JUNIOR</v>
          </cell>
          <cell r="G20">
            <v>1</v>
          </cell>
          <cell r="H20">
            <v>0</v>
          </cell>
          <cell r="I20">
            <v>3</v>
          </cell>
          <cell r="J20">
            <v>3</v>
          </cell>
          <cell r="K20">
            <v>3</v>
          </cell>
          <cell r="L20">
            <v>30</v>
          </cell>
          <cell r="M20">
            <v>46</v>
          </cell>
        </row>
        <row r="21">
          <cell r="C21" t="str">
            <v>A114</v>
          </cell>
          <cell r="D21" t="str">
            <v>MUHAMMED SHAHID K A</v>
          </cell>
          <cell r="E21" t="str">
            <v>BADF</v>
          </cell>
          <cell r="F21" t="str">
            <v>SUB JUNIOR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76</v>
          </cell>
          <cell r="M21">
            <v>96</v>
          </cell>
        </row>
        <row r="22">
          <cell r="C22" t="str">
            <v>A115</v>
          </cell>
          <cell r="D22" t="str">
            <v>K MUHAMMAD JALAL</v>
          </cell>
          <cell r="E22" t="str">
            <v>DAHF</v>
          </cell>
          <cell r="F22" t="str">
            <v>SUB JUNIOR</v>
          </cell>
          <cell r="G22">
            <v>1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76</v>
          </cell>
          <cell r="M22">
            <v>96</v>
          </cell>
        </row>
        <row r="23">
          <cell r="C23" t="str">
            <v>A116</v>
          </cell>
          <cell r="D23" t="str">
            <v>MUHAMMED T K</v>
          </cell>
          <cell r="E23"/>
          <cell r="F23" t="str">
            <v>SUB JUNIOR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76</v>
          </cell>
          <cell r="M23">
            <v>96</v>
          </cell>
        </row>
        <row r="24">
          <cell r="C24" t="str">
            <v>A117</v>
          </cell>
          <cell r="D24" t="str">
            <v>Muhammed Waheed R K</v>
          </cell>
          <cell r="E24" t="str">
            <v>JARF</v>
          </cell>
          <cell r="F24" t="str">
            <v>SUB JUNIOR</v>
          </cell>
          <cell r="G24">
            <v>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76</v>
          </cell>
          <cell r="M24">
            <v>96</v>
          </cell>
        </row>
        <row r="25">
          <cell r="C25" t="str">
            <v>A118</v>
          </cell>
          <cell r="D25" t="str">
            <v>ABOOBACKER SAFWAN C B</v>
          </cell>
          <cell r="E25"/>
          <cell r="F25" t="str">
            <v>SUB JUNIOR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76</v>
          </cell>
          <cell r="M25">
            <v>96</v>
          </cell>
        </row>
        <row r="26">
          <cell r="C26" t="str">
            <v>A119</v>
          </cell>
          <cell r="D26" t="str">
            <v>MUHAMMED HASHIR A K</v>
          </cell>
          <cell r="E26" t="str">
            <v>JARF</v>
          </cell>
          <cell r="F26" t="str">
            <v>SUB JUNIOR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76</v>
          </cell>
          <cell r="M26">
            <v>96</v>
          </cell>
        </row>
        <row r="27">
          <cell r="C27" t="str">
            <v>A120</v>
          </cell>
          <cell r="D27" t="str">
            <v>MOHAMMED NAFIH</v>
          </cell>
          <cell r="E27" t="str">
            <v>DAHF</v>
          </cell>
          <cell r="F27" t="str">
            <v>SUB JUNIOR</v>
          </cell>
          <cell r="G27">
            <v>1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76</v>
          </cell>
          <cell r="M27">
            <v>96</v>
          </cell>
        </row>
        <row r="28">
          <cell r="C28" t="str">
            <v>A121</v>
          </cell>
          <cell r="D28" t="str">
            <v>BEERAN MUEENUDHEEN MH</v>
          </cell>
          <cell r="E28" t="str">
            <v>JARF</v>
          </cell>
          <cell r="F28" t="str">
            <v>SUB JUNIOR</v>
          </cell>
          <cell r="G28">
            <v>1</v>
          </cell>
          <cell r="H28">
            <v>0</v>
          </cell>
          <cell r="I28">
            <v>1</v>
          </cell>
          <cell r="J28">
            <v>1</v>
          </cell>
          <cell r="K28">
            <v>1</v>
          </cell>
          <cell r="L28">
            <v>54</v>
          </cell>
          <cell r="M28">
            <v>69</v>
          </cell>
        </row>
        <row r="29">
          <cell r="C29" t="str">
            <v>A122</v>
          </cell>
          <cell r="D29" t="str">
            <v>MOHAMMAD K A</v>
          </cell>
          <cell r="E29" t="str">
            <v>FANT</v>
          </cell>
          <cell r="F29" t="str">
            <v>SUB JUNIOR</v>
          </cell>
          <cell r="G29">
            <v>1</v>
          </cell>
          <cell r="H29">
            <v>0</v>
          </cell>
          <cell r="I29">
            <v>1</v>
          </cell>
          <cell r="J29">
            <v>1</v>
          </cell>
          <cell r="K29">
            <v>1</v>
          </cell>
          <cell r="L29">
            <v>54</v>
          </cell>
          <cell r="M29">
            <v>69</v>
          </cell>
        </row>
        <row r="30">
          <cell r="C30" t="str">
            <v>A123</v>
          </cell>
          <cell r="D30" t="str">
            <v>IBRAHIM KALEEL</v>
          </cell>
          <cell r="E30" t="str">
            <v>JARF</v>
          </cell>
          <cell r="F30" t="str">
            <v>SUB JUNIOR</v>
          </cell>
          <cell r="G30">
            <v>1</v>
          </cell>
          <cell r="H30">
            <v>6</v>
          </cell>
          <cell r="I30">
            <v>0</v>
          </cell>
          <cell r="J30">
            <v>6</v>
          </cell>
          <cell r="K30">
            <v>6</v>
          </cell>
          <cell r="L30">
            <v>10</v>
          </cell>
          <cell r="M30">
            <v>21</v>
          </cell>
        </row>
        <row r="31">
          <cell r="C31" t="str">
            <v>A124</v>
          </cell>
          <cell r="D31" t="str">
            <v>MOHAMMED JASEEM</v>
          </cell>
          <cell r="E31" t="str">
            <v>BADF</v>
          </cell>
          <cell r="F31" t="str">
            <v>SUB JUNIOR</v>
          </cell>
          <cell r="G31">
            <v>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76</v>
          </cell>
          <cell r="M31">
            <v>96</v>
          </cell>
        </row>
        <row r="32">
          <cell r="C32" t="str">
            <v>A125</v>
          </cell>
          <cell r="D32" t="str">
            <v>MUHAMMED RAZI A T</v>
          </cell>
          <cell r="E32" t="str">
            <v>DAHF</v>
          </cell>
          <cell r="F32" t="str">
            <v>SUB JUNIOR</v>
          </cell>
          <cell r="G32">
            <v>1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76</v>
          </cell>
          <cell r="M32">
            <v>96</v>
          </cell>
        </row>
        <row r="33">
          <cell r="C33" t="str">
            <v>A126</v>
          </cell>
          <cell r="D33" t="str">
            <v>MUHAMMED ZAID</v>
          </cell>
          <cell r="E33" t="str">
            <v>JARF</v>
          </cell>
          <cell r="F33" t="str">
            <v>SUB JUNIOR</v>
          </cell>
          <cell r="G33">
            <v>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76</v>
          </cell>
          <cell r="M33">
            <v>96</v>
          </cell>
        </row>
        <row r="34">
          <cell r="C34" t="str">
            <v>A127</v>
          </cell>
          <cell r="D34" t="str">
            <v>MUHAMMED HAFEEZ P</v>
          </cell>
          <cell r="E34" t="str">
            <v>BADF</v>
          </cell>
          <cell r="F34" t="str">
            <v>SUB JUNIOR</v>
          </cell>
          <cell r="G34">
            <v>1</v>
          </cell>
          <cell r="H34">
            <v>3</v>
          </cell>
          <cell r="I34">
            <v>0</v>
          </cell>
          <cell r="J34">
            <v>3</v>
          </cell>
          <cell r="K34">
            <v>3</v>
          </cell>
          <cell r="L34">
            <v>30</v>
          </cell>
          <cell r="M34">
            <v>46</v>
          </cell>
        </row>
        <row r="35">
          <cell r="C35" t="str">
            <v>A128</v>
          </cell>
          <cell r="D35" t="str">
            <v>MOHAMMED HAFEEZ B</v>
          </cell>
          <cell r="E35" t="str">
            <v>DAHF</v>
          </cell>
          <cell r="F35" t="str">
            <v>SUB JUNIOR</v>
          </cell>
          <cell r="G35">
            <v>1</v>
          </cell>
          <cell r="H35">
            <v>1</v>
          </cell>
          <cell r="I35">
            <v>0</v>
          </cell>
          <cell r="J35">
            <v>1</v>
          </cell>
          <cell r="K35">
            <v>1</v>
          </cell>
          <cell r="L35">
            <v>54</v>
          </cell>
          <cell r="M35">
            <v>69</v>
          </cell>
        </row>
        <row r="36">
          <cell r="C36" t="str">
            <v>A129</v>
          </cell>
          <cell r="D36" t="str">
            <v>MUHAMMED BIN JAFAR</v>
          </cell>
          <cell r="E36" t="str">
            <v>FANT</v>
          </cell>
          <cell r="F36" t="str">
            <v>SUB JUNIOR</v>
          </cell>
          <cell r="G36">
            <v>1</v>
          </cell>
          <cell r="H36">
            <v>5</v>
          </cell>
          <cell r="I36">
            <v>0</v>
          </cell>
          <cell r="J36">
            <v>5</v>
          </cell>
          <cell r="K36">
            <v>5</v>
          </cell>
          <cell r="L36">
            <v>13</v>
          </cell>
          <cell r="M36">
            <v>24</v>
          </cell>
        </row>
        <row r="37">
          <cell r="C37" t="str">
            <v>A130</v>
          </cell>
          <cell r="D37" t="str">
            <v>MOHAMMAD AJWAD</v>
          </cell>
          <cell r="E37" t="str">
            <v>JARF</v>
          </cell>
          <cell r="F37" t="str">
            <v>SUB JUNIOR</v>
          </cell>
          <cell r="G37">
            <v>1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76</v>
          </cell>
          <cell r="M37">
            <v>96</v>
          </cell>
        </row>
        <row r="38">
          <cell r="C38" t="str">
            <v>A131</v>
          </cell>
          <cell r="D38" t="str">
            <v>FAZIL ABDULLA</v>
          </cell>
          <cell r="E38" t="str">
            <v>DAHF</v>
          </cell>
          <cell r="F38" t="str">
            <v>SUB JUNIOR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76</v>
          </cell>
          <cell r="M38">
            <v>96</v>
          </cell>
        </row>
        <row r="39">
          <cell r="C39" t="str">
            <v>A132</v>
          </cell>
          <cell r="D39" t="str">
            <v>MUHAMMED SHIRAZ ISHAQUE</v>
          </cell>
          <cell r="E39" t="str">
            <v>FANT</v>
          </cell>
          <cell r="F39" t="str">
            <v>SUB JUNIOR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76</v>
          </cell>
          <cell r="M39">
            <v>96</v>
          </cell>
        </row>
        <row r="40">
          <cell r="C40" t="str">
            <v>A133</v>
          </cell>
          <cell r="D40" t="str">
            <v>JAUHAR ASHFAQUE MUHSIN</v>
          </cell>
          <cell r="E40" t="str">
            <v>JARF</v>
          </cell>
          <cell r="F40" t="str">
            <v>SUB JUNIOR</v>
          </cell>
          <cell r="G40">
            <v>1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76</v>
          </cell>
          <cell r="M40">
            <v>96</v>
          </cell>
        </row>
        <row r="41">
          <cell r="C41" t="str">
            <v>A134</v>
          </cell>
          <cell r="D41" t="str">
            <v>YASEEN MUHAMMED</v>
          </cell>
          <cell r="E41" t="str">
            <v>DAHF</v>
          </cell>
          <cell r="F41" t="str">
            <v>SUB JUNIOR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76</v>
          </cell>
          <cell r="M41">
            <v>96</v>
          </cell>
        </row>
        <row r="42">
          <cell r="C42" t="str">
            <v>A135</v>
          </cell>
          <cell r="D42" t="str">
            <v>MOHAMMED RAFAN A</v>
          </cell>
          <cell r="E42" t="str">
            <v>BADF</v>
          </cell>
          <cell r="F42" t="str">
            <v>SUB JUNIOR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76</v>
          </cell>
          <cell r="M42">
            <v>96</v>
          </cell>
        </row>
        <row r="43">
          <cell r="C43" t="str">
            <v>A136</v>
          </cell>
          <cell r="D43" t="str">
            <v>MUHAMMED UVAIS.P. S</v>
          </cell>
          <cell r="E43" t="str">
            <v>BADF</v>
          </cell>
          <cell r="F43" t="str">
            <v>SUB JUNIOR</v>
          </cell>
          <cell r="G43">
            <v>1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76</v>
          </cell>
          <cell r="M43">
            <v>96</v>
          </cell>
        </row>
        <row r="44">
          <cell r="C44" t="str">
            <v>A137</v>
          </cell>
          <cell r="D44" t="str">
            <v>MOHAMMED SHUAIB K M</v>
          </cell>
          <cell r="E44" t="str">
            <v>DAHF</v>
          </cell>
          <cell r="F44" t="str">
            <v>SUB JUNIOR</v>
          </cell>
          <cell r="G44">
            <v>1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76</v>
          </cell>
          <cell r="M44">
            <v>96</v>
          </cell>
        </row>
        <row r="45">
          <cell r="C45" t="str">
            <v>A138</v>
          </cell>
          <cell r="D45" t="str">
            <v>ziyad. K. M. C</v>
          </cell>
          <cell r="E45"/>
          <cell r="F45" t="str">
            <v>SUB JUNIOR</v>
          </cell>
          <cell r="G45">
            <v>1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76</v>
          </cell>
          <cell r="M45">
            <v>96</v>
          </cell>
        </row>
        <row r="46">
          <cell r="C46" t="str">
            <v>A139</v>
          </cell>
          <cell r="D46" t="str">
            <v>MUHAMMED MOIDEEN KUNHI</v>
          </cell>
          <cell r="E46" t="str">
            <v>FANT</v>
          </cell>
          <cell r="F46" t="str">
            <v>SUB JUNIOR</v>
          </cell>
          <cell r="G46">
            <v>1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76</v>
          </cell>
          <cell r="M46">
            <v>96</v>
          </cell>
        </row>
        <row r="47">
          <cell r="C47" t="str">
            <v>A140</v>
          </cell>
          <cell r="D47" t="str">
            <v>MUHAMMED AFLAH.MK</v>
          </cell>
          <cell r="E47" t="str">
            <v>FANT</v>
          </cell>
          <cell r="F47" t="str">
            <v>SUB JUNIOR</v>
          </cell>
          <cell r="G47">
            <v>2</v>
          </cell>
          <cell r="H47">
            <v>0</v>
          </cell>
          <cell r="I47">
            <v>1</v>
          </cell>
          <cell r="J47">
            <v>1</v>
          </cell>
          <cell r="K47">
            <v>1</v>
          </cell>
          <cell r="L47">
            <v>54</v>
          </cell>
          <cell r="M47">
            <v>69</v>
          </cell>
        </row>
        <row r="48">
          <cell r="C48" t="str">
            <v>A141</v>
          </cell>
          <cell r="D48" t="str">
            <v>MUHAMMED SHUHAIR</v>
          </cell>
          <cell r="E48" t="str">
            <v>JARF</v>
          </cell>
          <cell r="F48" t="str">
            <v>SUB JUNIOR</v>
          </cell>
          <cell r="G48">
            <v>2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76</v>
          </cell>
          <cell r="M48">
            <v>96</v>
          </cell>
        </row>
        <row r="49">
          <cell r="C49" t="str">
            <v>A142</v>
          </cell>
          <cell r="D49" t="str">
            <v>Muhammed Anshad A</v>
          </cell>
          <cell r="E49" t="str">
            <v>BADF</v>
          </cell>
          <cell r="F49" t="str">
            <v>SUB JUNIOR</v>
          </cell>
          <cell r="G49">
            <v>2</v>
          </cell>
          <cell r="H49">
            <v>3</v>
          </cell>
          <cell r="I49">
            <v>0</v>
          </cell>
          <cell r="J49">
            <v>3</v>
          </cell>
          <cell r="K49">
            <v>3</v>
          </cell>
          <cell r="L49">
            <v>30</v>
          </cell>
          <cell r="M49">
            <v>46</v>
          </cell>
        </row>
        <row r="50">
          <cell r="C50" t="str">
            <v>A143</v>
          </cell>
          <cell r="D50" t="str">
            <v>ABDUL AFEEZ C.F</v>
          </cell>
          <cell r="E50" t="str">
            <v>FANT</v>
          </cell>
          <cell r="F50" t="str">
            <v>SUB JUNIOR</v>
          </cell>
          <cell r="G50">
            <v>2</v>
          </cell>
          <cell r="H50">
            <v>1</v>
          </cell>
          <cell r="I50">
            <v>0</v>
          </cell>
          <cell r="J50">
            <v>1</v>
          </cell>
          <cell r="K50">
            <v>1</v>
          </cell>
          <cell r="L50">
            <v>54</v>
          </cell>
          <cell r="M50">
            <v>69</v>
          </cell>
        </row>
        <row r="51">
          <cell r="C51" t="str">
            <v>A144</v>
          </cell>
          <cell r="D51" t="str">
            <v>ABDULLA</v>
          </cell>
          <cell r="E51" t="str">
            <v>JARF</v>
          </cell>
          <cell r="F51" t="str">
            <v>SUB JUNIOR</v>
          </cell>
          <cell r="G51">
            <v>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76</v>
          </cell>
          <cell r="M51">
            <v>96</v>
          </cell>
        </row>
        <row r="52">
          <cell r="C52" t="str">
            <v>A145</v>
          </cell>
          <cell r="D52" t="str">
            <v>ABDULLAH A P</v>
          </cell>
          <cell r="E52" t="str">
            <v>BADF</v>
          </cell>
          <cell r="F52" t="str">
            <v>SUB JUNIOR</v>
          </cell>
          <cell r="G52">
            <v>2</v>
          </cell>
          <cell r="H52">
            <v>0</v>
          </cell>
          <cell r="I52">
            <v>6</v>
          </cell>
          <cell r="J52">
            <v>6</v>
          </cell>
          <cell r="K52">
            <v>6</v>
          </cell>
          <cell r="L52">
            <v>10</v>
          </cell>
          <cell r="M52">
            <v>21</v>
          </cell>
        </row>
        <row r="53">
          <cell r="C53" t="str">
            <v>A146</v>
          </cell>
          <cell r="D53" t="str">
            <v>AHAMED ADIL. A</v>
          </cell>
          <cell r="E53" t="str">
            <v>BADF</v>
          </cell>
          <cell r="F53" t="str">
            <v>SUB JUNIOR</v>
          </cell>
          <cell r="G53">
            <v>2</v>
          </cell>
          <cell r="H53">
            <v>0</v>
          </cell>
          <cell r="I53">
            <v>8</v>
          </cell>
          <cell r="J53">
            <v>8</v>
          </cell>
          <cell r="K53">
            <v>8</v>
          </cell>
          <cell r="L53">
            <v>5</v>
          </cell>
          <cell r="M53">
            <v>12</v>
          </cell>
        </row>
        <row r="54">
          <cell r="C54" t="str">
            <v>A147</v>
          </cell>
          <cell r="D54" t="str">
            <v>AHMED WALEED K A</v>
          </cell>
          <cell r="E54" t="str">
            <v>DAHF</v>
          </cell>
          <cell r="F54" t="str">
            <v>SUB JUNIOR</v>
          </cell>
          <cell r="G54">
            <v>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76</v>
          </cell>
          <cell r="M54">
            <v>96</v>
          </cell>
        </row>
        <row r="55">
          <cell r="C55" t="str">
            <v>A148</v>
          </cell>
          <cell r="D55" t="str">
            <v>AYAAN ABOOBAKAR</v>
          </cell>
          <cell r="E55" t="str">
            <v>BADF</v>
          </cell>
          <cell r="F55" t="str">
            <v>SUB JUNIOR</v>
          </cell>
          <cell r="G55">
            <v>2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76</v>
          </cell>
          <cell r="M55">
            <v>96</v>
          </cell>
        </row>
        <row r="56">
          <cell r="C56" t="str">
            <v>A149</v>
          </cell>
          <cell r="D56" t="str">
            <v>FADIL AMEEN ABDULLA</v>
          </cell>
          <cell r="E56" t="str">
            <v>JARF</v>
          </cell>
          <cell r="F56" t="str">
            <v>SUB JUNIOR</v>
          </cell>
          <cell r="G56">
            <v>2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76</v>
          </cell>
          <cell r="M56">
            <v>96</v>
          </cell>
        </row>
        <row r="57">
          <cell r="C57" t="str">
            <v>A150</v>
          </cell>
          <cell r="D57" t="str">
            <v>MOHAMED JAWHAR J A</v>
          </cell>
          <cell r="E57" t="str">
            <v>FANT</v>
          </cell>
          <cell r="F57" t="str">
            <v>SUB JUNIOR</v>
          </cell>
          <cell r="G57">
            <v>2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76</v>
          </cell>
          <cell r="M57">
            <v>96</v>
          </cell>
        </row>
        <row r="58">
          <cell r="C58" t="str">
            <v>A151</v>
          </cell>
          <cell r="D58" t="str">
            <v>Mohammad Yaseen</v>
          </cell>
          <cell r="E58" t="str">
            <v>FANT</v>
          </cell>
          <cell r="F58" t="str">
            <v>SUB JUNIOR</v>
          </cell>
          <cell r="G58">
            <v>2</v>
          </cell>
          <cell r="H58">
            <v>3</v>
          </cell>
          <cell r="I58">
            <v>5</v>
          </cell>
          <cell r="J58">
            <v>8</v>
          </cell>
          <cell r="K58">
            <v>8</v>
          </cell>
          <cell r="L58">
            <v>5</v>
          </cell>
          <cell r="M58">
            <v>12</v>
          </cell>
        </row>
        <row r="59">
          <cell r="C59" t="str">
            <v>A152</v>
          </cell>
          <cell r="D59" t="str">
            <v>MOHAMMED QUBAIB A H</v>
          </cell>
          <cell r="E59" t="str">
            <v>BADF</v>
          </cell>
          <cell r="F59" t="str">
            <v>SUB JUNIOR</v>
          </cell>
          <cell r="G59">
            <v>2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76</v>
          </cell>
          <cell r="M59">
            <v>96</v>
          </cell>
        </row>
        <row r="60">
          <cell r="C60" t="str">
            <v>A153</v>
          </cell>
          <cell r="D60" t="str">
            <v>MOHAMMED SAWA T A</v>
          </cell>
          <cell r="E60" t="str">
            <v>FANT</v>
          </cell>
          <cell r="F60" t="str">
            <v>SUB JUNIOR</v>
          </cell>
          <cell r="G60">
            <v>2</v>
          </cell>
          <cell r="H60">
            <v>0</v>
          </cell>
          <cell r="I60">
            <v>1</v>
          </cell>
          <cell r="J60">
            <v>1</v>
          </cell>
          <cell r="K60">
            <v>1</v>
          </cell>
          <cell r="L60">
            <v>54</v>
          </cell>
          <cell r="M60">
            <v>69</v>
          </cell>
        </row>
        <row r="61">
          <cell r="C61" t="str">
            <v>A154</v>
          </cell>
          <cell r="D61" t="str">
            <v>MOHAMMED WASIM SHAHAD SM</v>
          </cell>
          <cell r="E61" t="str">
            <v>JARF</v>
          </cell>
          <cell r="F61" t="str">
            <v>SUB JUNIOR</v>
          </cell>
          <cell r="G61">
            <v>2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76</v>
          </cell>
          <cell r="M61">
            <v>96</v>
          </cell>
        </row>
        <row r="62">
          <cell r="C62" t="str">
            <v>A155</v>
          </cell>
          <cell r="D62" t="str">
            <v>Muhammad M</v>
          </cell>
          <cell r="E62" t="str">
            <v>JARF</v>
          </cell>
          <cell r="F62" t="str">
            <v>SUB JUNIOR</v>
          </cell>
          <cell r="G62">
            <v>2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76</v>
          </cell>
          <cell r="M62">
            <v>96</v>
          </cell>
        </row>
        <row r="63">
          <cell r="C63" t="str">
            <v>A156</v>
          </cell>
          <cell r="D63" t="str">
            <v>MUHAMMAD SHAHSAD HASAN</v>
          </cell>
          <cell r="E63" t="str">
            <v>JARF</v>
          </cell>
          <cell r="F63" t="str">
            <v>SUB JUNIOR</v>
          </cell>
          <cell r="G63">
            <v>2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76</v>
          </cell>
          <cell r="M63">
            <v>96</v>
          </cell>
        </row>
        <row r="64">
          <cell r="C64" t="str">
            <v>A157</v>
          </cell>
          <cell r="D64" t="str">
            <v>MUHAMMED ADNAN K.A</v>
          </cell>
          <cell r="E64" t="str">
            <v>FANT</v>
          </cell>
          <cell r="F64" t="str">
            <v>SUB JUNIOR</v>
          </cell>
          <cell r="G64">
            <v>2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76</v>
          </cell>
          <cell r="M64">
            <v>96</v>
          </cell>
        </row>
        <row r="65">
          <cell r="C65" t="str">
            <v>A158</v>
          </cell>
          <cell r="D65" t="str">
            <v>Muhammed Anas</v>
          </cell>
          <cell r="E65" t="str">
            <v>DAHF</v>
          </cell>
          <cell r="F65" t="str">
            <v>SUB JUNIOR</v>
          </cell>
          <cell r="G65">
            <v>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76</v>
          </cell>
          <cell r="M65">
            <v>96</v>
          </cell>
        </row>
        <row r="66">
          <cell r="C66" t="str">
            <v>A159</v>
          </cell>
          <cell r="D66" t="str">
            <v>MUHAMMED ASHIR M</v>
          </cell>
          <cell r="E66" t="str">
            <v>JARF</v>
          </cell>
          <cell r="F66" t="str">
            <v>SUB JUNIOR</v>
          </cell>
          <cell r="G66">
            <v>2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76</v>
          </cell>
          <cell r="M66">
            <v>96</v>
          </cell>
        </row>
        <row r="67">
          <cell r="C67" t="str">
            <v>A160</v>
          </cell>
          <cell r="D67" t="str">
            <v>MUHAMMED AYAAN</v>
          </cell>
          <cell r="E67" t="str">
            <v>JARF</v>
          </cell>
          <cell r="F67" t="str">
            <v>SUB JUNIOR</v>
          </cell>
          <cell r="G67">
            <v>2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76</v>
          </cell>
          <cell r="M67">
            <v>96</v>
          </cell>
        </row>
        <row r="68">
          <cell r="C68" t="str">
            <v>A161</v>
          </cell>
          <cell r="D68" t="str">
            <v>MUHAMMED FAHAD</v>
          </cell>
          <cell r="E68" t="str">
            <v>FANT</v>
          </cell>
          <cell r="F68" t="str">
            <v>SUB JUNIOR</v>
          </cell>
          <cell r="G68">
            <v>2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76</v>
          </cell>
          <cell r="M68">
            <v>96</v>
          </cell>
        </row>
        <row r="69">
          <cell r="C69" t="str">
            <v>A162</v>
          </cell>
          <cell r="D69" t="str">
            <v>MUHAMMED FAREED A S</v>
          </cell>
          <cell r="E69" t="str">
            <v>FANT</v>
          </cell>
          <cell r="F69" t="str">
            <v>SUB JUNIOR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76</v>
          </cell>
          <cell r="M69">
            <v>96</v>
          </cell>
        </row>
        <row r="70">
          <cell r="C70" t="str">
            <v>A163</v>
          </cell>
          <cell r="D70" t="str">
            <v>MUHAMMED LUQMAN TD</v>
          </cell>
          <cell r="E70" t="str">
            <v>BADF</v>
          </cell>
          <cell r="F70" t="str">
            <v>SUB JUNIOR</v>
          </cell>
          <cell r="G70">
            <v>2</v>
          </cell>
          <cell r="H70">
            <v>0</v>
          </cell>
          <cell r="I70">
            <v>8</v>
          </cell>
          <cell r="J70">
            <v>8</v>
          </cell>
          <cell r="K70">
            <v>8</v>
          </cell>
          <cell r="L70">
            <v>5</v>
          </cell>
          <cell r="M70">
            <v>12</v>
          </cell>
        </row>
        <row r="71">
          <cell r="C71" t="str">
            <v>A164</v>
          </cell>
          <cell r="D71" t="str">
            <v>MUHAMMED MICDAD RAMEES A H</v>
          </cell>
          <cell r="E71" t="str">
            <v>DAHF</v>
          </cell>
          <cell r="F71" t="str">
            <v>SUB JUNIOR</v>
          </cell>
          <cell r="G71">
            <v>2</v>
          </cell>
          <cell r="H71">
            <v>5</v>
          </cell>
          <cell r="I71">
            <v>0</v>
          </cell>
          <cell r="J71">
            <v>5</v>
          </cell>
          <cell r="K71">
            <v>5</v>
          </cell>
          <cell r="L71">
            <v>13</v>
          </cell>
          <cell r="M71">
            <v>24</v>
          </cell>
        </row>
        <row r="72">
          <cell r="C72" t="str">
            <v>A165</v>
          </cell>
          <cell r="D72" t="str">
            <v>MUHAMMED MIDLAJ</v>
          </cell>
          <cell r="E72" t="str">
            <v>DAHF</v>
          </cell>
          <cell r="F72" t="str">
            <v>SUB JUNIOR</v>
          </cell>
          <cell r="G72">
            <v>2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76</v>
          </cell>
          <cell r="M72">
            <v>96</v>
          </cell>
        </row>
        <row r="73">
          <cell r="C73" t="str">
            <v>A166</v>
          </cell>
          <cell r="D73" t="str">
            <v>Muhammed Naieem</v>
          </cell>
          <cell r="E73" t="str">
            <v>BADF</v>
          </cell>
          <cell r="F73" t="str">
            <v>SUB JUNIOR</v>
          </cell>
          <cell r="G73">
            <v>2</v>
          </cell>
          <cell r="H73">
            <v>0</v>
          </cell>
          <cell r="I73">
            <v>3</v>
          </cell>
          <cell r="J73">
            <v>3</v>
          </cell>
          <cell r="K73">
            <v>3</v>
          </cell>
          <cell r="L73">
            <v>30</v>
          </cell>
          <cell r="M73">
            <v>46</v>
          </cell>
        </row>
        <row r="74">
          <cell r="C74" t="str">
            <v>A167</v>
          </cell>
          <cell r="D74" t="str">
            <v>MUHAMMED RAEES C A</v>
          </cell>
          <cell r="E74" t="str">
            <v>BADF</v>
          </cell>
          <cell r="F74" t="str">
            <v>SUB JUNIOR</v>
          </cell>
          <cell r="G74">
            <v>2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76</v>
          </cell>
          <cell r="M74">
            <v>96</v>
          </cell>
        </row>
        <row r="75">
          <cell r="C75" t="str">
            <v>A168</v>
          </cell>
          <cell r="D75" t="str">
            <v>Muhammed Sinan D A</v>
          </cell>
          <cell r="E75" t="str">
            <v>JARF</v>
          </cell>
          <cell r="F75" t="str">
            <v>SUB JUNIOR</v>
          </cell>
          <cell r="G75">
            <v>2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76</v>
          </cell>
          <cell r="M75">
            <v>96</v>
          </cell>
        </row>
        <row r="76">
          <cell r="C76" t="str">
            <v>A169</v>
          </cell>
          <cell r="D76" t="str">
            <v>NAZWAN MOHAMMED</v>
          </cell>
          <cell r="E76" t="str">
            <v>FANT</v>
          </cell>
          <cell r="F76" t="str">
            <v>SUB JUNIOR</v>
          </cell>
          <cell r="G76">
            <v>2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76</v>
          </cell>
          <cell r="M76">
            <v>96</v>
          </cell>
        </row>
        <row r="77">
          <cell r="C77" t="str">
            <v>A170</v>
          </cell>
          <cell r="D77" t="str">
            <v>P.V.AHMAD ANAS</v>
          </cell>
          <cell r="E77" t="str">
            <v>DAHF</v>
          </cell>
          <cell r="F77" t="str">
            <v>SUB JUNIOR</v>
          </cell>
          <cell r="G77">
            <v>2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76</v>
          </cell>
          <cell r="M77">
            <v>96</v>
          </cell>
        </row>
        <row r="78">
          <cell r="C78" t="str">
            <v>A171</v>
          </cell>
          <cell r="D78" t="str">
            <v>SAYYED MOHAMMED SINAN AM</v>
          </cell>
          <cell r="E78" t="str">
            <v>DAHF</v>
          </cell>
          <cell r="F78" t="str">
            <v>SUB JUNIOR</v>
          </cell>
          <cell r="G78">
            <v>2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76</v>
          </cell>
          <cell r="M78">
            <v>96</v>
          </cell>
        </row>
        <row r="79">
          <cell r="C79" t="str">
            <v>A172</v>
          </cell>
          <cell r="D79" t="str">
            <v>SAYYED MUHAMMED ABOOBACKER</v>
          </cell>
          <cell r="E79" t="str">
            <v>DAHF</v>
          </cell>
          <cell r="F79" t="str">
            <v>SUB JUNIOR</v>
          </cell>
          <cell r="G79">
            <v>2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76</v>
          </cell>
          <cell r="M79">
            <v>96</v>
          </cell>
        </row>
        <row r="80">
          <cell r="C80" t="str">
            <v>A173</v>
          </cell>
          <cell r="D80" t="str">
            <v>SHAHUL HAMEED B.I</v>
          </cell>
          <cell r="E80" t="str">
            <v>BADF</v>
          </cell>
          <cell r="F80" t="str">
            <v>SUB JUNIOR</v>
          </cell>
          <cell r="G80">
            <v>2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76</v>
          </cell>
          <cell r="M80">
            <v>96</v>
          </cell>
        </row>
        <row r="81">
          <cell r="C81" t="str">
            <v>A174</v>
          </cell>
          <cell r="D81" t="str">
            <v>THUFAIL</v>
          </cell>
          <cell r="E81" t="str">
            <v>DAHF</v>
          </cell>
          <cell r="F81" t="str">
            <v>SUB JUNIOR</v>
          </cell>
          <cell r="G81">
            <v>2</v>
          </cell>
          <cell r="H81">
            <v>0</v>
          </cell>
          <cell r="I81">
            <v>5</v>
          </cell>
          <cell r="J81">
            <v>5</v>
          </cell>
          <cell r="K81">
            <v>5</v>
          </cell>
          <cell r="L81">
            <v>13</v>
          </cell>
          <cell r="M81">
            <v>24</v>
          </cell>
        </row>
        <row r="82">
          <cell r="C82" t="str">
            <v>A175</v>
          </cell>
          <cell r="D82" t="str">
            <v>YOUSUF FAHEEM P</v>
          </cell>
          <cell r="E82" t="str">
            <v>DAHF</v>
          </cell>
          <cell r="F82" t="str">
            <v>SUB JUNIOR</v>
          </cell>
          <cell r="G82">
            <v>2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76</v>
          </cell>
          <cell r="M82">
            <v>96</v>
          </cell>
        </row>
        <row r="83">
          <cell r="C83" t="str">
            <v>B100</v>
          </cell>
          <cell r="D83" t="str">
            <v>ZAINUL ABID K</v>
          </cell>
          <cell r="E83" t="str">
            <v>BADF</v>
          </cell>
          <cell r="F83" t="str">
            <v>JUNIOR</v>
          </cell>
          <cell r="G83">
            <v>3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76</v>
          </cell>
          <cell r="M83">
            <v>96</v>
          </cell>
        </row>
        <row r="84">
          <cell r="C84" t="str">
            <v>B101</v>
          </cell>
          <cell r="D84" t="str">
            <v>AHMED AFRAZ MB</v>
          </cell>
          <cell r="E84" t="str">
            <v>DAHF</v>
          </cell>
          <cell r="F84" t="str">
            <v>JUNIOR</v>
          </cell>
          <cell r="G84">
            <v>3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76</v>
          </cell>
          <cell r="M84">
            <v>96</v>
          </cell>
        </row>
        <row r="85">
          <cell r="C85" t="str">
            <v>B102</v>
          </cell>
          <cell r="D85" t="str">
            <v>AHMAD MUBASHAR</v>
          </cell>
          <cell r="E85" t="str">
            <v>FANT</v>
          </cell>
          <cell r="F85" t="str">
            <v>JUNIOR</v>
          </cell>
          <cell r="G85">
            <v>3</v>
          </cell>
          <cell r="H85">
            <v>3</v>
          </cell>
          <cell r="I85">
            <v>0</v>
          </cell>
          <cell r="J85">
            <v>3</v>
          </cell>
          <cell r="K85">
            <v>3</v>
          </cell>
          <cell r="L85">
            <v>30</v>
          </cell>
          <cell r="M85">
            <v>46</v>
          </cell>
        </row>
        <row r="86">
          <cell r="C86" t="str">
            <v>B103</v>
          </cell>
          <cell r="D86" t="str">
            <v>MOHAMMED NAFIH BA</v>
          </cell>
          <cell r="E86" t="str">
            <v>BADF</v>
          </cell>
          <cell r="F86" t="str">
            <v>JUNIOR</v>
          </cell>
          <cell r="G86">
            <v>3</v>
          </cell>
          <cell r="H86">
            <v>1</v>
          </cell>
          <cell r="I86">
            <v>0</v>
          </cell>
          <cell r="J86">
            <v>1</v>
          </cell>
          <cell r="K86">
            <v>1</v>
          </cell>
          <cell r="L86">
            <v>54</v>
          </cell>
          <cell r="M86">
            <v>69</v>
          </cell>
        </row>
        <row r="87">
          <cell r="C87" t="str">
            <v>B104</v>
          </cell>
          <cell r="D87" t="str">
            <v>FAKRUDDIN NAFIL</v>
          </cell>
          <cell r="E87" t="str">
            <v>FANT</v>
          </cell>
          <cell r="F87" t="str">
            <v>JUNIOR</v>
          </cell>
          <cell r="G87">
            <v>3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76</v>
          </cell>
          <cell r="M87">
            <v>96</v>
          </cell>
        </row>
        <row r="88">
          <cell r="C88" t="str">
            <v>B105</v>
          </cell>
          <cell r="D88" t="str">
            <v>HASAN THAMMEEM</v>
          </cell>
          <cell r="E88" t="str">
            <v>JARF</v>
          </cell>
          <cell r="F88" t="str">
            <v>JUNIOR</v>
          </cell>
          <cell r="G88">
            <v>3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76</v>
          </cell>
          <cell r="M88">
            <v>96</v>
          </cell>
        </row>
        <row r="89">
          <cell r="C89" t="str">
            <v>B106</v>
          </cell>
          <cell r="D89" t="str">
            <v>MUHAMMED ROUHAN M.K</v>
          </cell>
          <cell r="E89" t="str">
            <v>BADF</v>
          </cell>
          <cell r="F89" t="str">
            <v>JUNIOR</v>
          </cell>
          <cell r="G89">
            <v>3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76</v>
          </cell>
          <cell r="M89">
            <v>96</v>
          </cell>
        </row>
        <row r="90">
          <cell r="C90" t="str">
            <v>B107</v>
          </cell>
          <cell r="D90" t="str">
            <v>MUHAMMED ZAMIL</v>
          </cell>
          <cell r="E90" t="str">
            <v>JARF</v>
          </cell>
          <cell r="F90" t="str">
            <v>JUNIOR</v>
          </cell>
          <cell r="G90">
            <v>3</v>
          </cell>
          <cell r="H90">
            <v>5</v>
          </cell>
          <cell r="I90">
            <v>0</v>
          </cell>
          <cell r="J90">
            <v>5</v>
          </cell>
          <cell r="K90">
            <v>5</v>
          </cell>
          <cell r="L90">
            <v>13</v>
          </cell>
          <cell r="M90">
            <v>24</v>
          </cell>
        </row>
        <row r="91">
          <cell r="C91" t="str">
            <v>B108</v>
          </cell>
          <cell r="D91" t="str">
            <v>ABDUL RAHIMAN FAIZ T A</v>
          </cell>
          <cell r="E91" t="str">
            <v>JARF</v>
          </cell>
          <cell r="F91" t="str">
            <v>JUNIOR</v>
          </cell>
          <cell r="G91">
            <v>3</v>
          </cell>
          <cell r="H91">
            <v>0</v>
          </cell>
          <cell r="I91">
            <v>0</v>
          </cell>
          <cell r="J91">
            <v>0</v>
          </cell>
          <cell r="K91">
            <v>1</v>
          </cell>
          <cell r="L91">
            <v>76</v>
          </cell>
          <cell r="M91">
            <v>69</v>
          </cell>
        </row>
        <row r="92">
          <cell r="C92" t="str">
            <v>B109</v>
          </cell>
          <cell r="D92" t="str">
            <v>AHAMMED SAFAR ZAKARIYA</v>
          </cell>
          <cell r="E92" t="str">
            <v>DAHF</v>
          </cell>
          <cell r="F92" t="str">
            <v>JUNIOR</v>
          </cell>
          <cell r="G92">
            <v>3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76</v>
          </cell>
          <cell r="M92">
            <v>96</v>
          </cell>
        </row>
        <row r="93">
          <cell r="C93" t="str">
            <v>B110</v>
          </cell>
          <cell r="D93" t="str">
            <v>MUHAMMED MUHAZ P A</v>
          </cell>
          <cell r="E93" t="str">
            <v>DAHF</v>
          </cell>
          <cell r="F93" t="str">
            <v>JUNIOR</v>
          </cell>
          <cell r="G93">
            <v>3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76</v>
          </cell>
          <cell r="M93">
            <v>96</v>
          </cell>
        </row>
        <row r="94">
          <cell r="C94" t="str">
            <v>B111</v>
          </cell>
          <cell r="D94" t="str">
            <v>MUHAMMED SAHEEM ASHRAF</v>
          </cell>
          <cell r="E94" t="str">
            <v>FANT</v>
          </cell>
          <cell r="F94" t="str">
            <v>JUNIOR</v>
          </cell>
          <cell r="G94">
            <v>3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76</v>
          </cell>
          <cell r="M94">
            <v>96</v>
          </cell>
        </row>
        <row r="95">
          <cell r="C95" t="str">
            <v>B112</v>
          </cell>
          <cell r="D95" t="str">
            <v>SHARAZ AHAMMED</v>
          </cell>
          <cell r="E95" t="str">
            <v>FANT</v>
          </cell>
          <cell r="F95" t="str">
            <v>JUNIOR</v>
          </cell>
          <cell r="G95">
            <v>3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76</v>
          </cell>
          <cell r="M95">
            <v>96</v>
          </cell>
        </row>
        <row r="96">
          <cell r="C96" t="str">
            <v>B113</v>
          </cell>
          <cell r="D96" t="str">
            <v>MUHAMMED IHTHISHAM P I</v>
          </cell>
          <cell r="E96" t="str">
            <v>BADF</v>
          </cell>
          <cell r="F96" t="str">
            <v>JUNIOR</v>
          </cell>
          <cell r="G96">
            <v>3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76</v>
          </cell>
          <cell r="M96">
            <v>96</v>
          </cell>
        </row>
        <row r="97">
          <cell r="C97" t="str">
            <v>B114</v>
          </cell>
          <cell r="D97" t="str">
            <v>AMEEN RAHMAN MTP</v>
          </cell>
          <cell r="E97" t="str">
            <v>DAHF</v>
          </cell>
          <cell r="F97" t="str">
            <v>JUNIOR</v>
          </cell>
          <cell r="G97">
            <v>3</v>
          </cell>
          <cell r="H97">
            <v>3</v>
          </cell>
          <cell r="I97">
            <v>0</v>
          </cell>
          <cell r="J97">
            <v>3</v>
          </cell>
          <cell r="K97">
            <v>3</v>
          </cell>
          <cell r="L97">
            <v>30</v>
          </cell>
          <cell r="M97">
            <v>46</v>
          </cell>
        </row>
        <row r="98">
          <cell r="C98" t="str">
            <v>B115</v>
          </cell>
          <cell r="D98" t="str">
            <v>HASSAN SAHAL N A</v>
          </cell>
          <cell r="E98" t="str">
            <v>FANT</v>
          </cell>
          <cell r="F98" t="str">
            <v>JUNIOR</v>
          </cell>
          <cell r="G98">
            <v>3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76</v>
          </cell>
          <cell r="M98">
            <v>96</v>
          </cell>
        </row>
        <row r="99">
          <cell r="C99" t="str">
            <v>B116</v>
          </cell>
          <cell r="D99" t="str">
            <v>MOHAMMED SABIK BM</v>
          </cell>
          <cell r="E99" t="str">
            <v>JARF</v>
          </cell>
          <cell r="F99" t="str">
            <v>JUNIOR</v>
          </cell>
          <cell r="G99">
            <v>3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76</v>
          </cell>
          <cell r="M99">
            <v>96</v>
          </cell>
        </row>
        <row r="100">
          <cell r="C100" t="str">
            <v>B117</v>
          </cell>
          <cell r="D100" t="str">
            <v>MUHAMMAD SABITH V K P</v>
          </cell>
          <cell r="E100" t="str">
            <v>BADF</v>
          </cell>
          <cell r="F100" t="str">
            <v>JUNIOR</v>
          </cell>
          <cell r="G100">
            <v>3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76</v>
          </cell>
          <cell r="M100">
            <v>96</v>
          </cell>
        </row>
        <row r="101">
          <cell r="C101" t="str">
            <v>B118</v>
          </cell>
          <cell r="D101" t="str">
            <v>Muhammad Muaaz</v>
          </cell>
          <cell r="E101" t="str">
            <v>JARF</v>
          </cell>
          <cell r="F101" t="str">
            <v>JUNIOR</v>
          </cell>
          <cell r="G101">
            <v>3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76</v>
          </cell>
          <cell r="M101">
            <v>96</v>
          </cell>
        </row>
        <row r="102">
          <cell r="C102" t="str">
            <v>B119</v>
          </cell>
          <cell r="D102" t="str">
            <v>ABDUL SA-AD</v>
          </cell>
          <cell r="E102" t="str">
            <v>JARF</v>
          </cell>
          <cell r="F102" t="str">
            <v>JUNIOR</v>
          </cell>
          <cell r="G102">
            <v>3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76</v>
          </cell>
          <cell r="M102">
            <v>96</v>
          </cell>
        </row>
        <row r="103">
          <cell r="C103" t="str">
            <v>B120</v>
          </cell>
          <cell r="D103" t="str">
            <v>MOHAMMED RIYAN</v>
          </cell>
          <cell r="E103" t="str">
            <v>FANT</v>
          </cell>
          <cell r="F103" t="str">
            <v>JUNIOR</v>
          </cell>
          <cell r="G103">
            <v>3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76</v>
          </cell>
          <cell r="M103">
            <v>96</v>
          </cell>
        </row>
        <row r="104">
          <cell r="C104" t="str">
            <v>B121</v>
          </cell>
          <cell r="D104" t="str">
            <v>MOHIDDEEN SHAHSHAD</v>
          </cell>
          <cell r="E104" t="str">
            <v>BADF</v>
          </cell>
          <cell r="F104" t="str">
            <v>JUNIOR</v>
          </cell>
          <cell r="G104">
            <v>3</v>
          </cell>
          <cell r="H104">
            <v>0</v>
          </cell>
          <cell r="I104">
            <v>1</v>
          </cell>
          <cell r="J104">
            <v>1</v>
          </cell>
          <cell r="K104">
            <v>1</v>
          </cell>
          <cell r="L104">
            <v>54</v>
          </cell>
          <cell r="M104">
            <v>69</v>
          </cell>
        </row>
        <row r="105">
          <cell r="C105" t="str">
            <v>B122</v>
          </cell>
          <cell r="D105" t="str">
            <v>MUHAMMAD FAYIZ B</v>
          </cell>
          <cell r="E105" t="str">
            <v>DAHF</v>
          </cell>
          <cell r="F105" t="str">
            <v>JUNIOR</v>
          </cell>
          <cell r="G105">
            <v>3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76</v>
          </cell>
          <cell r="M105">
            <v>96</v>
          </cell>
        </row>
        <row r="106">
          <cell r="C106" t="str">
            <v>B123</v>
          </cell>
          <cell r="D106" t="str">
            <v>MUHAMMED YASEEN</v>
          </cell>
          <cell r="E106" t="str">
            <v>FANT</v>
          </cell>
          <cell r="F106" t="str">
            <v>JUNIOR</v>
          </cell>
          <cell r="G106">
            <v>3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76</v>
          </cell>
          <cell r="M106">
            <v>96</v>
          </cell>
        </row>
        <row r="107">
          <cell r="C107" t="str">
            <v>B124</v>
          </cell>
          <cell r="D107" t="str">
            <v>MOHAMMED RAED. UA</v>
          </cell>
          <cell r="E107" t="str">
            <v>DAHF</v>
          </cell>
          <cell r="F107" t="str">
            <v>JUNIOR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76</v>
          </cell>
          <cell r="M107">
            <v>96</v>
          </cell>
        </row>
        <row r="108">
          <cell r="C108" t="str">
            <v>B125</v>
          </cell>
          <cell r="D108" t="str">
            <v>MUHAMMED SHANIFM P</v>
          </cell>
          <cell r="E108" t="str">
            <v>DAHF</v>
          </cell>
          <cell r="F108" t="str">
            <v>JUNIOR</v>
          </cell>
          <cell r="G108">
            <v>3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76</v>
          </cell>
          <cell r="M108">
            <v>96</v>
          </cell>
        </row>
        <row r="109">
          <cell r="C109" t="str">
            <v>B126</v>
          </cell>
          <cell r="D109" t="str">
            <v>AHAMMED JABIR K H</v>
          </cell>
          <cell r="E109" t="str">
            <v>JARF</v>
          </cell>
          <cell r="F109" t="str">
            <v>JUNIOR</v>
          </cell>
          <cell r="G109">
            <v>3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76</v>
          </cell>
          <cell r="M109">
            <v>96</v>
          </cell>
        </row>
        <row r="110">
          <cell r="C110" t="str">
            <v>B127</v>
          </cell>
          <cell r="D110" t="str">
            <v>THANSEEHU RAHMAN</v>
          </cell>
          <cell r="E110" t="str">
            <v>DAHF</v>
          </cell>
          <cell r="F110" t="str">
            <v>JUNIOR</v>
          </cell>
          <cell r="G110">
            <v>3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76</v>
          </cell>
          <cell r="M110">
            <v>96</v>
          </cell>
        </row>
        <row r="111">
          <cell r="C111" t="str">
            <v>B128</v>
          </cell>
          <cell r="D111" t="str">
            <v>MOHAMMED AFNAN</v>
          </cell>
          <cell r="E111" t="str">
            <v>BADF</v>
          </cell>
          <cell r="F111" t="str">
            <v>JUNIOR</v>
          </cell>
          <cell r="G111">
            <v>3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76</v>
          </cell>
          <cell r="M111">
            <v>96</v>
          </cell>
        </row>
        <row r="112">
          <cell r="C112" t="str">
            <v>B129</v>
          </cell>
          <cell r="D112" t="str">
            <v>MOHAMMED SABITH KU</v>
          </cell>
          <cell r="E112" t="str">
            <v>FANT</v>
          </cell>
          <cell r="F112" t="str">
            <v>JUNIOR</v>
          </cell>
          <cell r="G112">
            <v>3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76</v>
          </cell>
          <cell r="M112">
            <v>96</v>
          </cell>
        </row>
        <row r="113">
          <cell r="C113" t="str">
            <v>B130</v>
          </cell>
          <cell r="D113" t="str">
            <v>HAFIL ADIL AMANULLAH K K</v>
          </cell>
          <cell r="E113" t="str">
            <v>FANT</v>
          </cell>
          <cell r="F113" t="str">
            <v>JUNIOR</v>
          </cell>
          <cell r="G113">
            <v>3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76</v>
          </cell>
          <cell r="M113">
            <v>96</v>
          </cell>
        </row>
        <row r="114">
          <cell r="C114" t="str">
            <v>B131</v>
          </cell>
          <cell r="D114" t="str">
            <v>MUHAMMED BASSIM. E</v>
          </cell>
          <cell r="E114" t="str">
            <v>JARF</v>
          </cell>
          <cell r="F114" t="str">
            <v>JUNIOR</v>
          </cell>
          <cell r="G114">
            <v>3</v>
          </cell>
          <cell r="H114">
            <v>1</v>
          </cell>
          <cell r="I114">
            <v>0</v>
          </cell>
          <cell r="J114">
            <v>1</v>
          </cell>
          <cell r="K114">
            <v>1</v>
          </cell>
          <cell r="L114">
            <v>54</v>
          </cell>
          <cell r="M114">
            <v>69</v>
          </cell>
        </row>
        <row r="115">
          <cell r="C115" t="str">
            <v>B132</v>
          </cell>
          <cell r="D115" t="str">
            <v>MUHAMMED SAEED THUFAIL</v>
          </cell>
          <cell r="E115" t="str">
            <v>DAHF</v>
          </cell>
          <cell r="F115" t="str">
            <v>JUNIOR</v>
          </cell>
          <cell r="G115">
            <v>3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76</v>
          </cell>
          <cell r="M115">
            <v>96</v>
          </cell>
        </row>
        <row r="116">
          <cell r="C116" t="str">
            <v>B133</v>
          </cell>
          <cell r="D116" t="str">
            <v>MEERAN MOHIUDHEEN RAFIH</v>
          </cell>
          <cell r="E116" t="str">
            <v>JARF</v>
          </cell>
          <cell r="F116" t="str">
            <v>JUNIOR</v>
          </cell>
          <cell r="G116">
            <v>3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76</v>
          </cell>
          <cell r="M116">
            <v>96</v>
          </cell>
        </row>
        <row r="117">
          <cell r="C117" t="str">
            <v>B134</v>
          </cell>
          <cell r="D117" t="str">
            <v>ABDUL RAHIMAN AZAAN</v>
          </cell>
          <cell r="E117" t="str">
            <v>JARF</v>
          </cell>
          <cell r="F117" t="str">
            <v>JUNIOR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76</v>
          </cell>
          <cell r="M117">
            <v>96</v>
          </cell>
        </row>
        <row r="118">
          <cell r="C118" t="str">
            <v>B135</v>
          </cell>
          <cell r="D118" t="str">
            <v>MOHAMMED RAFIH M R</v>
          </cell>
          <cell r="E118" t="str">
            <v>FANT</v>
          </cell>
          <cell r="F118" t="str">
            <v>JUNIOR</v>
          </cell>
          <cell r="G118">
            <v>3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76</v>
          </cell>
          <cell r="M118">
            <v>96</v>
          </cell>
        </row>
        <row r="119">
          <cell r="C119" t="str">
            <v>B136</v>
          </cell>
          <cell r="D119" t="str">
            <v>MUHAMMAD MIJVAD K</v>
          </cell>
          <cell r="E119" t="str">
            <v>BADF</v>
          </cell>
          <cell r="F119" t="str">
            <v>JUNIOR</v>
          </cell>
          <cell r="G119">
            <v>3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76</v>
          </cell>
          <cell r="M119">
            <v>96</v>
          </cell>
        </row>
        <row r="120">
          <cell r="C120" t="str">
            <v>B137</v>
          </cell>
          <cell r="D120" t="str">
            <v>MOHAMMAD IJAN</v>
          </cell>
          <cell r="E120" t="str">
            <v>BADF</v>
          </cell>
          <cell r="F120" t="str">
            <v>JUNIOR</v>
          </cell>
          <cell r="G120">
            <v>3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76</v>
          </cell>
          <cell r="M120">
            <v>96</v>
          </cell>
        </row>
        <row r="121">
          <cell r="C121" t="str">
            <v>B138</v>
          </cell>
          <cell r="D121" t="str">
            <v>HABEEB RAHMAN CA</v>
          </cell>
          <cell r="E121" t="str">
            <v>BADF</v>
          </cell>
          <cell r="F121" t="str">
            <v>JUNIOR</v>
          </cell>
          <cell r="G121">
            <v>3</v>
          </cell>
          <cell r="H121">
            <v>5</v>
          </cell>
          <cell r="I121">
            <v>0</v>
          </cell>
          <cell r="J121">
            <v>5</v>
          </cell>
          <cell r="K121">
            <v>5</v>
          </cell>
          <cell r="L121">
            <v>13</v>
          </cell>
          <cell r="M121">
            <v>24</v>
          </cell>
        </row>
        <row r="122">
          <cell r="C122" t="str">
            <v>B139</v>
          </cell>
          <cell r="D122" t="str">
            <v>Muhammad</v>
          </cell>
          <cell r="E122" t="str">
            <v>DAHF</v>
          </cell>
          <cell r="F122" t="str">
            <v>JUNIOR</v>
          </cell>
          <cell r="G122">
            <v>3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76</v>
          </cell>
          <cell r="M122">
            <v>96</v>
          </cell>
        </row>
        <row r="123">
          <cell r="C123" t="str">
            <v>B140</v>
          </cell>
          <cell r="D123" t="str">
            <v>MOHAMMED SHAHID</v>
          </cell>
          <cell r="E123" t="str">
            <v>BADF</v>
          </cell>
          <cell r="F123" t="str">
            <v>JUNIOR</v>
          </cell>
          <cell r="G123">
            <v>4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76</v>
          </cell>
          <cell r="M123">
            <v>96</v>
          </cell>
        </row>
        <row r="124">
          <cell r="C124" t="str">
            <v>B141</v>
          </cell>
          <cell r="D124" t="str">
            <v>RAFNAS P</v>
          </cell>
          <cell r="E124" t="str">
            <v>FANT</v>
          </cell>
          <cell r="F124" t="str">
            <v>JUNIOR</v>
          </cell>
          <cell r="G124">
            <v>4</v>
          </cell>
          <cell r="H124">
            <v>0</v>
          </cell>
          <cell r="I124">
            <v>3</v>
          </cell>
          <cell r="J124">
            <v>3</v>
          </cell>
          <cell r="K124">
            <v>4</v>
          </cell>
          <cell r="L124">
            <v>30</v>
          </cell>
          <cell r="M124">
            <v>40</v>
          </cell>
        </row>
        <row r="125">
          <cell r="C125" t="str">
            <v>B142</v>
          </cell>
          <cell r="D125" t="str">
            <v>MUHAMMED HAMDAN A.P</v>
          </cell>
          <cell r="E125" t="str">
            <v>BADF</v>
          </cell>
          <cell r="F125" t="str">
            <v>JUNIOR</v>
          </cell>
          <cell r="G125">
            <v>4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76</v>
          </cell>
          <cell r="M125">
            <v>96</v>
          </cell>
        </row>
        <row r="126">
          <cell r="C126" t="str">
            <v>B143</v>
          </cell>
          <cell r="D126" t="str">
            <v>MOHAMMED SHADIL AP</v>
          </cell>
          <cell r="E126" t="str">
            <v>FANT</v>
          </cell>
          <cell r="F126" t="str">
            <v>JUNIOR</v>
          </cell>
          <cell r="G126">
            <v>4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76</v>
          </cell>
          <cell r="M126">
            <v>96</v>
          </cell>
        </row>
        <row r="127">
          <cell r="C127" t="str">
            <v>B144</v>
          </cell>
          <cell r="D127" t="str">
            <v>MUHAMMED NAFIH CI</v>
          </cell>
          <cell r="E127" t="str">
            <v>FANT</v>
          </cell>
          <cell r="F127" t="str">
            <v>JUNIOR</v>
          </cell>
          <cell r="G127">
            <v>4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76</v>
          </cell>
          <cell r="M127">
            <v>96</v>
          </cell>
        </row>
        <row r="128">
          <cell r="C128" t="str">
            <v>B145</v>
          </cell>
          <cell r="D128" t="str">
            <v>YASEEN NOORULLA PH</v>
          </cell>
          <cell r="E128" t="str">
            <v>FANT</v>
          </cell>
          <cell r="F128" t="str">
            <v>JUNIOR</v>
          </cell>
          <cell r="G128">
            <v>4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76</v>
          </cell>
          <cell r="M128">
            <v>96</v>
          </cell>
        </row>
        <row r="129">
          <cell r="C129" t="str">
            <v>B146</v>
          </cell>
          <cell r="D129" t="str">
            <v>WASEEM NIHAD A M</v>
          </cell>
          <cell r="E129" t="str">
            <v>BADF</v>
          </cell>
          <cell r="F129" t="str">
            <v>JUNIOR</v>
          </cell>
          <cell r="G129">
            <v>4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76</v>
          </cell>
          <cell r="M129">
            <v>96</v>
          </cell>
        </row>
        <row r="130">
          <cell r="C130" t="str">
            <v>B147</v>
          </cell>
          <cell r="D130" t="str">
            <v>MOHAMMED SHAMEEM B K</v>
          </cell>
          <cell r="E130" t="str">
            <v>JARF</v>
          </cell>
          <cell r="F130" t="str">
            <v>JUNIOR</v>
          </cell>
          <cell r="G130">
            <v>4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76</v>
          </cell>
          <cell r="M130">
            <v>96</v>
          </cell>
        </row>
        <row r="131">
          <cell r="C131" t="str">
            <v>B148</v>
          </cell>
          <cell r="D131" t="str">
            <v>MOHAMMED BAQIR TS</v>
          </cell>
          <cell r="E131" t="str">
            <v>JARF</v>
          </cell>
          <cell r="F131" t="str">
            <v>JUNIOR</v>
          </cell>
          <cell r="G131">
            <v>4</v>
          </cell>
          <cell r="H131">
            <v>5</v>
          </cell>
          <cell r="I131">
            <v>5</v>
          </cell>
          <cell r="J131">
            <v>10</v>
          </cell>
          <cell r="K131">
            <v>13</v>
          </cell>
          <cell r="L131">
            <v>1</v>
          </cell>
          <cell r="M131">
            <v>3</v>
          </cell>
        </row>
        <row r="132">
          <cell r="C132" t="str">
            <v>B149</v>
          </cell>
          <cell r="D132" t="str">
            <v>MUHAMMED FARHAN PH</v>
          </cell>
          <cell r="E132" t="str">
            <v>DAHF</v>
          </cell>
          <cell r="F132" t="str">
            <v>JUNIOR</v>
          </cell>
          <cell r="G132">
            <v>4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76</v>
          </cell>
          <cell r="M132">
            <v>96</v>
          </cell>
        </row>
        <row r="133">
          <cell r="C133" t="str">
            <v>B150</v>
          </cell>
          <cell r="D133" t="str">
            <v>ABDULLA FAHAD T.U</v>
          </cell>
          <cell r="E133" t="str">
            <v>FANT</v>
          </cell>
          <cell r="F133" t="str">
            <v>JUNIOR</v>
          </cell>
          <cell r="G133">
            <v>4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76</v>
          </cell>
          <cell r="M133">
            <v>96</v>
          </cell>
        </row>
        <row r="134">
          <cell r="C134" t="str">
            <v>B151</v>
          </cell>
          <cell r="D134" t="str">
            <v>ABDUL GAFOOR</v>
          </cell>
          <cell r="E134" t="str">
            <v>BADF</v>
          </cell>
          <cell r="F134" t="str">
            <v>JUNIOR</v>
          </cell>
          <cell r="G134">
            <v>4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76</v>
          </cell>
          <cell r="M134">
            <v>96</v>
          </cell>
        </row>
        <row r="135">
          <cell r="C135" t="str">
            <v>B152</v>
          </cell>
          <cell r="D135" t="str">
            <v>MUHAMMED MUNAZIR MM</v>
          </cell>
          <cell r="E135" t="str">
            <v>JARF</v>
          </cell>
          <cell r="F135" t="str">
            <v>JUNIOR</v>
          </cell>
          <cell r="G135">
            <v>4</v>
          </cell>
          <cell r="H135">
            <v>0</v>
          </cell>
          <cell r="I135">
            <v>5</v>
          </cell>
          <cell r="J135">
            <v>5</v>
          </cell>
          <cell r="K135">
            <v>5</v>
          </cell>
          <cell r="L135">
            <v>13</v>
          </cell>
          <cell r="M135">
            <v>24</v>
          </cell>
        </row>
        <row r="136">
          <cell r="C136" t="str">
            <v>B153</v>
          </cell>
          <cell r="D136" t="str">
            <v>ABDUL KHADER ISHAQUE</v>
          </cell>
          <cell r="E136" t="str">
            <v>BADF</v>
          </cell>
          <cell r="F136" t="str">
            <v>JUNIOR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76</v>
          </cell>
          <cell r="M136">
            <v>96</v>
          </cell>
        </row>
        <row r="137">
          <cell r="C137" t="str">
            <v>B154</v>
          </cell>
          <cell r="D137" t="str">
            <v>ABDULLA ALBAS</v>
          </cell>
          <cell r="E137" t="str">
            <v>DAHF</v>
          </cell>
          <cell r="F137" t="str">
            <v>JUNIOR</v>
          </cell>
          <cell r="G137">
            <v>4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76</v>
          </cell>
          <cell r="M137">
            <v>96</v>
          </cell>
        </row>
        <row r="138">
          <cell r="C138" t="str">
            <v>B155</v>
          </cell>
          <cell r="D138" t="str">
            <v>MUHAMMED A</v>
          </cell>
          <cell r="E138" t="str">
            <v>DAHF</v>
          </cell>
          <cell r="F138" t="str">
            <v>JUNIOR</v>
          </cell>
          <cell r="G138">
            <v>4</v>
          </cell>
          <cell r="H138">
            <v>0</v>
          </cell>
          <cell r="I138">
            <v>1</v>
          </cell>
          <cell r="J138">
            <v>1</v>
          </cell>
          <cell r="K138">
            <v>1</v>
          </cell>
          <cell r="L138">
            <v>54</v>
          </cell>
          <cell r="M138">
            <v>69</v>
          </cell>
        </row>
        <row r="139">
          <cell r="C139" t="str">
            <v>B156</v>
          </cell>
          <cell r="D139" t="str">
            <v>MOHAMMED ANAS A.A</v>
          </cell>
          <cell r="E139" t="str">
            <v>JARF</v>
          </cell>
          <cell r="F139" t="str">
            <v>JUNIOR</v>
          </cell>
          <cell r="G139">
            <v>4</v>
          </cell>
          <cell r="H139">
            <v>0</v>
          </cell>
          <cell r="I139">
            <v>0</v>
          </cell>
          <cell r="J139">
            <v>0</v>
          </cell>
          <cell r="K139">
            <v>3</v>
          </cell>
          <cell r="L139">
            <v>76</v>
          </cell>
          <cell r="M139">
            <v>46</v>
          </cell>
        </row>
        <row r="140">
          <cell r="C140" t="str">
            <v>B157</v>
          </cell>
          <cell r="D140" t="str">
            <v>MUHAMMED MIHRAZ</v>
          </cell>
          <cell r="E140" t="str">
            <v>FANT</v>
          </cell>
          <cell r="F140" t="str">
            <v>JUNIOR</v>
          </cell>
          <cell r="G140">
            <v>4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76</v>
          </cell>
          <cell r="M140">
            <v>96</v>
          </cell>
        </row>
        <row r="141">
          <cell r="C141" t="str">
            <v>B158</v>
          </cell>
          <cell r="D141" t="str">
            <v>FADIL MOHAMMED K M</v>
          </cell>
          <cell r="E141" t="str">
            <v>DAHF</v>
          </cell>
          <cell r="F141" t="str">
            <v>JUNIOR</v>
          </cell>
          <cell r="G141">
            <v>4</v>
          </cell>
          <cell r="H141">
            <v>0</v>
          </cell>
          <cell r="I141">
            <v>3</v>
          </cell>
          <cell r="J141">
            <v>3</v>
          </cell>
          <cell r="K141">
            <v>3</v>
          </cell>
          <cell r="L141">
            <v>30</v>
          </cell>
          <cell r="M141">
            <v>46</v>
          </cell>
        </row>
        <row r="142">
          <cell r="C142" t="str">
            <v>B159</v>
          </cell>
          <cell r="D142" t="str">
            <v>AJMAL AHMED MT</v>
          </cell>
          <cell r="E142" t="str">
            <v>DAHF</v>
          </cell>
          <cell r="F142" t="str">
            <v>JUNIOR</v>
          </cell>
          <cell r="G142">
            <v>4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76</v>
          </cell>
          <cell r="M142">
            <v>96</v>
          </cell>
        </row>
        <row r="143">
          <cell r="C143" t="str">
            <v>B160</v>
          </cell>
          <cell r="D143" t="str">
            <v>MOHAMMED DAWOOD K</v>
          </cell>
          <cell r="E143" t="str">
            <v>JARF</v>
          </cell>
          <cell r="F143" t="str">
            <v>JUNIOR</v>
          </cell>
          <cell r="G143">
            <v>4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76</v>
          </cell>
          <cell r="M143">
            <v>96</v>
          </cell>
        </row>
        <row r="144">
          <cell r="C144" t="str">
            <v>B161</v>
          </cell>
          <cell r="D144" t="str">
            <v>MUHAMMED RAZI TM</v>
          </cell>
          <cell r="E144" t="str">
            <v>DAHF</v>
          </cell>
          <cell r="F144" t="str">
            <v>JUNIOR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76</v>
          </cell>
          <cell r="M144">
            <v>96</v>
          </cell>
        </row>
        <row r="145">
          <cell r="C145" t="str">
            <v>B162</v>
          </cell>
          <cell r="D145" t="str">
            <v>RAYHAN PH</v>
          </cell>
          <cell r="E145" t="str">
            <v>JARF</v>
          </cell>
          <cell r="F145" t="str">
            <v>JUNIOR</v>
          </cell>
          <cell r="G145">
            <v>4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76</v>
          </cell>
          <cell r="M145">
            <v>96</v>
          </cell>
        </row>
        <row r="146">
          <cell r="C146" t="str">
            <v>B163</v>
          </cell>
          <cell r="D146" t="str">
            <v>MOHAMMED YOUNUS</v>
          </cell>
          <cell r="E146" t="str">
            <v>JARF</v>
          </cell>
          <cell r="F146" t="str">
            <v>JUNIOR</v>
          </cell>
          <cell r="G146">
            <v>4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76</v>
          </cell>
          <cell r="M146">
            <v>96</v>
          </cell>
        </row>
        <row r="147">
          <cell r="C147" t="str">
            <v>B164</v>
          </cell>
          <cell r="D147" t="str">
            <v>RASALUL AMEEN T</v>
          </cell>
          <cell r="E147" t="str">
            <v>BADF</v>
          </cell>
          <cell r="F147" t="str">
            <v>JUNIOR</v>
          </cell>
          <cell r="G147">
            <v>4</v>
          </cell>
          <cell r="H147">
            <v>3</v>
          </cell>
          <cell r="I147">
            <v>0</v>
          </cell>
          <cell r="J147">
            <v>3</v>
          </cell>
          <cell r="K147">
            <v>13</v>
          </cell>
          <cell r="L147">
            <v>30</v>
          </cell>
          <cell r="M147">
            <v>3</v>
          </cell>
        </row>
        <row r="148">
          <cell r="C148" t="str">
            <v>C100</v>
          </cell>
          <cell r="D148" t="str">
            <v>IBRAHIM AFIL</v>
          </cell>
          <cell r="E148" t="str">
            <v>DAHF</v>
          </cell>
          <cell r="F148" t="str">
            <v>SENIOR</v>
          </cell>
          <cell r="G148">
            <v>5</v>
          </cell>
          <cell r="H148">
            <v>0</v>
          </cell>
          <cell r="I148">
            <v>10</v>
          </cell>
          <cell r="J148">
            <v>10</v>
          </cell>
          <cell r="K148">
            <v>10</v>
          </cell>
          <cell r="L148">
            <v>1</v>
          </cell>
          <cell r="M148">
            <v>7</v>
          </cell>
        </row>
        <row r="149">
          <cell r="C149" t="str">
            <v>C101</v>
          </cell>
          <cell r="D149" t="str">
            <v>MUHAMMED KASHIF</v>
          </cell>
          <cell r="E149" t="str">
            <v>FANT</v>
          </cell>
          <cell r="F149" t="str">
            <v>SENIOR</v>
          </cell>
          <cell r="G149">
            <v>5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76</v>
          </cell>
          <cell r="M149">
            <v>96</v>
          </cell>
        </row>
        <row r="150">
          <cell r="C150" t="str">
            <v>C102</v>
          </cell>
          <cell r="D150" t="str">
            <v>AHAMMED MAHSHOOK M.B</v>
          </cell>
          <cell r="E150" t="str">
            <v>DAHF</v>
          </cell>
          <cell r="F150" t="str">
            <v>SENIOR</v>
          </cell>
          <cell r="G150">
            <v>5</v>
          </cell>
          <cell r="H150">
            <v>0</v>
          </cell>
          <cell r="I150">
            <v>0</v>
          </cell>
          <cell r="J150">
            <v>0</v>
          </cell>
          <cell r="K150">
            <v>1</v>
          </cell>
          <cell r="L150">
            <v>76</v>
          </cell>
          <cell r="M150">
            <v>69</v>
          </cell>
        </row>
        <row r="151">
          <cell r="C151" t="str">
            <v>C103</v>
          </cell>
          <cell r="D151" t="str">
            <v>MUHAMMED ABDUL KADER</v>
          </cell>
          <cell r="E151" t="str">
            <v>BADF</v>
          </cell>
          <cell r="F151" t="str">
            <v>SENIOR</v>
          </cell>
          <cell r="G151">
            <v>5</v>
          </cell>
          <cell r="H151">
            <v>0</v>
          </cell>
          <cell r="I151">
            <v>5</v>
          </cell>
          <cell r="J151">
            <v>5</v>
          </cell>
          <cell r="K151">
            <v>8</v>
          </cell>
          <cell r="L151">
            <v>13</v>
          </cell>
          <cell r="M151">
            <v>12</v>
          </cell>
        </row>
        <row r="152">
          <cell r="C152" t="str">
            <v>C104</v>
          </cell>
          <cell r="D152" t="str">
            <v>HADIL RIJAS</v>
          </cell>
          <cell r="E152" t="str">
            <v>BADF</v>
          </cell>
          <cell r="F152" t="str">
            <v>SENIOR</v>
          </cell>
          <cell r="G152">
            <v>5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  <cell r="L152">
            <v>76</v>
          </cell>
          <cell r="M152">
            <v>69</v>
          </cell>
        </row>
        <row r="153">
          <cell r="C153" t="str">
            <v>C105</v>
          </cell>
          <cell r="D153" t="str">
            <v>AHMAD MANAL KUDINGILA</v>
          </cell>
          <cell r="E153" t="str">
            <v>JARF</v>
          </cell>
          <cell r="F153" t="str">
            <v>SENIOR</v>
          </cell>
          <cell r="G153">
            <v>5</v>
          </cell>
          <cell r="H153">
            <v>0</v>
          </cell>
          <cell r="I153">
            <v>0</v>
          </cell>
          <cell r="J153">
            <v>0</v>
          </cell>
          <cell r="K153">
            <v>1</v>
          </cell>
          <cell r="L153">
            <v>76</v>
          </cell>
          <cell r="M153">
            <v>69</v>
          </cell>
        </row>
        <row r="154">
          <cell r="C154" t="str">
            <v>C106</v>
          </cell>
          <cell r="D154" t="str">
            <v>ABDUL RAHMAN ANFHAL M I</v>
          </cell>
          <cell r="E154" t="str">
            <v>BADF</v>
          </cell>
          <cell r="F154" t="str">
            <v>SENIOR</v>
          </cell>
          <cell r="G154">
            <v>5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76</v>
          </cell>
          <cell r="M154">
            <v>96</v>
          </cell>
        </row>
        <row r="155">
          <cell r="C155" t="str">
            <v>C107</v>
          </cell>
          <cell r="D155" t="str">
            <v>ADIL ABDULLA A</v>
          </cell>
          <cell r="E155" t="str">
            <v>DAHF</v>
          </cell>
          <cell r="F155" t="str">
            <v>SENIOR</v>
          </cell>
          <cell r="G155">
            <v>5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76</v>
          </cell>
          <cell r="M155">
            <v>96</v>
          </cell>
        </row>
        <row r="156">
          <cell r="C156" t="str">
            <v>C108</v>
          </cell>
          <cell r="D156" t="str">
            <v>ABDULLA SALMAN FARIS M</v>
          </cell>
          <cell r="E156" t="str">
            <v>FANT</v>
          </cell>
          <cell r="F156" t="str">
            <v>SENIOR</v>
          </cell>
          <cell r="G156">
            <v>5</v>
          </cell>
          <cell r="H156">
            <v>1</v>
          </cell>
          <cell r="I156">
            <v>0</v>
          </cell>
          <cell r="J156">
            <v>1</v>
          </cell>
          <cell r="K156">
            <v>1</v>
          </cell>
          <cell r="L156">
            <v>54</v>
          </cell>
          <cell r="M156">
            <v>69</v>
          </cell>
        </row>
        <row r="157">
          <cell r="C157" t="str">
            <v>C109</v>
          </cell>
          <cell r="D157" t="str">
            <v>ABDULLA FARHAN M</v>
          </cell>
          <cell r="E157" t="str">
            <v>BADF</v>
          </cell>
          <cell r="F157" t="str">
            <v>SENIOR</v>
          </cell>
          <cell r="G157">
            <v>5</v>
          </cell>
          <cell r="H157">
            <v>3</v>
          </cell>
          <cell r="I157">
            <v>0</v>
          </cell>
          <cell r="J157">
            <v>3</v>
          </cell>
          <cell r="K157">
            <v>3</v>
          </cell>
          <cell r="L157">
            <v>30</v>
          </cell>
          <cell r="M157">
            <v>46</v>
          </cell>
        </row>
        <row r="158">
          <cell r="C158" t="str">
            <v>C110</v>
          </cell>
          <cell r="D158" t="str">
            <v>SHADIL AHAMED</v>
          </cell>
          <cell r="E158" t="str">
            <v>DAHF</v>
          </cell>
          <cell r="F158" t="str">
            <v>SENIOR</v>
          </cell>
          <cell r="G158">
            <v>5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76</v>
          </cell>
          <cell r="M158">
            <v>96</v>
          </cell>
        </row>
        <row r="159">
          <cell r="C159" t="str">
            <v>C111</v>
          </cell>
          <cell r="D159" t="str">
            <v>MUHAMMAD ISMAIL HAMDULLA V K</v>
          </cell>
          <cell r="E159" t="str">
            <v>JARF</v>
          </cell>
          <cell r="F159" t="str">
            <v>SENIOR</v>
          </cell>
          <cell r="G159">
            <v>5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76</v>
          </cell>
          <cell r="M159">
            <v>96</v>
          </cell>
        </row>
        <row r="160">
          <cell r="C160" t="str">
            <v>C112</v>
          </cell>
          <cell r="D160" t="str">
            <v>MOHAMMED SA'DUDDEEN K</v>
          </cell>
          <cell r="E160" t="str">
            <v>FANT</v>
          </cell>
          <cell r="F160" t="str">
            <v>SENIOR</v>
          </cell>
          <cell r="G160">
            <v>5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76</v>
          </cell>
          <cell r="M160">
            <v>96</v>
          </cell>
        </row>
        <row r="161">
          <cell r="C161" t="str">
            <v>C113</v>
          </cell>
          <cell r="D161" t="str">
            <v>SEYYAD MUHAMMED FAHMAN</v>
          </cell>
          <cell r="E161" t="str">
            <v>JARF</v>
          </cell>
          <cell r="F161" t="str">
            <v>SENIOR</v>
          </cell>
          <cell r="G161">
            <v>5</v>
          </cell>
          <cell r="H161">
            <v>0</v>
          </cell>
          <cell r="I161">
            <v>0</v>
          </cell>
          <cell r="J161">
            <v>0</v>
          </cell>
          <cell r="K161">
            <v>5</v>
          </cell>
          <cell r="L161">
            <v>76</v>
          </cell>
          <cell r="M161">
            <v>24</v>
          </cell>
        </row>
        <row r="162">
          <cell r="C162" t="str">
            <v>C114</v>
          </cell>
          <cell r="D162" t="str">
            <v>AJMAL RUWAIS</v>
          </cell>
          <cell r="E162" t="str">
            <v>BADF</v>
          </cell>
          <cell r="F162" t="str">
            <v>SENIOR</v>
          </cell>
          <cell r="G162">
            <v>5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76</v>
          </cell>
          <cell r="M162">
            <v>96</v>
          </cell>
        </row>
        <row r="163">
          <cell r="C163" t="str">
            <v>C115</v>
          </cell>
          <cell r="D163" t="str">
            <v>MOHAMMED ABDUL KHADER K</v>
          </cell>
          <cell r="E163" t="str">
            <v>FANT</v>
          </cell>
          <cell r="F163" t="str">
            <v>SENIOR</v>
          </cell>
          <cell r="G163">
            <v>5</v>
          </cell>
          <cell r="H163">
            <v>0</v>
          </cell>
          <cell r="I163">
            <v>0</v>
          </cell>
          <cell r="J163">
            <v>0</v>
          </cell>
          <cell r="K163">
            <v>5</v>
          </cell>
          <cell r="L163">
            <v>76</v>
          </cell>
          <cell r="M163">
            <v>24</v>
          </cell>
        </row>
        <row r="164">
          <cell r="C164" t="str">
            <v>C116</v>
          </cell>
          <cell r="D164" t="str">
            <v>MUAHMMED ANAS P A</v>
          </cell>
          <cell r="E164" t="str">
            <v>JARF</v>
          </cell>
          <cell r="F164" t="str">
            <v>SENIOR</v>
          </cell>
          <cell r="G164">
            <v>5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76</v>
          </cell>
          <cell r="M164">
            <v>96</v>
          </cell>
        </row>
        <row r="165">
          <cell r="C165" t="str">
            <v>C117</v>
          </cell>
          <cell r="D165" t="str">
            <v>Muhammed fahiz A K</v>
          </cell>
          <cell r="E165" t="str">
            <v>DAHF</v>
          </cell>
          <cell r="F165" t="str">
            <v>SENIOR</v>
          </cell>
          <cell r="G165">
            <v>5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76</v>
          </cell>
          <cell r="M165">
            <v>96</v>
          </cell>
        </row>
        <row r="166">
          <cell r="C166" t="str">
            <v>C118</v>
          </cell>
          <cell r="D166" t="str">
            <v>MUHAMMAD SHAMMAS</v>
          </cell>
          <cell r="E166" t="str">
            <v>FANT</v>
          </cell>
          <cell r="F166" t="str">
            <v>SENIOR</v>
          </cell>
          <cell r="G166">
            <v>5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76</v>
          </cell>
          <cell r="M166">
            <v>96</v>
          </cell>
        </row>
        <row r="167">
          <cell r="C167" t="str">
            <v>C119</v>
          </cell>
          <cell r="D167" t="str">
            <v>ARIFUDEEN ABBAS A</v>
          </cell>
          <cell r="E167" t="str">
            <v>JARF</v>
          </cell>
          <cell r="F167" t="str">
            <v>SENIOR</v>
          </cell>
          <cell r="G167">
            <v>5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76</v>
          </cell>
          <cell r="M167">
            <v>96</v>
          </cell>
        </row>
        <row r="168">
          <cell r="C168" t="str">
            <v>C120</v>
          </cell>
          <cell r="D168" t="str">
            <v>MAJID MUHAMMED M</v>
          </cell>
          <cell r="E168" t="str">
            <v>DAHF</v>
          </cell>
          <cell r="F168" t="str">
            <v>SENIOR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76</v>
          </cell>
          <cell r="M168">
            <v>96</v>
          </cell>
        </row>
        <row r="169">
          <cell r="C169" t="str">
            <v>C121</v>
          </cell>
          <cell r="D169" t="str">
            <v>ABDUL SALAM ARIF</v>
          </cell>
          <cell r="E169" t="str">
            <v>JARF</v>
          </cell>
          <cell r="F169" t="str">
            <v>SENIOR</v>
          </cell>
          <cell r="G169">
            <v>5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76</v>
          </cell>
          <cell r="M169">
            <v>96</v>
          </cell>
        </row>
        <row r="170">
          <cell r="C170" t="str">
            <v>C122</v>
          </cell>
          <cell r="D170" t="str">
            <v>MOHAMMED K H</v>
          </cell>
          <cell r="E170" t="str">
            <v>BADF</v>
          </cell>
          <cell r="F170" t="str">
            <v>SENIOR</v>
          </cell>
          <cell r="G170">
            <v>5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76</v>
          </cell>
          <cell r="M170">
            <v>96</v>
          </cell>
        </row>
        <row r="171">
          <cell r="C171" t="str">
            <v>C123</v>
          </cell>
          <cell r="D171" t="str">
            <v>MOHAMMED FAQRUDDEEN RAZI</v>
          </cell>
          <cell r="E171" t="str">
            <v>BADF</v>
          </cell>
          <cell r="F171" t="str">
            <v>SENIOR</v>
          </cell>
          <cell r="G171">
            <v>5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76</v>
          </cell>
          <cell r="M171">
            <v>96</v>
          </cell>
        </row>
        <row r="172">
          <cell r="C172" t="str">
            <v>C124</v>
          </cell>
          <cell r="D172" t="str">
            <v>MOHAMMED MUBASHIR</v>
          </cell>
          <cell r="E172" t="str">
            <v>BADF</v>
          </cell>
          <cell r="F172" t="str">
            <v>SENIOR</v>
          </cell>
          <cell r="G172">
            <v>5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76</v>
          </cell>
          <cell r="M172">
            <v>96</v>
          </cell>
        </row>
        <row r="173">
          <cell r="C173" t="str">
            <v>C125</v>
          </cell>
          <cell r="D173" t="str">
            <v>AHAMMED MINHAJ E M</v>
          </cell>
          <cell r="E173" t="str">
            <v>FANT</v>
          </cell>
          <cell r="F173" t="str">
            <v>SENIOR</v>
          </cell>
          <cell r="G173">
            <v>5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76</v>
          </cell>
          <cell r="M173">
            <v>96</v>
          </cell>
        </row>
        <row r="174">
          <cell r="C174" t="str">
            <v>C126</v>
          </cell>
          <cell r="D174" t="str">
            <v>ADNAN ABDULLAH B A</v>
          </cell>
          <cell r="E174" t="str">
            <v>JARF</v>
          </cell>
          <cell r="F174" t="str">
            <v>SENIOR</v>
          </cell>
          <cell r="G174">
            <v>5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76</v>
          </cell>
          <cell r="M174">
            <v>96</v>
          </cell>
        </row>
        <row r="175">
          <cell r="C175" t="str">
            <v>C127</v>
          </cell>
          <cell r="D175" t="str">
            <v>SHAMMAZ P A</v>
          </cell>
          <cell r="E175" t="str">
            <v>FANT</v>
          </cell>
          <cell r="F175" t="str">
            <v>SENIOR</v>
          </cell>
          <cell r="G175">
            <v>5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76</v>
          </cell>
          <cell r="M175">
            <v>96</v>
          </cell>
        </row>
        <row r="176">
          <cell r="C176" t="str">
            <v>C128</v>
          </cell>
          <cell r="D176" t="str">
            <v>MAHIN SINAN</v>
          </cell>
          <cell r="E176" t="str">
            <v>DAHF</v>
          </cell>
          <cell r="F176" t="str">
            <v>SENIOR</v>
          </cell>
          <cell r="G176">
            <v>5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76</v>
          </cell>
          <cell r="M176">
            <v>96</v>
          </cell>
        </row>
        <row r="177">
          <cell r="C177" t="str">
            <v>C129</v>
          </cell>
          <cell r="D177" t="str">
            <v>P K ZAMEEL AHMED</v>
          </cell>
          <cell r="E177" t="str">
            <v>BADF</v>
          </cell>
          <cell r="F177" t="str">
            <v>SENIOR</v>
          </cell>
          <cell r="G177">
            <v>5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76</v>
          </cell>
          <cell r="M177">
            <v>96</v>
          </cell>
        </row>
        <row r="178">
          <cell r="C178" t="str">
            <v>C130</v>
          </cell>
          <cell r="D178" t="str">
            <v>MOHAMMED HISHAM</v>
          </cell>
          <cell r="E178" t="str">
            <v>DAHF</v>
          </cell>
          <cell r="F178" t="str">
            <v>SENIOR</v>
          </cell>
          <cell r="G178">
            <v>5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76</v>
          </cell>
          <cell r="M178">
            <v>96</v>
          </cell>
        </row>
        <row r="179">
          <cell r="C179" t="str">
            <v>C131</v>
          </cell>
          <cell r="D179" t="str">
            <v>IBRAHIM AHRAZ</v>
          </cell>
          <cell r="E179" t="str">
            <v>FANT</v>
          </cell>
          <cell r="F179" t="str">
            <v>SENIOR</v>
          </cell>
          <cell r="G179">
            <v>6</v>
          </cell>
          <cell r="H179">
            <v>0</v>
          </cell>
          <cell r="I179">
            <v>3</v>
          </cell>
          <cell r="J179">
            <v>3</v>
          </cell>
          <cell r="K179">
            <v>3</v>
          </cell>
          <cell r="L179">
            <v>30</v>
          </cell>
          <cell r="M179">
            <v>46</v>
          </cell>
        </row>
        <row r="180">
          <cell r="C180" t="str">
            <v>C132</v>
          </cell>
          <cell r="D180" t="str">
            <v>MUHAMMAD SHAZIN</v>
          </cell>
          <cell r="E180" t="str">
            <v>BADF</v>
          </cell>
          <cell r="F180" t="str">
            <v>SENIOR</v>
          </cell>
          <cell r="G180">
            <v>6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76</v>
          </cell>
          <cell r="M180">
            <v>96</v>
          </cell>
        </row>
        <row r="181">
          <cell r="C181" t="str">
            <v>C133</v>
          </cell>
          <cell r="D181" t="str">
            <v>SALMANUL FARIS</v>
          </cell>
          <cell r="E181" t="str">
            <v>DAHF</v>
          </cell>
          <cell r="F181" t="str">
            <v>SENIOR</v>
          </cell>
          <cell r="G181">
            <v>6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76</v>
          </cell>
          <cell r="M181">
            <v>96</v>
          </cell>
        </row>
        <row r="182">
          <cell r="C182" t="str">
            <v>C134</v>
          </cell>
          <cell r="D182" t="str">
            <v>MUHAMMED ABDUL NASIF P.A</v>
          </cell>
          <cell r="E182" t="str">
            <v>FANT</v>
          </cell>
          <cell r="F182" t="str">
            <v>SENIOR</v>
          </cell>
          <cell r="G182">
            <v>6</v>
          </cell>
          <cell r="H182">
            <v>0</v>
          </cell>
          <cell r="I182">
            <v>8</v>
          </cell>
          <cell r="J182">
            <v>8</v>
          </cell>
          <cell r="K182">
            <v>8</v>
          </cell>
          <cell r="L182">
            <v>5</v>
          </cell>
          <cell r="M182">
            <v>12</v>
          </cell>
        </row>
        <row r="183">
          <cell r="C183" t="str">
            <v>C135</v>
          </cell>
          <cell r="D183" t="str">
            <v>AHAMAD SHABAB P A</v>
          </cell>
          <cell r="E183" t="str">
            <v>JARF</v>
          </cell>
          <cell r="F183" t="str">
            <v>SENIOR</v>
          </cell>
          <cell r="G183">
            <v>6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76</v>
          </cell>
          <cell r="M183">
            <v>96</v>
          </cell>
        </row>
        <row r="184">
          <cell r="C184" t="str">
            <v>C136</v>
          </cell>
          <cell r="D184" t="str">
            <v>MOHAMMED SHAKIR HUSSAIN K.Y</v>
          </cell>
          <cell r="E184" t="str">
            <v>DAHF</v>
          </cell>
          <cell r="F184" t="str">
            <v>SENIOR</v>
          </cell>
          <cell r="G184">
            <v>6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76</v>
          </cell>
          <cell r="M184">
            <v>96</v>
          </cell>
        </row>
        <row r="185">
          <cell r="C185" t="str">
            <v>C137</v>
          </cell>
          <cell r="D185" t="str">
            <v>MUHAMMED SHUHAIB S</v>
          </cell>
          <cell r="E185" t="str">
            <v>FANT</v>
          </cell>
          <cell r="F185" t="str">
            <v>SENIOR</v>
          </cell>
          <cell r="G185">
            <v>6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76</v>
          </cell>
          <cell r="M185">
            <v>96</v>
          </cell>
        </row>
        <row r="186">
          <cell r="C186" t="str">
            <v>C138</v>
          </cell>
          <cell r="D186" t="str">
            <v>MOHAMMED MOINUDDEEN CHISTY</v>
          </cell>
          <cell r="E186" t="str">
            <v>FANT</v>
          </cell>
          <cell r="F186" t="str">
            <v>SENIOR</v>
          </cell>
          <cell r="G186">
            <v>6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76</v>
          </cell>
          <cell r="M186">
            <v>96</v>
          </cell>
        </row>
        <row r="187">
          <cell r="C187" t="str">
            <v>C139</v>
          </cell>
          <cell r="D187" t="str">
            <v>SULAIMAN FAHAD AP</v>
          </cell>
          <cell r="E187" t="str">
            <v>BADF</v>
          </cell>
          <cell r="F187" t="str">
            <v>SENIOR</v>
          </cell>
          <cell r="G187">
            <v>6</v>
          </cell>
          <cell r="H187">
            <v>0</v>
          </cell>
          <cell r="I187">
            <v>4</v>
          </cell>
          <cell r="J187">
            <v>4</v>
          </cell>
          <cell r="K187">
            <v>9</v>
          </cell>
          <cell r="L187">
            <v>29</v>
          </cell>
          <cell r="M187">
            <v>11</v>
          </cell>
        </row>
        <row r="188">
          <cell r="C188" t="str">
            <v>C140</v>
          </cell>
          <cell r="D188" t="str">
            <v>IJAS EBRAHIM</v>
          </cell>
          <cell r="E188" t="str">
            <v>JARF</v>
          </cell>
          <cell r="F188" t="str">
            <v>SENIOR</v>
          </cell>
          <cell r="G188">
            <v>6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76</v>
          </cell>
          <cell r="M188">
            <v>96</v>
          </cell>
        </row>
        <row r="189">
          <cell r="C189" t="str">
            <v>C141</v>
          </cell>
          <cell r="D189" t="str">
            <v>AHMAD MINHAJ</v>
          </cell>
          <cell r="E189" t="str">
            <v>BADF</v>
          </cell>
          <cell r="F189" t="str">
            <v>SENIOR</v>
          </cell>
          <cell r="G189">
            <v>6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76</v>
          </cell>
          <cell r="M189">
            <v>96</v>
          </cell>
        </row>
        <row r="190">
          <cell r="C190" t="str">
            <v>C142</v>
          </cell>
          <cell r="D190" t="str">
            <v>AHMAD AMEEN T S</v>
          </cell>
          <cell r="E190" t="str">
            <v>FANT</v>
          </cell>
          <cell r="F190" t="str">
            <v>SENIOR</v>
          </cell>
          <cell r="G190">
            <v>6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76</v>
          </cell>
          <cell r="M190">
            <v>96</v>
          </cell>
        </row>
        <row r="191">
          <cell r="C191" t="str">
            <v>C143</v>
          </cell>
          <cell r="D191" t="str">
            <v>MUHAMMED SINAN M</v>
          </cell>
          <cell r="E191" t="str">
            <v>JARF</v>
          </cell>
          <cell r="F191" t="str">
            <v>SENIOR</v>
          </cell>
          <cell r="G191">
            <v>6</v>
          </cell>
          <cell r="H191">
            <v>0</v>
          </cell>
          <cell r="I191">
            <v>3</v>
          </cell>
          <cell r="J191">
            <v>3</v>
          </cell>
          <cell r="K191">
            <v>3</v>
          </cell>
          <cell r="L191">
            <v>30</v>
          </cell>
          <cell r="M191">
            <v>46</v>
          </cell>
        </row>
        <row r="192">
          <cell r="C192" t="str">
            <v>C144</v>
          </cell>
          <cell r="D192" t="str">
            <v>MUHAMMED ASHKKAR ALI</v>
          </cell>
          <cell r="E192" t="str">
            <v>DAHF</v>
          </cell>
          <cell r="F192" t="str">
            <v>SENIOR</v>
          </cell>
          <cell r="G192">
            <v>6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76</v>
          </cell>
          <cell r="M192">
            <v>96</v>
          </cell>
        </row>
        <row r="193">
          <cell r="C193" t="str">
            <v>C145</v>
          </cell>
          <cell r="D193" t="str">
            <v>SHAMEEL AHAMMED P</v>
          </cell>
          <cell r="E193" t="str">
            <v>BADF</v>
          </cell>
          <cell r="F193" t="str">
            <v>SENIOR</v>
          </cell>
          <cell r="G193">
            <v>6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76</v>
          </cell>
          <cell r="M193">
            <v>96</v>
          </cell>
        </row>
        <row r="194">
          <cell r="C194" t="str">
            <v>C146</v>
          </cell>
          <cell r="D194" t="str">
            <v>IMRAN HUSSAIN TI</v>
          </cell>
          <cell r="E194" t="str">
            <v>JARF</v>
          </cell>
          <cell r="F194" t="str">
            <v>SENIOR</v>
          </cell>
          <cell r="G194">
            <v>6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76</v>
          </cell>
          <cell r="M194">
            <v>96</v>
          </cell>
        </row>
        <row r="195">
          <cell r="C195" t="str">
            <v>C147</v>
          </cell>
          <cell r="D195" t="str">
            <v>AHAMED ZAKI FOUZAN T.Z</v>
          </cell>
          <cell r="E195" t="str">
            <v>JARF</v>
          </cell>
          <cell r="F195" t="str">
            <v>SENIOR</v>
          </cell>
          <cell r="G195">
            <v>6</v>
          </cell>
          <cell r="H195">
            <v>0</v>
          </cell>
          <cell r="I195">
            <v>0</v>
          </cell>
          <cell r="J195">
            <v>0</v>
          </cell>
          <cell r="K195">
            <v>12</v>
          </cell>
          <cell r="L195">
            <v>76</v>
          </cell>
          <cell r="M195">
            <v>5</v>
          </cell>
        </row>
        <row r="196">
          <cell r="C196" t="str">
            <v>C148</v>
          </cell>
          <cell r="D196" t="str">
            <v>MUHAMMED SHABEEB</v>
          </cell>
          <cell r="E196" t="str">
            <v>BADF</v>
          </cell>
          <cell r="F196" t="str">
            <v>SENIOR</v>
          </cell>
          <cell r="G196">
            <v>6</v>
          </cell>
          <cell r="H196">
            <v>0</v>
          </cell>
          <cell r="I196">
            <v>0</v>
          </cell>
          <cell r="J196">
            <v>0</v>
          </cell>
          <cell r="K196">
            <v>3</v>
          </cell>
          <cell r="L196">
            <v>76</v>
          </cell>
          <cell r="M196">
            <v>46</v>
          </cell>
        </row>
        <row r="197">
          <cell r="C197" t="str">
            <v>C149</v>
          </cell>
          <cell r="D197" t="str">
            <v>ABDUL BAAIS N.A</v>
          </cell>
          <cell r="E197" t="str">
            <v>FANT</v>
          </cell>
          <cell r="F197" t="str">
            <v>SENIOR</v>
          </cell>
          <cell r="G197">
            <v>6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76</v>
          </cell>
          <cell r="M197">
            <v>96</v>
          </cell>
        </row>
        <row r="198">
          <cell r="C198" t="str">
            <v>C150</v>
          </cell>
          <cell r="D198" t="str">
            <v>MUHAMMED PK</v>
          </cell>
          <cell r="E198" t="str">
            <v>DAHF</v>
          </cell>
          <cell r="F198" t="str">
            <v>SENIOR</v>
          </cell>
          <cell r="G198">
            <v>6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76</v>
          </cell>
          <cell r="M198">
            <v>96</v>
          </cell>
        </row>
        <row r="199">
          <cell r="C199" t="str">
            <v>C151</v>
          </cell>
          <cell r="D199" t="str">
            <v>MOHAMMED ASHMIL K A</v>
          </cell>
          <cell r="E199" t="str">
            <v>JARF</v>
          </cell>
          <cell r="F199" t="str">
            <v>SENIOR</v>
          </cell>
          <cell r="G199">
            <v>6</v>
          </cell>
          <cell r="H199">
            <v>5</v>
          </cell>
          <cell r="I199">
            <v>0</v>
          </cell>
          <cell r="J199">
            <v>5</v>
          </cell>
          <cell r="K199">
            <v>5</v>
          </cell>
          <cell r="L199">
            <v>13</v>
          </cell>
          <cell r="M199">
            <v>24</v>
          </cell>
        </row>
        <row r="200">
          <cell r="C200" t="str">
            <v>C152</v>
          </cell>
          <cell r="D200" t="str">
            <v>MUHAMMED SABITH ALI TM</v>
          </cell>
          <cell r="E200" t="str">
            <v>JARF</v>
          </cell>
          <cell r="F200" t="str">
            <v>SENIOR</v>
          </cell>
          <cell r="G200">
            <v>6</v>
          </cell>
          <cell r="H200">
            <v>0</v>
          </cell>
          <cell r="I200">
            <v>0</v>
          </cell>
          <cell r="J200">
            <v>0</v>
          </cell>
          <cell r="K200">
            <v>3</v>
          </cell>
          <cell r="L200">
            <v>76</v>
          </cell>
          <cell r="M200">
            <v>46</v>
          </cell>
        </row>
        <row r="201">
          <cell r="C201" t="str">
            <v>C153</v>
          </cell>
          <cell r="D201" t="str">
            <v>MUHAMMED AHMASH K</v>
          </cell>
          <cell r="E201" t="str">
            <v>DAHF</v>
          </cell>
          <cell r="F201" t="str">
            <v>SENIOR</v>
          </cell>
          <cell r="G201">
            <v>6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76</v>
          </cell>
          <cell r="M201">
            <v>96</v>
          </cell>
        </row>
        <row r="202">
          <cell r="C202" t="str">
            <v>C154</v>
          </cell>
          <cell r="D202" t="str">
            <v>MOHAMMED RAZEEN S.P</v>
          </cell>
          <cell r="E202" t="str">
            <v>DAHF</v>
          </cell>
          <cell r="F202" t="str">
            <v>SENIOR</v>
          </cell>
          <cell r="G202">
            <v>6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76</v>
          </cell>
          <cell r="M202">
            <v>96</v>
          </cell>
        </row>
        <row r="203">
          <cell r="C203" t="str">
            <v>C155</v>
          </cell>
          <cell r="D203" t="str">
            <v>HASSAN ZARKASH</v>
          </cell>
          <cell r="E203" t="str">
            <v>FANT</v>
          </cell>
          <cell r="F203" t="str">
            <v>SENIOR</v>
          </cell>
          <cell r="G203">
            <v>6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76</v>
          </cell>
          <cell r="M203">
            <v>96</v>
          </cell>
        </row>
        <row r="204">
          <cell r="C204" t="str">
            <v>C156</v>
          </cell>
          <cell r="D204" t="str">
            <v>ABDULLA RAMSHAD</v>
          </cell>
          <cell r="E204" t="str">
            <v>FANT</v>
          </cell>
          <cell r="F204" t="str">
            <v>SENIOR</v>
          </cell>
          <cell r="G204">
            <v>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76</v>
          </cell>
          <cell r="M204">
            <v>96</v>
          </cell>
        </row>
        <row r="205">
          <cell r="C205" t="str">
            <v>C157</v>
          </cell>
          <cell r="D205" t="str">
            <v>HASAN YASIR</v>
          </cell>
          <cell r="E205" t="str">
            <v>BADF</v>
          </cell>
          <cell r="F205" t="str">
            <v>SENIOR</v>
          </cell>
          <cell r="G205">
            <v>6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76</v>
          </cell>
          <cell r="M205">
            <v>96</v>
          </cell>
        </row>
        <row r="206">
          <cell r="C206" t="str">
            <v>C158</v>
          </cell>
          <cell r="D206" t="str">
            <v>ABDUL FATHAH AHAMMED C</v>
          </cell>
          <cell r="E206" t="str">
            <v>DAHF</v>
          </cell>
          <cell r="F206" t="str">
            <v>SENIOR</v>
          </cell>
          <cell r="G206">
            <v>6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76</v>
          </cell>
          <cell r="M206">
            <v>96</v>
          </cell>
        </row>
        <row r="207">
          <cell r="C207" t="str">
            <v>C159</v>
          </cell>
          <cell r="D207" t="str">
            <v>MUHAMMED KAIF BS</v>
          </cell>
          <cell r="E207" t="str">
            <v>BADF</v>
          </cell>
          <cell r="F207" t="str">
            <v>SENIOR</v>
          </cell>
          <cell r="G207">
            <v>6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76</v>
          </cell>
          <cell r="M207">
            <v>96</v>
          </cell>
        </row>
        <row r="208">
          <cell r="C208" t="str">
            <v>C160</v>
          </cell>
          <cell r="D208" t="str">
            <v>AJMAL AM</v>
          </cell>
          <cell r="E208" t="str">
            <v>BADF</v>
          </cell>
          <cell r="F208" t="str">
            <v>SENIOR</v>
          </cell>
          <cell r="G208">
            <v>7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76</v>
          </cell>
          <cell r="M208">
            <v>96</v>
          </cell>
        </row>
        <row r="209">
          <cell r="C209" t="str">
            <v>C161</v>
          </cell>
          <cell r="D209" t="str">
            <v>MOHAMMED ABDUL KHADER NABAVI E A</v>
          </cell>
          <cell r="E209" t="str">
            <v>DAHF</v>
          </cell>
          <cell r="F209" t="str">
            <v>SENIOR</v>
          </cell>
          <cell r="G209">
            <v>7</v>
          </cell>
          <cell r="H209">
            <v>3</v>
          </cell>
          <cell r="I209">
            <v>0</v>
          </cell>
          <cell r="J209">
            <v>3</v>
          </cell>
          <cell r="K209">
            <v>4</v>
          </cell>
          <cell r="L209">
            <v>30</v>
          </cell>
          <cell r="M209">
            <v>40</v>
          </cell>
        </row>
        <row r="210">
          <cell r="C210" t="str">
            <v>C162</v>
          </cell>
          <cell r="D210" t="str">
            <v>MUHAMMAD K.A</v>
          </cell>
          <cell r="E210" t="str">
            <v>FANT</v>
          </cell>
          <cell r="F210" t="str">
            <v>SENIOR</v>
          </cell>
          <cell r="G210">
            <v>7</v>
          </cell>
          <cell r="H210">
            <v>0</v>
          </cell>
          <cell r="I210">
            <v>3</v>
          </cell>
          <cell r="J210">
            <v>3</v>
          </cell>
          <cell r="K210">
            <v>8</v>
          </cell>
          <cell r="L210">
            <v>30</v>
          </cell>
          <cell r="M210">
            <v>12</v>
          </cell>
        </row>
        <row r="211">
          <cell r="C211" t="str">
            <v>C163</v>
          </cell>
          <cell r="D211" t="str">
            <v>MOHAMMED SAHEED A.K</v>
          </cell>
          <cell r="E211" t="str">
            <v>JARF</v>
          </cell>
          <cell r="F211" t="str">
            <v>SENIOR</v>
          </cell>
          <cell r="G211">
            <v>7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76</v>
          </cell>
          <cell r="M211">
            <v>96</v>
          </cell>
        </row>
        <row r="212">
          <cell r="C212" t="str">
            <v>C164</v>
          </cell>
          <cell r="D212" t="str">
            <v>AHMED FAHEEM MA</v>
          </cell>
          <cell r="E212" t="str">
            <v>FANT</v>
          </cell>
          <cell r="F212" t="str">
            <v>SENIOR</v>
          </cell>
          <cell r="G212">
            <v>7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76</v>
          </cell>
          <cell r="M212">
            <v>96</v>
          </cell>
        </row>
        <row r="213">
          <cell r="C213" t="str">
            <v>C165</v>
          </cell>
          <cell r="D213" t="str">
            <v>MUHAMMAD IBN AHMAD</v>
          </cell>
          <cell r="E213" t="str">
            <v>JARF</v>
          </cell>
          <cell r="F213" t="str">
            <v>SENIOR</v>
          </cell>
          <cell r="G213">
            <v>7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76</v>
          </cell>
          <cell r="M213">
            <v>96</v>
          </cell>
        </row>
        <row r="214">
          <cell r="C214" t="str">
            <v>C166</v>
          </cell>
          <cell r="D214" t="str">
            <v>RESWAN</v>
          </cell>
          <cell r="E214" t="str">
            <v>DAHF</v>
          </cell>
          <cell r="F214" t="str">
            <v>SENIOR</v>
          </cell>
          <cell r="G214">
            <v>7</v>
          </cell>
          <cell r="H214">
            <v>0</v>
          </cell>
          <cell r="I214">
            <v>0</v>
          </cell>
          <cell r="J214">
            <v>0</v>
          </cell>
          <cell r="K214">
            <v>1</v>
          </cell>
          <cell r="L214">
            <v>76</v>
          </cell>
          <cell r="M214">
            <v>69</v>
          </cell>
        </row>
        <row r="215">
          <cell r="C215" t="str">
            <v>C167</v>
          </cell>
          <cell r="D215" t="str">
            <v>MUHAMMED MUJTHABA MK</v>
          </cell>
          <cell r="E215" t="str">
            <v>JARF</v>
          </cell>
          <cell r="F215" t="str">
            <v>SENIOR</v>
          </cell>
          <cell r="G215">
            <v>7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76</v>
          </cell>
          <cell r="M215">
            <v>96</v>
          </cell>
        </row>
        <row r="216">
          <cell r="C216" t="str">
            <v>C168</v>
          </cell>
          <cell r="D216" t="str">
            <v>MUHAMMED SHAHAN P.S</v>
          </cell>
          <cell r="E216" t="str">
            <v>FANT</v>
          </cell>
          <cell r="F216" t="str">
            <v>SENIOR</v>
          </cell>
          <cell r="G216">
            <v>7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76</v>
          </cell>
          <cell r="M216">
            <v>96</v>
          </cell>
        </row>
        <row r="217">
          <cell r="C217" t="str">
            <v>C169</v>
          </cell>
          <cell r="D217" t="str">
            <v>MOHAMMED THAJUDDEEN A R P</v>
          </cell>
          <cell r="E217" t="str">
            <v>BADF</v>
          </cell>
          <cell r="F217" t="str">
            <v>SENIOR</v>
          </cell>
          <cell r="G217">
            <v>7</v>
          </cell>
          <cell r="H217">
            <v>0</v>
          </cell>
          <cell r="I217">
            <v>1</v>
          </cell>
          <cell r="J217">
            <v>1</v>
          </cell>
          <cell r="K217">
            <v>4</v>
          </cell>
          <cell r="L217">
            <v>54</v>
          </cell>
          <cell r="M217">
            <v>40</v>
          </cell>
        </row>
        <row r="218">
          <cell r="C218" t="str">
            <v>C170</v>
          </cell>
          <cell r="D218" t="str">
            <v>RUMAIZALI R IBRAHIM</v>
          </cell>
          <cell r="E218" t="str">
            <v>BADF</v>
          </cell>
          <cell r="F218" t="str">
            <v>SENIOR</v>
          </cell>
          <cell r="G218">
            <v>7</v>
          </cell>
          <cell r="H218">
            <v>0</v>
          </cell>
          <cell r="I218">
            <v>1</v>
          </cell>
          <cell r="J218">
            <v>1</v>
          </cell>
          <cell r="K218">
            <v>1</v>
          </cell>
          <cell r="L218">
            <v>54</v>
          </cell>
          <cell r="M218">
            <v>69</v>
          </cell>
        </row>
        <row r="219">
          <cell r="C219" t="str">
            <v>C171</v>
          </cell>
          <cell r="D219" t="str">
            <v>MUHAMMED THASLEEM</v>
          </cell>
          <cell r="E219" t="str">
            <v>BADF</v>
          </cell>
          <cell r="F219" t="str">
            <v>SENIOR</v>
          </cell>
          <cell r="G219">
            <v>7</v>
          </cell>
          <cell r="H219">
            <v>1</v>
          </cell>
          <cell r="I219">
            <v>1</v>
          </cell>
          <cell r="J219">
            <v>2</v>
          </cell>
          <cell r="K219">
            <v>10</v>
          </cell>
          <cell r="L219">
            <v>53</v>
          </cell>
          <cell r="M219">
            <v>7</v>
          </cell>
        </row>
        <row r="220">
          <cell r="C220" t="str">
            <v>C172</v>
          </cell>
          <cell r="D220" t="str">
            <v>AHAMED SHAMMAS C.M</v>
          </cell>
          <cell r="E220" t="str">
            <v>DAHF</v>
          </cell>
          <cell r="F220" t="str">
            <v>SENIOR</v>
          </cell>
          <cell r="G220">
            <v>7</v>
          </cell>
          <cell r="H220">
            <v>0</v>
          </cell>
          <cell r="I220">
            <v>1</v>
          </cell>
          <cell r="J220">
            <v>1</v>
          </cell>
          <cell r="K220">
            <v>4</v>
          </cell>
          <cell r="L220">
            <v>54</v>
          </cell>
          <cell r="M220">
            <v>40</v>
          </cell>
        </row>
        <row r="221">
          <cell r="C221" t="str">
            <v>C173</v>
          </cell>
          <cell r="D221" t="str">
            <v>ABDUL HADIL P.M</v>
          </cell>
          <cell r="E221" t="str">
            <v>FANT</v>
          </cell>
          <cell r="F221" t="str">
            <v>SENIOR</v>
          </cell>
          <cell r="G221">
            <v>7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76</v>
          </cell>
          <cell r="M221">
            <v>96</v>
          </cell>
        </row>
        <row r="222">
          <cell r="C222" t="str">
            <v>C174</v>
          </cell>
          <cell r="D222" t="str">
            <v>MUHAMMAD MUSTHAFA K.M</v>
          </cell>
          <cell r="E222" t="str">
            <v>BADF</v>
          </cell>
          <cell r="F222" t="str">
            <v>SENIOR</v>
          </cell>
          <cell r="G222">
            <v>7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76</v>
          </cell>
          <cell r="M222">
            <v>96</v>
          </cell>
        </row>
        <row r="223">
          <cell r="C223" t="str">
            <v>C175</v>
          </cell>
          <cell r="D223" t="str">
            <v>ABDULLAH MAZIN</v>
          </cell>
          <cell r="E223" t="str">
            <v>JARF</v>
          </cell>
          <cell r="F223" t="str">
            <v>SENIOR</v>
          </cell>
          <cell r="G223">
            <v>7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76</v>
          </cell>
          <cell r="M223">
            <v>96</v>
          </cell>
        </row>
        <row r="224">
          <cell r="C224" t="str">
            <v>C176</v>
          </cell>
          <cell r="D224" t="str">
            <v>MUHAMMED T A</v>
          </cell>
          <cell r="E224" t="str">
            <v>FANT</v>
          </cell>
          <cell r="F224" t="str">
            <v>SENIOR</v>
          </cell>
          <cell r="G224">
            <v>7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76</v>
          </cell>
          <cell r="M224">
            <v>96</v>
          </cell>
        </row>
        <row r="225">
          <cell r="C225" t="str">
            <v>C177</v>
          </cell>
          <cell r="D225" t="str">
            <v>MOHAMMED HUSSAIN</v>
          </cell>
          <cell r="E225" t="str">
            <v>DAHF</v>
          </cell>
          <cell r="F225" t="str">
            <v>SENIOR</v>
          </cell>
          <cell r="G225">
            <v>7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76</v>
          </cell>
          <cell r="M225">
            <v>96</v>
          </cell>
        </row>
        <row r="226">
          <cell r="C226" t="str">
            <v>C178</v>
          </cell>
          <cell r="D226" t="str">
            <v>MUHAMMED ZAYAN N.S</v>
          </cell>
          <cell r="E226" t="str">
            <v>JARF</v>
          </cell>
          <cell r="F226" t="str">
            <v>SENIOR</v>
          </cell>
          <cell r="G226">
            <v>7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76</v>
          </cell>
          <cell r="M226">
            <v>96</v>
          </cell>
        </row>
        <row r="227">
          <cell r="C227" t="str">
            <v>C179</v>
          </cell>
          <cell r="D227" t="str">
            <v>MUHAMMED FARHAN</v>
          </cell>
          <cell r="E227" t="str">
            <v>DAHF</v>
          </cell>
          <cell r="F227" t="str">
            <v>SENIOR</v>
          </cell>
          <cell r="G227">
            <v>7</v>
          </cell>
          <cell r="H227">
            <v>5</v>
          </cell>
          <cell r="I227">
            <v>5</v>
          </cell>
          <cell r="J227">
            <v>10</v>
          </cell>
          <cell r="K227">
            <v>10</v>
          </cell>
          <cell r="L227">
            <v>1</v>
          </cell>
          <cell r="M227">
            <v>7</v>
          </cell>
        </row>
        <row r="228">
          <cell r="C228" t="str">
            <v>D100</v>
          </cell>
          <cell r="D228" t="str">
            <v>MOHAMMED RAZI</v>
          </cell>
          <cell r="E228" t="str">
            <v>JARF</v>
          </cell>
          <cell r="F228" t="str">
            <v>SUPER SENIOR</v>
          </cell>
          <cell r="G228">
            <v>8</v>
          </cell>
          <cell r="H228">
            <v>0</v>
          </cell>
          <cell r="I228">
            <v>0</v>
          </cell>
          <cell r="J228">
            <v>0</v>
          </cell>
          <cell r="K228">
            <v>3</v>
          </cell>
          <cell r="L228">
            <v>76</v>
          </cell>
          <cell r="M228">
            <v>46</v>
          </cell>
        </row>
        <row r="229">
          <cell r="C229" t="str">
            <v>D101</v>
          </cell>
          <cell r="D229" t="str">
            <v>MOHAMMED AFSAL</v>
          </cell>
          <cell r="E229" t="str">
            <v>JARF</v>
          </cell>
          <cell r="F229" t="str">
            <v>SUPER SENIOR</v>
          </cell>
          <cell r="G229">
            <v>8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76</v>
          </cell>
          <cell r="M229">
            <v>96</v>
          </cell>
        </row>
        <row r="230">
          <cell r="C230" t="str">
            <v>D102</v>
          </cell>
          <cell r="D230" t="str">
            <v>JALALUDHEEN K</v>
          </cell>
          <cell r="E230" t="str">
            <v>DAHF</v>
          </cell>
          <cell r="F230" t="str">
            <v>SUPER SENIOR</v>
          </cell>
          <cell r="G230">
            <v>8</v>
          </cell>
          <cell r="H230">
            <v>0</v>
          </cell>
          <cell r="I230">
            <v>5</v>
          </cell>
          <cell r="J230">
            <v>5</v>
          </cell>
          <cell r="K230">
            <v>5</v>
          </cell>
          <cell r="L230">
            <v>13</v>
          </cell>
          <cell r="M230">
            <v>24</v>
          </cell>
        </row>
        <row r="231">
          <cell r="C231" t="str">
            <v>D103</v>
          </cell>
          <cell r="D231" t="str">
            <v>MUHAMMAD RAZI</v>
          </cell>
          <cell r="E231" t="str">
            <v>DAHF</v>
          </cell>
          <cell r="F231" t="str">
            <v>SUPER SENIOR</v>
          </cell>
          <cell r="G231">
            <v>8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76</v>
          </cell>
          <cell r="M231">
            <v>96</v>
          </cell>
        </row>
        <row r="232">
          <cell r="C232" t="str">
            <v>D104</v>
          </cell>
          <cell r="D232" t="str">
            <v>MUHAMMAD SHANEED.</v>
          </cell>
          <cell r="E232" t="str">
            <v>JARF</v>
          </cell>
          <cell r="F232" t="str">
            <v>SUPER SENIOR</v>
          </cell>
          <cell r="G232">
            <v>8</v>
          </cell>
          <cell r="H232">
            <v>0</v>
          </cell>
          <cell r="I232">
            <v>0</v>
          </cell>
          <cell r="J232">
            <v>0</v>
          </cell>
          <cell r="K232">
            <v>3</v>
          </cell>
          <cell r="L232">
            <v>76</v>
          </cell>
          <cell r="M232">
            <v>46</v>
          </cell>
        </row>
        <row r="233">
          <cell r="C233" t="str">
            <v>D105</v>
          </cell>
          <cell r="D233" t="str">
            <v>ABDUL WADHOOD</v>
          </cell>
          <cell r="E233" t="str">
            <v>FANT</v>
          </cell>
          <cell r="F233" t="str">
            <v>SUPER SENIOR</v>
          </cell>
          <cell r="G233">
            <v>8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76</v>
          </cell>
          <cell r="M233">
            <v>96</v>
          </cell>
        </row>
        <row r="234">
          <cell r="C234" t="str">
            <v>D106</v>
          </cell>
          <cell r="D234" t="str">
            <v>MOHAMMED SHAMMAS S.I</v>
          </cell>
          <cell r="E234" t="str">
            <v>DAHF</v>
          </cell>
          <cell r="F234" t="str">
            <v>SUPER SENIOR</v>
          </cell>
          <cell r="G234">
            <v>8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76</v>
          </cell>
          <cell r="M234">
            <v>96</v>
          </cell>
        </row>
        <row r="235">
          <cell r="C235" t="str">
            <v>D107</v>
          </cell>
          <cell r="D235" t="str">
            <v>AHMMED HASHIM M</v>
          </cell>
          <cell r="E235" t="str">
            <v>DAHF</v>
          </cell>
          <cell r="F235" t="str">
            <v>SUPER SENIOR</v>
          </cell>
          <cell r="G235">
            <v>8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76</v>
          </cell>
          <cell r="M235">
            <v>96</v>
          </cell>
        </row>
        <row r="236">
          <cell r="C236" t="str">
            <v>D108</v>
          </cell>
          <cell r="D236" t="str">
            <v>MOHAMMED HASHIR</v>
          </cell>
          <cell r="E236" t="str">
            <v>DAHF</v>
          </cell>
          <cell r="F236" t="str">
            <v>SUPER SENIOR</v>
          </cell>
          <cell r="G236">
            <v>8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76</v>
          </cell>
          <cell r="M236">
            <v>96</v>
          </cell>
        </row>
        <row r="237">
          <cell r="C237" t="str">
            <v>D109</v>
          </cell>
          <cell r="D237" t="str">
            <v>AHAMMED AJEER</v>
          </cell>
          <cell r="E237" t="str">
            <v>BADF</v>
          </cell>
          <cell r="F237" t="str">
            <v>SUPER SENIOR</v>
          </cell>
          <cell r="G237">
            <v>8</v>
          </cell>
          <cell r="H237">
            <v>0</v>
          </cell>
          <cell r="I237">
            <v>1</v>
          </cell>
          <cell r="J237">
            <v>1</v>
          </cell>
          <cell r="K237">
            <v>1</v>
          </cell>
          <cell r="L237">
            <v>54</v>
          </cell>
          <cell r="M237">
            <v>69</v>
          </cell>
        </row>
        <row r="238">
          <cell r="C238" t="str">
            <v>D110</v>
          </cell>
          <cell r="D238" t="str">
            <v>ABBAS AZNAB M.A</v>
          </cell>
          <cell r="E238" t="str">
            <v>BADF</v>
          </cell>
          <cell r="F238" t="str">
            <v>SUPER SENIOR</v>
          </cell>
          <cell r="G238">
            <v>8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76</v>
          </cell>
          <cell r="M238">
            <v>96</v>
          </cell>
        </row>
        <row r="239">
          <cell r="C239" t="str">
            <v>D111</v>
          </cell>
          <cell r="D239" t="str">
            <v>MAHAMMED SHAMEEL</v>
          </cell>
          <cell r="E239" t="str">
            <v>JARF</v>
          </cell>
          <cell r="F239" t="str">
            <v>SUPER SENIOR</v>
          </cell>
          <cell r="G239">
            <v>8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76</v>
          </cell>
          <cell r="M239">
            <v>96</v>
          </cell>
        </row>
        <row r="240">
          <cell r="C240" t="str">
            <v>D112</v>
          </cell>
          <cell r="D240" t="str">
            <v>AMEEN ABDULLA</v>
          </cell>
          <cell r="E240" t="str">
            <v>FANT</v>
          </cell>
          <cell r="F240" t="str">
            <v>SUPER SENIOR</v>
          </cell>
          <cell r="G240">
            <v>8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76</v>
          </cell>
          <cell r="M240">
            <v>96</v>
          </cell>
        </row>
        <row r="241">
          <cell r="C241" t="str">
            <v>D113</v>
          </cell>
          <cell r="D241" t="str">
            <v>ZULFIKARALI</v>
          </cell>
          <cell r="E241" t="str">
            <v>JARF</v>
          </cell>
          <cell r="F241" t="str">
            <v>SUPER SENIOR</v>
          </cell>
          <cell r="G241">
            <v>8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76</v>
          </cell>
          <cell r="M241">
            <v>96</v>
          </cell>
        </row>
        <row r="242">
          <cell r="C242" t="str">
            <v>D114</v>
          </cell>
          <cell r="D242" t="str">
            <v>MUHAMMED ANAS M.N</v>
          </cell>
          <cell r="E242" t="str">
            <v>FANT</v>
          </cell>
          <cell r="F242" t="str">
            <v>SUPER SENIOR</v>
          </cell>
          <cell r="G242">
            <v>8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76</v>
          </cell>
          <cell r="M242">
            <v>96</v>
          </cell>
        </row>
        <row r="243">
          <cell r="C243" t="str">
            <v>D115</v>
          </cell>
          <cell r="D243" t="str">
            <v>ABDULLA M HAKEEM</v>
          </cell>
          <cell r="E243" t="str">
            <v>DAHF</v>
          </cell>
          <cell r="F243" t="str">
            <v>SUPER SENIOR</v>
          </cell>
          <cell r="G243">
            <v>8</v>
          </cell>
          <cell r="H243">
            <v>0</v>
          </cell>
          <cell r="I243">
            <v>1</v>
          </cell>
          <cell r="J243">
            <v>1</v>
          </cell>
          <cell r="K243">
            <v>1</v>
          </cell>
          <cell r="L243">
            <v>54</v>
          </cell>
          <cell r="M243">
            <v>69</v>
          </cell>
        </row>
        <row r="244">
          <cell r="C244" t="str">
            <v>D116</v>
          </cell>
          <cell r="D244" t="str">
            <v>HASSAN SHADDAD UM</v>
          </cell>
          <cell r="E244" t="str">
            <v>JARF</v>
          </cell>
          <cell r="F244" t="str">
            <v>SUPER SENIOR</v>
          </cell>
          <cell r="G244">
            <v>8</v>
          </cell>
          <cell r="H244">
            <v>0</v>
          </cell>
          <cell r="I244">
            <v>1</v>
          </cell>
          <cell r="J244">
            <v>1</v>
          </cell>
          <cell r="K244">
            <v>1</v>
          </cell>
          <cell r="L244">
            <v>54</v>
          </cell>
          <cell r="M244">
            <v>69</v>
          </cell>
        </row>
        <row r="245">
          <cell r="C245" t="str">
            <v>D117</v>
          </cell>
          <cell r="D245" t="str">
            <v>MOHAMMED SAHL CS</v>
          </cell>
          <cell r="E245" t="str">
            <v>FANT</v>
          </cell>
          <cell r="F245" t="str">
            <v>SUPER SENIOR</v>
          </cell>
          <cell r="G245">
            <v>8</v>
          </cell>
          <cell r="H245">
            <v>0</v>
          </cell>
          <cell r="I245">
            <v>5</v>
          </cell>
          <cell r="J245">
            <v>5</v>
          </cell>
          <cell r="K245">
            <v>10</v>
          </cell>
          <cell r="L245">
            <v>13</v>
          </cell>
          <cell r="M245">
            <v>7</v>
          </cell>
        </row>
        <row r="246">
          <cell r="C246" t="str">
            <v>D118</v>
          </cell>
          <cell r="D246" t="str">
            <v>MOHAMMAD KHALANDAR ZIYAD</v>
          </cell>
          <cell r="E246" t="str">
            <v>BADF</v>
          </cell>
          <cell r="F246" t="str">
            <v>SUPER SENIOR</v>
          </cell>
          <cell r="G246">
            <v>8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76</v>
          </cell>
          <cell r="M246">
            <v>96</v>
          </cell>
        </row>
        <row r="247">
          <cell r="C247" t="str">
            <v>D119</v>
          </cell>
          <cell r="D247" t="str">
            <v>ABU THAHIR</v>
          </cell>
          <cell r="E247" t="str">
            <v>BADF</v>
          </cell>
          <cell r="F247" t="str">
            <v>SUPER SENIOR</v>
          </cell>
          <cell r="G247">
            <v>8</v>
          </cell>
          <cell r="H247">
            <v>0</v>
          </cell>
          <cell r="I247">
            <v>0</v>
          </cell>
          <cell r="J247">
            <v>0</v>
          </cell>
          <cell r="K247">
            <v>4</v>
          </cell>
          <cell r="L247">
            <v>76</v>
          </cell>
          <cell r="M247">
            <v>40</v>
          </cell>
        </row>
        <row r="248">
          <cell r="C248" t="str">
            <v>D120</v>
          </cell>
          <cell r="D248" t="str">
            <v>MUHAMMAD SINAN NP</v>
          </cell>
          <cell r="E248" t="str">
            <v>FANT</v>
          </cell>
          <cell r="F248" t="str">
            <v>SUPER SENIOR</v>
          </cell>
          <cell r="G248">
            <v>8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76</v>
          </cell>
          <cell r="M248">
            <v>96</v>
          </cell>
        </row>
        <row r="249">
          <cell r="C249" t="str">
            <v>D121</v>
          </cell>
          <cell r="D249" t="str">
            <v>ABDUL RAHMAN MUNZIR</v>
          </cell>
          <cell r="E249" t="str">
            <v>DAHF</v>
          </cell>
          <cell r="F249" t="str">
            <v>SUPER SENIOR</v>
          </cell>
          <cell r="G249">
            <v>8</v>
          </cell>
          <cell r="H249">
            <v>3</v>
          </cell>
          <cell r="I249">
            <v>0</v>
          </cell>
          <cell r="J249">
            <v>3</v>
          </cell>
          <cell r="K249">
            <v>6</v>
          </cell>
          <cell r="L249">
            <v>30</v>
          </cell>
          <cell r="M249">
            <v>21</v>
          </cell>
        </row>
        <row r="250">
          <cell r="C250" t="str">
            <v>D122</v>
          </cell>
          <cell r="D250" t="str">
            <v>MUHAMMED MUZAMMIL P.M</v>
          </cell>
          <cell r="E250"/>
          <cell r="F250" t="str">
            <v>SUPER SENIOR</v>
          </cell>
          <cell r="G250">
            <v>8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76</v>
          </cell>
          <cell r="M250">
            <v>96</v>
          </cell>
        </row>
        <row r="251">
          <cell r="C251" t="str">
            <v>D123</v>
          </cell>
          <cell r="D251" t="str">
            <v>MOHAMMED SALIH</v>
          </cell>
          <cell r="E251" t="str">
            <v>JARF</v>
          </cell>
          <cell r="F251" t="str">
            <v>SUPER SENIOR</v>
          </cell>
          <cell r="G251">
            <v>8</v>
          </cell>
          <cell r="H251">
            <v>0</v>
          </cell>
          <cell r="I251">
            <v>0</v>
          </cell>
          <cell r="J251">
            <v>0</v>
          </cell>
          <cell r="K251">
            <v>3</v>
          </cell>
          <cell r="L251">
            <v>76</v>
          </cell>
          <cell r="M251">
            <v>46</v>
          </cell>
        </row>
        <row r="252">
          <cell r="C252" t="str">
            <v>D124</v>
          </cell>
          <cell r="D252" t="str">
            <v>MUHAMMED SUFAZ P</v>
          </cell>
          <cell r="E252" t="str">
            <v>BADF</v>
          </cell>
          <cell r="F252" t="str">
            <v>SUPER SENIOR</v>
          </cell>
          <cell r="G252">
            <v>8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76</v>
          </cell>
          <cell r="M252">
            <v>96</v>
          </cell>
        </row>
        <row r="253">
          <cell r="C253" t="str">
            <v>D125</v>
          </cell>
          <cell r="D253" t="str">
            <v>SAYYAD MOHAMMED VASIL</v>
          </cell>
          <cell r="E253" t="str">
            <v>DAHF</v>
          </cell>
          <cell r="F253" t="str">
            <v>SUPER SENIOR</v>
          </cell>
          <cell r="G253">
            <v>8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76</v>
          </cell>
          <cell r="M253">
            <v>96</v>
          </cell>
        </row>
        <row r="254">
          <cell r="C254" t="str">
            <v>D126</v>
          </cell>
          <cell r="D254" t="str">
            <v>MUHAMMED MIDHLAJ KK</v>
          </cell>
          <cell r="E254" t="str">
            <v>BADF</v>
          </cell>
          <cell r="F254" t="str">
            <v>SUPER SENIOR</v>
          </cell>
          <cell r="G254">
            <v>8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76</v>
          </cell>
          <cell r="M254">
            <v>96</v>
          </cell>
        </row>
        <row r="255">
          <cell r="C255" t="str">
            <v>D127</v>
          </cell>
          <cell r="D255" t="str">
            <v>SHADIN G</v>
          </cell>
          <cell r="E255" t="str">
            <v>FANT</v>
          </cell>
          <cell r="F255" t="str">
            <v>SUPER SENIOR</v>
          </cell>
          <cell r="G255">
            <v>8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76</v>
          </cell>
          <cell r="M255">
            <v>96</v>
          </cell>
        </row>
        <row r="256">
          <cell r="C256" t="str">
            <v>D128</v>
          </cell>
          <cell r="D256" t="str">
            <v>MEHAZIN AMAN T</v>
          </cell>
          <cell r="E256" t="str">
            <v>FANT</v>
          </cell>
          <cell r="F256" t="str">
            <v>SUPER SENIOR</v>
          </cell>
          <cell r="G256">
            <v>8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76</v>
          </cell>
          <cell r="M256">
            <v>96</v>
          </cell>
        </row>
        <row r="257">
          <cell r="C257" t="str">
            <v>D129</v>
          </cell>
          <cell r="D257" t="str">
            <v>MUHAMMED UNAIS CK</v>
          </cell>
          <cell r="E257" t="str">
            <v>BADF</v>
          </cell>
          <cell r="F257" t="str">
            <v>SUPER SENIOR</v>
          </cell>
          <cell r="G257">
            <v>8</v>
          </cell>
          <cell r="H257">
            <v>0</v>
          </cell>
          <cell r="I257">
            <v>3</v>
          </cell>
          <cell r="J257">
            <v>3</v>
          </cell>
          <cell r="K257">
            <v>8</v>
          </cell>
          <cell r="L257">
            <v>30</v>
          </cell>
          <cell r="M257">
            <v>12</v>
          </cell>
        </row>
        <row r="258">
          <cell r="C258" t="str">
            <v>D130</v>
          </cell>
          <cell r="D258" t="str">
            <v>ZAINUDEEN</v>
          </cell>
          <cell r="E258" t="str">
            <v>DAHF</v>
          </cell>
          <cell r="F258" t="str">
            <v>SUPER SENIOR</v>
          </cell>
          <cell r="G258">
            <v>9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76</v>
          </cell>
          <cell r="M258">
            <v>96</v>
          </cell>
        </row>
        <row r="259">
          <cell r="C259" t="str">
            <v>D131</v>
          </cell>
          <cell r="D259" t="str">
            <v>MAHAMMAD RIYAZ</v>
          </cell>
          <cell r="E259" t="str">
            <v>DAHF</v>
          </cell>
          <cell r="F259" t="str">
            <v>SUPER SENIOR</v>
          </cell>
          <cell r="G259">
            <v>9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76</v>
          </cell>
          <cell r="M259">
            <v>96</v>
          </cell>
        </row>
        <row r="260">
          <cell r="C260" t="str">
            <v>D132</v>
          </cell>
          <cell r="D260" t="str">
            <v>ABOOBAKR MA'ROOF</v>
          </cell>
          <cell r="E260" t="str">
            <v>FANT</v>
          </cell>
          <cell r="F260" t="str">
            <v>SUPER SENIOR</v>
          </cell>
          <cell r="G260">
            <v>9</v>
          </cell>
          <cell r="H260">
            <v>0</v>
          </cell>
          <cell r="I260">
            <v>1</v>
          </cell>
          <cell r="J260">
            <v>1</v>
          </cell>
          <cell r="K260">
            <v>1</v>
          </cell>
          <cell r="L260">
            <v>54</v>
          </cell>
          <cell r="M260">
            <v>69</v>
          </cell>
        </row>
        <row r="261">
          <cell r="C261" t="str">
            <v>D133</v>
          </cell>
          <cell r="D261" t="str">
            <v>MOHAMMED SHAMSHEER</v>
          </cell>
          <cell r="E261" t="str">
            <v>FANT</v>
          </cell>
          <cell r="F261" t="str">
            <v>SUPER SENIOR</v>
          </cell>
          <cell r="G261">
            <v>9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76</v>
          </cell>
          <cell r="M261">
            <v>96</v>
          </cell>
        </row>
        <row r="262">
          <cell r="C262" t="str">
            <v>D134</v>
          </cell>
          <cell r="D262" t="str">
            <v>AJMAL ANEES</v>
          </cell>
          <cell r="E262" t="str">
            <v>FANT</v>
          </cell>
          <cell r="F262" t="str">
            <v>SUPER SENIOR</v>
          </cell>
          <cell r="G262">
            <v>9</v>
          </cell>
          <cell r="H262">
            <v>1</v>
          </cell>
          <cell r="I262">
            <v>0</v>
          </cell>
          <cell r="J262">
            <v>1</v>
          </cell>
          <cell r="K262">
            <v>1</v>
          </cell>
          <cell r="L262">
            <v>54</v>
          </cell>
          <cell r="M262">
            <v>69</v>
          </cell>
        </row>
        <row r="263">
          <cell r="C263" t="str">
            <v>D135</v>
          </cell>
          <cell r="D263" t="str">
            <v>HASHIR HUSSAIN IK</v>
          </cell>
          <cell r="E263" t="str">
            <v>DAHF</v>
          </cell>
          <cell r="F263" t="str">
            <v>SUPER SENIOR</v>
          </cell>
          <cell r="G263">
            <v>9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76</v>
          </cell>
          <cell r="M263">
            <v>96</v>
          </cell>
        </row>
        <row r="264">
          <cell r="C264" t="str">
            <v>D136</v>
          </cell>
          <cell r="D264" t="str">
            <v>MUHAMMED ASBAQUE</v>
          </cell>
          <cell r="E264" t="str">
            <v>JARF</v>
          </cell>
          <cell r="F264" t="str">
            <v>SUPER SENIOR</v>
          </cell>
          <cell r="G264">
            <v>9</v>
          </cell>
          <cell r="H264">
            <v>5</v>
          </cell>
          <cell r="I264">
            <v>0</v>
          </cell>
          <cell r="J264">
            <v>5</v>
          </cell>
          <cell r="K264">
            <v>11</v>
          </cell>
          <cell r="L264">
            <v>13</v>
          </cell>
          <cell r="M264">
            <v>6</v>
          </cell>
        </row>
        <row r="265">
          <cell r="C265" t="str">
            <v>D137</v>
          </cell>
          <cell r="D265" t="str">
            <v>AYYOOB V.N</v>
          </cell>
          <cell r="E265" t="str">
            <v>BADF</v>
          </cell>
          <cell r="F265" t="str">
            <v>SUPER SENIOR</v>
          </cell>
          <cell r="G265">
            <v>9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76</v>
          </cell>
          <cell r="M265">
            <v>96</v>
          </cell>
        </row>
        <row r="266">
          <cell r="C266" t="str">
            <v>D138</v>
          </cell>
          <cell r="D266" t="str">
            <v>MOHAMMED JAWAD A</v>
          </cell>
          <cell r="E266" t="str">
            <v>FANT</v>
          </cell>
          <cell r="F266" t="str">
            <v>SUPER SENIOR</v>
          </cell>
          <cell r="G266">
            <v>9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76</v>
          </cell>
          <cell r="M266">
            <v>96</v>
          </cell>
        </row>
        <row r="267">
          <cell r="C267" t="str">
            <v>D139</v>
          </cell>
          <cell r="D267" t="str">
            <v>AHAMMED MUBARAK KA</v>
          </cell>
          <cell r="E267" t="str">
            <v>JARF</v>
          </cell>
          <cell r="F267" t="str">
            <v>SUPER SENIOR</v>
          </cell>
          <cell r="G267">
            <v>9</v>
          </cell>
          <cell r="H267">
            <v>3</v>
          </cell>
          <cell r="I267">
            <v>0</v>
          </cell>
          <cell r="J267">
            <v>3</v>
          </cell>
          <cell r="K267">
            <v>3</v>
          </cell>
          <cell r="L267">
            <v>30</v>
          </cell>
          <cell r="M267">
            <v>46</v>
          </cell>
        </row>
        <row r="268">
          <cell r="C268" t="str">
            <v>D140</v>
          </cell>
          <cell r="D268" t="str">
            <v>MUHAMMED FAISAL A K</v>
          </cell>
          <cell r="E268" t="str">
            <v>DAHF</v>
          </cell>
          <cell r="F268" t="str">
            <v>SUPER SENIOR</v>
          </cell>
          <cell r="G268">
            <v>9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76</v>
          </cell>
          <cell r="M268">
            <v>96</v>
          </cell>
        </row>
        <row r="269">
          <cell r="C269" t="str">
            <v>D141</v>
          </cell>
          <cell r="D269" t="str">
            <v>MUHAMMAD MUSTHAFA P.K</v>
          </cell>
          <cell r="E269" t="str">
            <v>BADF</v>
          </cell>
          <cell r="F269" t="str">
            <v>SUPER SENIOR</v>
          </cell>
          <cell r="G269">
            <v>9</v>
          </cell>
          <cell r="H269">
            <v>0</v>
          </cell>
          <cell r="I269">
            <v>0</v>
          </cell>
          <cell r="J269">
            <v>0</v>
          </cell>
          <cell r="K269">
            <v>1</v>
          </cell>
          <cell r="L269">
            <v>76</v>
          </cell>
          <cell r="M269">
            <v>69</v>
          </cell>
        </row>
        <row r="270">
          <cell r="C270" t="str">
            <v>D142</v>
          </cell>
          <cell r="D270" t="str">
            <v>ISHAM V.K</v>
          </cell>
          <cell r="E270" t="str">
            <v>FANT</v>
          </cell>
          <cell r="F270" t="str">
            <v>SUPER SENIOR</v>
          </cell>
          <cell r="G270">
            <v>9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76</v>
          </cell>
          <cell r="M270">
            <v>96</v>
          </cell>
        </row>
        <row r="271">
          <cell r="C271" t="str">
            <v>D143</v>
          </cell>
          <cell r="D271" t="str">
            <v>MUHAMMED MA</v>
          </cell>
          <cell r="E271" t="str">
            <v>BADF</v>
          </cell>
          <cell r="F271" t="str">
            <v>SUPER SENIOR</v>
          </cell>
          <cell r="G271">
            <v>9</v>
          </cell>
          <cell r="H271">
            <v>0</v>
          </cell>
          <cell r="I271">
            <v>0</v>
          </cell>
          <cell r="J271">
            <v>0</v>
          </cell>
          <cell r="K271">
            <v>1</v>
          </cell>
          <cell r="L271">
            <v>76</v>
          </cell>
          <cell r="M271">
            <v>69</v>
          </cell>
        </row>
        <row r="272">
          <cell r="C272" t="str">
            <v>D144</v>
          </cell>
          <cell r="D272" t="str">
            <v>MUHAMMED RASHAD KA</v>
          </cell>
          <cell r="E272" t="str">
            <v>JARF</v>
          </cell>
          <cell r="F272" t="str">
            <v>SUPER SENIOR</v>
          </cell>
          <cell r="G272">
            <v>9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76</v>
          </cell>
          <cell r="M272">
            <v>96</v>
          </cell>
        </row>
        <row r="273">
          <cell r="C273" t="str">
            <v>D145</v>
          </cell>
          <cell r="D273" t="str">
            <v>ABBAS ARFAS O.R</v>
          </cell>
          <cell r="E273" t="str">
            <v>BADF</v>
          </cell>
          <cell r="F273" t="str">
            <v>SUPER SENIOR</v>
          </cell>
          <cell r="G273">
            <v>9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76</v>
          </cell>
          <cell r="M273">
            <v>96</v>
          </cell>
        </row>
        <row r="274">
          <cell r="C274" t="str">
            <v>D146</v>
          </cell>
          <cell r="D274" t="str">
            <v>ABDUL YOUNUS</v>
          </cell>
          <cell r="E274" t="str">
            <v>DAHF</v>
          </cell>
          <cell r="F274" t="str">
            <v>SUPER SENIOR</v>
          </cell>
          <cell r="G274">
            <v>9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76</v>
          </cell>
          <cell r="M274">
            <v>96</v>
          </cell>
        </row>
        <row r="275">
          <cell r="C275" t="str">
            <v>D147</v>
          </cell>
          <cell r="D275" t="str">
            <v>MOHAMMED SHAHZAN T.K</v>
          </cell>
          <cell r="E275" t="str">
            <v>FANT</v>
          </cell>
          <cell r="F275" t="str">
            <v>SUPER SENIOR</v>
          </cell>
          <cell r="G275">
            <v>9</v>
          </cell>
          <cell r="H275">
            <v>0</v>
          </cell>
          <cell r="I275">
            <v>3</v>
          </cell>
          <cell r="J275">
            <v>3</v>
          </cell>
          <cell r="K275">
            <v>3</v>
          </cell>
          <cell r="L275">
            <v>30</v>
          </cell>
          <cell r="M275">
            <v>46</v>
          </cell>
        </row>
        <row r="276">
          <cell r="C276" t="str">
            <v>D148</v>
          </cell>
          <cell r="D276" t="str">
            <v>UMARUL FAROOK K .K</v>
          </cell>
          <cell r="E276" t="str">
            <v>DAHF</v>
          </cell>
          <cell r="F276" t="str">
            <v>SUPER SENIOR</v>
          </cell>
          <cell r="G276">
            <v>9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76</v>
          </cell>
          <cell r="M276">
            <v>96</v>
          </cell>
        </row>
        <row r="277">
          <cell r="C277" t="str">
            <v>D149</v>
          </cell>
          <cell r="D277" t="str">
            <v>MOHAMMED MARZOOK AM</v>
          </cell>
          <cell r="E277" t="str">
            <v>JARF</v>
          </cell>
          <cell r="F277" t="str">
            <v>SUPER SENIOR</v>
          </cell>
          <cell r="G277">
            <v>9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76</v>
          </cell>
          <cell r="M277">
            <v>96</v>
          </cell>
        </row>
        <row r="278">
          <cell r="C278" t="str">
            <v>D150</v>
          </cell>
          <cell r="D278" t="str">
            <v>ABDUL KHADER</v>
          </cell>
          <cell r="E278" t="str">
            <v>DAHF</v>
          </cell>
          <cell r="F278" t="str">
            <v>SUPER SENIOR</v>
          </cell>
          <cell r="G278">
            <v>9</v>
          </cell>
          <cell r="H278">
            <v>0</v>
          </cell>
          <cell r="I278">
            <v>0</v>
          </cell>
          <cell r="J278">
            <v>0</v>
          </cell>
          <cell r="K278">
            <v>5</v>
          </cell>
          <cell r="L278">
            <v>76</v>
          </cell>
          <cell r="M278">
            <v>24</v>
          </cell>
        </row>
        <row r="279">
          <cell r="C279" t="str">
            <v>D151</v>
          </cell>
          <cell r="D279" t="str">
            <v>MUHAMMED SHANAVAS M.A</v>
          </cell>
          <cell r="E279" t="str">
            <v>JARF</v>
          </cell>
          <cell r="F279" t="str">
            <v>SUPER SENIOR</v>
          </cell>
          <cell r="G279">
            <v>9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76</v>
          </cell>
          <cell r="M279">
            <v>96</v>
          </cell>
        </row>
        <row r="280">
          <cell r="C280" t="str">
            <v>D152</v>
          </cell>
          <cell r="D280" t="str">
            <v>MOHAMMAD ISMAIL SINAN KM</v>
          </cell>
          <cell r="E280" t="str">
            <v>DAHF</v>
          </cell>
          <cell r="F280" t="str">
            <v>SUPER SENIOR</v>
          </cell>
          <cell r="G280">
            <v>9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76</v>
          </cell>
          <cell r="M280">
            <v>96</v>
          </cell>
        </row>
        <row r="281">
          <cell r="C281" t="str">
            <v>D153</v>
          </cell>
          <cell r="D281" t="str">
            <v>MUHAMMED UNAIS PT</v>
          </cell>
          <cell r="E281" t="str">
            <v>JARF</v>
          </cell>
          <cell r="F281" t="str">
            <v>SUPER SENIOR</v>
          </cell>
          <cell r="G281">
            <v>9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76</v>
          </cell>
          <cell r="M281">
            <v>96</v>
          </cell>
        </row>
        <row r="282">
          <cell r="C282" t="str">
            <v>D154</v>
          </cell>
          <cell r="D282" t="str">
            <v>ASHIKK.I</v>
          </cell>
          <cell r="E282" t="str">
            <v>JARF</v>
          </cell>
          <cell r="F282" t="str">
            <v>SUPER SENIOR</v>
          </cell>
          <cell r="G282">
            <v>9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76</v>
          </cell>
          <cell r="M282">
            <v>96</v>
          </cell>
        </row>
        <row r="283">
          <cell r="C283" t="str">
            <v>D155</v>
          </cell>
          <cell r="D283" t="str">
            <v>MUHAMMED YASIR K</v>
          </cell>
          <cell r="E283" t="str">
            <v>BADF</v>
          </cell>
          <cell r="F283" t="str">
            <v>SUPER SENIOR</v>
          </cell>
          <cell r="G283">
            <v>9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76</v>
          </cell>
          <cell r="M283">
            <v>96</v>
          </cell>
        </row>
        <row r="284">
          <cell r="C284" t="str">
            <v>D156</v>
          </cell>
          <cell r="D284" t="str">
            <v>MUHAMMED BIN ABDUL KADHAR</v>
          </cell>
          <cell r="E284"/>
          <cell r="F284" t="str">
            <v>SUPER SENIOR</v>
          </cell>
          <cell r="G284">
            <v>9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76</v>
          </cell>
          <cell r="M284">
            <v>96</v>
          </cell>
        </row>
        <row r="285">
          <cell r="C285" t="str">
            <v>D157</v>
          </cell>
          <cell r="D285" t="str">
            <v>MUHAMMAD MUZAMMIL E.A</v>
          </cell>
          <cell r="E285" t="str">
            <v>BADF</v>
          </cell>
          <cell r="F285" t="str">
            <v>SUPER SENIOR</v>
          </cell>
          <cell r="G285">
            <v>9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76</v>
          </cell>
          <cell r="M285">
            <v>96</v>
          </cell>
        </row>
        <row r="286">
          <cell r="C286" t="str">
            <v>D158</v>
          </cell>
          <cell r="D286" t="str">
            <v>MUHAMMED UNAIS</v>
          </cell>
          <cell r="E286"/>
          <cell r="F286" t="str">
            <v>SUPER SENIOR</v>
          </cell>
          <cell r="G286">
            <v>9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76</v>
          </cell>
          <cell r="M286">
            <v>96</v>
          </cell>
        </row>
        <row r="287">
          <cell r="C287" t="str">
            <v>D159</v>
          </cell>
          <cell r="D287" t="str">
            <v>MUHAMMED MUZAMMIL</v>
          </cell>
          <cell r="E287" t="str">
            <v>FANT</v>
          </cell>
          <cell r="F287" t="str">
            <v>SUPER SENIOR</v>
          </cell>
          <cell r="G287">
            <v>9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76</v>
          </cell>
          <cell r="M287">
            <v>96</v>
          </cell>
        </row>
        <row r="288">
          <cell r="C288" t="str">
            <v>D160</v>
          </cell>
          <cell r="D288" t="str">
            <v>SALMAN FARIS</v>
          </cell>
          <cell r="E288" t="str">
            <v>JARF</v>
          </cell>
          <cell r="F288" t="str">
            <v>SUPER SENIOR</v>
          </cell>
          <cell r="G288">
            <v>9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76</v>
          </cell>
          <cell r="M288">
            <v>96</v>
          </cell>
        </row>
        <row r="289">
          <cell r="C289" t="str">
            <v>D161</v>
          </cell>
          <cell r="D289" t="str">
            <v>MOHAMMED ATHHAR THAYYIB MS</v>
          </cell>
          <cell r="E289" t="str">
            <v>BADF</v>
          </cell>
          <cell r="F289" t="str">
            <v>SUPER SENIOR</v>
          </cell>
          <cell r="G289">
            <v>9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76</v>
          </cell>
          <cell r="M289">
            <v>96</v>
          </cell>
        </row>
        <row r="290">
          <cell r="C290" t="str">
            <v>D162</v>
          </cell>
          <cell r="D290" t="str">
            <v>ABDURAHMAN P.H</v>
          </cell>
          <cell r="E290" t="str">
            <v>BADF</v>
          </cell>
          <cell r="F290" t="str">
            <v>SUPER SENIOR</v>
          </cell>
          <cell r="G290">
            <v>9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76</v>
          </cell>
          <cell r="M290">
            <v>96</v>
          </cell>
        </row>
        <row r="291">
          <cell r="C291" t="str">
            <v>D163</v>
          </cell>
          <cell r="D291" t="str">
            <v>ABDUL JANIS</v>
          </cell>
          <cell r="E291" t="str">
            <v>FANT</v>
          </cell>
          <cell r="F291" t="str">
            <v>SUPER SENIOR</v>
          </cell>
          <cell r="G291">
            <v>9</v>
          </cell>
          <cell r="H291">
            <v>5</v>
          </cell>
          <cell r="I291">
            <v>0</v>
          </cell>
          <cell r="J291">
            <v>5</v>
          </cell>
          <cell r="K291">
            <v>5</v>
          </cell>
          <cell r="L291">
            <v>13</v>
          </cell>
          <cell r="M291">
            <v>24</v>
          </cell>
        </row>
        <row r="292">
          <cell r="C292" t="str">
            <v>D164</v>
          </cell>
          <cell r="D292" t="str">
            <v>AHMED SULTHAN</v>
          </cell>
          <cell r="E292" t="str">
            <v>JARF</v>
          </cell>
          <cell r="F292" t="str">
            <v>SUPER SENIOR</v>
          </cell>
          <cell r="G292">
            <v>9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76</v>
          </cell>
          <cell r="M292">
            <v>96</v>
          </cell>
        </row>
        <row r="293">
          <cell r="C293" t="str">
            <v>D165</v>
          </cell>
          <cell r="D293" t="str">
            <v>AJMAL KI</v>
          </cell>
          <cell r="E293" t="str">
            <v>FANT</v>
          </cell>
          <cell r="F293" t="str">
            <v>SUPER SENIOR</v>
          </cell>
          <cell r="G293">
            <v>9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76</v>
          </cell>
          <cell r="M293">
            <v>96</v>
          </cell>
        </row>
        <row r="294">
          <cell r="C294" t="str">
            <v>D166</v>
          </cell>
          <cell r="D294" t="str">
            <v>MOHAMMED IRFAN C</v>
          </cell>
          <cell r="E294" t="str">
            <v>DAHF</v>
          </cell>
          <cell r="F294" t="str">
            <v>SUPER SENIOR</v>
          </cell>
          <cell r="G294">
            <v>9</v>
          </cell>
          <cell r="H294">
            <v>0</v>
          </cell>
          <cell r="I294">
            <v>3</v>
          </cell>
          <cell r="J294">
            <v>3</v>
          </cell>
          <cell r="K294">
            <v>4</v>
          </cell>
          <cell r="L294">
            <v>30</v>
          </cell>
          <cell r="M294">
            <v>40</v>
          </cell>
        </row>
        <row r="295">
          <cell r="C295" t="str">
            <v>D167</v>
          </cell>
          <cell r="D295" t="str">
            <v>AHMAD BINYAMUL ASHIQUE</v>
          </cell>
          <cell r="E295" t="str">
            <v>JARF</v>
          </cell>
          <cell r="F295" t="str">
            <v>SUPER SENIOR</v>
          </cell>
          <cell r="G295">
            <v>10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76</v>
          </cell>
          <cell r="M295">
            <v>96</v>
          </cell>
        </row>
        <row r="296">
          <cell r="C296" t="str">
            <v>D168</v>
          </cell>
          <cell r="D296" t="str">
            <v>MOHAMMED NAFIH KA</v>
          </cell>
          <cell r="E296" t="str">
            <v>FANT</v>
          </cell>
          <cell r="F296" t="str">
            <v>SUPER SENIOR</v>
          </cell>
          <cell r="G296">
            <v>10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76</v>
          </cell>
          <cell r="M296">
            <v>96</v>
          </cell>
        </row>
        <row r="297">
          <cell r="C297" t="str">
            <v>D169</v>
          </cell>
          <cell r="D297" t="str">
            <v>MUHAMMED AYIZ</v>
          </cell>
          <cell r="E297" t="str">
            <v>BADF</v>
          </cell>
          <cell r="F297" t="str">
            <v>SUPER SENIOR</v>
          </cell>
          <cell r="G297">
            <v>10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76</v>
          </cell>
          <cell r="M297">
            <v>96</v>
          </cell>
        </row>
        <row r="298">
          <cell r="C298" t="str">
            <v>D170</v>
          </cell>
          <cell r="D298" t="str">
            <v>AHMED ADIL B.K</v>
          </cell>
          <cell r="E298" t="str">
            <v>JARF</v>
          </cell>
          <cell r="F298" t="str">
            <v>SUPER SENIOR</v>
          </cell>
          <cell r="G298">
            <v>10</v>
          </cell>
          <cell r="H298">
            <v>0</v>
          </cell>
          <cell r="I298">
            <v>0</v>
          </cell>
          <cell r="J298">
            <v>0</v>
          </cell>
          <cell r="K298">
            <v>1</v>
          </cell>
          <cell r="L298">
            <v>76</v>
          </cell>
          <cell r="M298">
            <v>69</v>
          </cell>
        </row>
        <row r="299">
          <cell r="C299" t="str">
            <v>D171</v>
          </cell>
          <cell r="D299" t="str">
            <v>MOHAMMED ANFAHUDEEN T.A</v>
          </cell>
          <cell r="E299" t="str">
            <v>FANT</v>
          </cell>
          <cell r="F299" t="str">
            <v>SUPER SENIOR</v>
          </cell>
          <cell r="G299">
            <v>10</v>
          </cell>
          <cell r="H299">
            <v>5</v>
          </cell>
          <cell r="I299">
            <v>0</v>
          </cell>
          <cell r="J299">
            <v>5</v>
          </cell>
          <cell r="K299">
            <v>5</v>
          </cell>
          <cell r="L299">
            <v>13</v>
          </cell>
          <cell r="M299">
            <v>24</v>
          </cell>
        </row>
        <row r="300">
          <cell r="C300" t="str">
            <v>D172</v>
          </cell>
          <cell r="D300" t="str">
            <v>MUHAMMED MUFEED</v>
          </cell>
          <cell r="E300" t="str">
            <v>DAHF</v>
          </cell>
          <cell r="F300" t="str">
            <v>SUPER SENIOR</v>
          </cell>
          <cell r="G300">
            <v>10</v>
          </cell>
          <cell r="H300">
            <v>7</v>
          </cell>
          <cell r="I300">
            <v>0</v>
          </cell>
          <cell r="J300">
            <v>7</v>
          </cell>
          <cell r="K300">
            <v>7</v>
          </cell>
          <cell r="L300">
            <v>9</v>
          </cell>
          <cell r="M300">
            <v>19</v>
          </cell>
        </row>
        <row r="301">
          <cell r="C301" t="str">
            <v>D173</v>
          </cell>
          <cell r="D301" t="str">
            <v>ABOOBACKER SIDDIK</v>
          </cell>
          <cell r="E301" t="str">
            <v>BADF</v>
          </cell>
          <cell r="F301" t="str">
            <v>SUPER SENIOR</v>
          </cell>
          <cell r="G301">
            <v>10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76</v>
          </cell>
          <cell r="M301">
            <v>96</v>
          </cell>
        </row>
        <row r="302">
          <cell r="C302" t="str">
            <v>D174</v>
          </cell>
          <cell r="D302" t="str">
            <v>BADRUDHIN A</v>
          </cell>
          <cell r="E302" t="str">
            <v>BADF</v>
          </cell>
          <cell r="F302" t="str">
            <v>SUPER SENIOR</v>
          </cell>
          <cell r="G302">
            <v>10</v>
          </cell>
          <cell r="H302">
            <v>0</v>
          </cell>
          <cell r="I302">
            <v>1</v>
          </cell>
          <cell r="J302">
            <v>1</v>
          </cell>
          <cell r="K302">
            <v>14</v>
          </cell>
          <cell r="L302">
            <v>54</v>
          </cell>
          <cell r="M302">
            <v>2</v>
          </cell>
        </row>
        <row r="303">
          <cell r="C303" t="str">
            <v>D175</v>
          </cell>
          <cell r="D303" t="str">
            <v>AKBAR P</v>
          </cell>
          <cell r="E303" t="str">
            <v>FANT</v>
          </cell>
          <cell r="F303" t="str">
            <v>SUPER SENIOR</v>
          </cell>
          <cell r="G303">
            <v>10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76</v>
          </cell>
          <cell r="M303">
            <v>96</v>
          </cell>
        </row>
        <row r="304">
          <cell r="C304" t="str">
            <v>D176</v>
          </cell>
          <cell r="D304" t="str">
            <v>MOHAMMED NASFAR AFNAN H</v>
          </cell>
          <cell r="E304" t="str">
            <v>JARF</v>
          </cell>
          <cell r="F304" t="str">
            <v>SUPER SENIOR</v>
          </cell>
          <cell r="G304">
            <v>10</v>
          </cell>
          <cell r="H304">
            <v>0</v>
          </cell>
          <cell r="I304">
            <v>5</v>
          </cell>
          <cell r="J304">
            <v>5</v>
          </cell>
          <cell r="K304">
            <v>5</v>
          </cell>
          <cell r="L304">
            <v>13</v>
          </cell>
          <cell r="M304">
            <v>24</v>
          </cell>
        </row>
        <row r="305">
          <cell r="C305" t="str">
            <v>D177</v>
          </cell>
          <cell r="D305" t="str">
            <v>SHAMEEM ABDULLA P.S</v>
          </cell>
          <cell r="E305" t="str">
            <v>FANT</v>
          </cell>
          <cell r="F305" t="str">
            <v>SUPER SENIOR</v>
          </cell>
          <cell r="G305">
            <v>10</v>
          </cell>
          <cell r="H305">
            <v>1</v>
          </cell>
          <cell r="I305">
            <v>0</v>
          </cell>
          <cell r="J305">
            <v>1</v>
          </cell>
          <cell r="K305">
            <v>1</v>
          </cell>
          <cell r="L305">
            <v>54</v>
          </cell>
          <cell r="M305">
            <v>69</v>
          </cell>
        </row>
        <row r="306">
          <cell r="C306" t="str">
            <v>D178</v>
          </cell>
          <cell r="D306" t="str">
            <v>AHMED BK</v>
          </cell>
          <cell r="E306" t="str">
            <v>BADF</v>
          </cell>
          <cell r="F306" t="str">
            <v>SUPER SENIOR</v>
          </cell>
          <cell r="G306">
            <v>10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76</v>
          </cell>
          <cell r="M306">
            <v>96</v>
          </cell>
        </row>
        <row r="307">
          <cell r="C307" t="str">
            <v>D179</v>
          </cell>
          <cell r="D307" t="str">
            <v>MUHAMMED AKBAR NP</v>
          </cell>
          <cell r="E307" t="str">
            <v>DAHF</v>
          </cell>
          <cell r="F307" t="str">
            <v>SUPER SENIOR</v>
          </cell>
          <cell r="G307">
            <v>10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76</v>
          </cell>
          <cell r="M307">
            <v>96</v>
          </cell>
        </row>
        <row r="308">
          <cell r="C308" t="str">
            <v>D180</v>
          </cell>
          <cell r="D308" t="str">
            <v>ATHIF ABDULKHADER</v>
          </cell>
          <cell r="E308" t="str">
            <v>FANT</v>
          </cell>
          <cell r="F308" t="str">
            <v>SUPER SENIOR</v>
          </cell>
          <cell r="G308">
            <v>10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76</v>
          </cell>
          <cell r="M308">
            <v>96</v>
          </cell>
        </row>
        <row r="309">
          <cell r="C309" t="str">
            <v>D181</v>
          </cell>
          <cell r="D309" t="str">
            <v>MUHAMMED SAJJAD</v>
          </cell>
          <cell r="E309" t="str">
            <v>DAHF</v>
          </cell>
          <cell r="F309" t="str">
            <v>SUPER SENIOR</v>
          </cell>
          <cell r="G309">
            <v>10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76</v>
          </cell>
          <cell r="M309">
            <v>96</v>
          </cell>
        </row>
        <row r="310">
          <cell r="C310" t="str">
            <v>D182</v>
          </cell>
          <cell r="D310" t="str">
            <v>AHAMED ASIF M</v>
          </cell>
          <cell r="E310" t="str">
            <v>JARF</v>
          </cell>
          <cell r="F310" t="str">
            <v>SUPER SENIOR</v>
          </cell>
          <cell r="G310">
            <v>10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76</v>
          </cell>
          <cell r="M310">
            <v>96</v>
          </cell>
        </row>
        <row r="311">
          <cell r="C311" t="str">
            <v>D183</v>
          </cell>
          <cell r="D311" t="str">
            <v>MOHAMMAD SWALIH K</v>
          </cell>
          <cell r="E311" t="str">
            <v>DAHF</v>
          </cell>
          <cell r="F311" t="str">
            <v>SUPER SENIOR</v>
          </cell>
          <cell r="G311">
            <v>10</v>
          </cell>
          <cell r="H311">
            <v>0</v>
          </cell>
          <cell r="I311">
            <v>0</v>
          </cell>
          <cell r="J311">
            <v>0</v>
          </cell>
          <cell r="K311">
            <v>3</v>
          </cell>
          <cell r="L311">
            <v>76</v>
          </cell>
          <cell r="M311">
            <v>46</v>
          </cell>
        </row>
        <row r="312">
          <cell r="C312" t="str">
            <v>D184</v>
          </cell>
          <cell r="D312" t="str">
            <v>YASEEN</v>
          </cell>
          <cell r="E312" t="str">
            <v>FANT</v>
          </cell>
          <cell r="F312" t="str">
            <v>SUPER SENIOR</v>
          </cell>
          <cell r="G312">
            <v>10</v>
          </cell>
          <cell r="H312">
            <v>0</v>
          </cell>
          <cell r="I312">
            <v>10</v>
          </cell>
          <cell r="J312">
            <v>10</v>
          </cell>
          <cell r="K312">
            <v>15</v>
          </cell>
          <cell r="L312">
            <v>1</v>
          </cell>
          <cell r="M312">
            <v>1</v>
          </cell>
        </row>
        <row r="313">
          <cell r="C313" t="str">
            <v>D185</v>
          </cell>
          <cell r="D313" t="str">
            <v>MAHAMMED ASHIK</v>
          </cell>
          <cell r="E313"/>
          <cell r="F313" t="str">
            <v>SUPER SENIOR</v>
          </cell>
          <cell r="G313">
            <v>10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76</v>
          </cell>
          <cell r="M313">
            <v>96</v>
          </cell>
        </row>
        <row r="314">
          <cell r="C314" t="str">
            <v>D186</v>
          </cell>
          <cell r="D314" t="str">
            <v>SALAHUDDEEN AYYOOBI KM</v>
          </cell>
          <cell r="E314" t="str">
            <v>FANT</v>
          </cell>
          <cell r="F314" t="str">
            <v>SUPER SENIOR</v>
          </cell>
          <cell r="G314">
            <v>10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76</v>
          </cell>
          <cell r="M314">
            <v>96</v>
          </cell>
        </row>
        <row r="315">
          <cell r="C315" t="str">
            <v>D187</v>
          </cell>
          <cell r="D315" t="str">
            <v>ABDUL RAHMAN</v>
          </cell>
          <cell r="E315" t="str">
            <v>DAHF</v>
          </cell>
          <cell r="F315" t="str">
            <v>SUPER SENIOR</v>
          </cell>
          <cell r="G315">
            <v>10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76</v>
          </cell>
          <cell r="M315">
            <v>96</v>
          </cell>
        </row>
        <row r="316">
          <cell r="C316" t="str">
            <v>D188</v>
          </cell>
          <cell r="D316" t="str">
            <v>AHMED MANHAL HUSSAIN</v>
          </cell>
          <cell r="E316" t="str">
            <v>FANT</v>
          </cell>
          <cell r="F316" t="str">
            <v>SUPER SENIOR</v>
          </cell>
          <cell r="G316">
            <v>10</v>
          </cell>
          <cell r="H316">
            <v>0</v>
          </cell>
          <cell r="I316">
            <v>3</v>
          </cell>
          <cell r="J316">
            <v>3</v>
          </cell>
          <cell r="K316">
            <v>3</v>
          </cell>
          <cell r="L316">
            <v>30</v>
          </cell>
          <cell r="M316">
            <v>46</v>
          </cell>
        </row>
        <row r="317">
          <cell r="C317" t="str">
            <v>D189</v>
          </cell>
          <cell r="D317" t="str">
            <v>ASGAR ALI</v>
          </cell>
          <cell r="E317" t="str">
            <v>BADF</v>
          </cell>
          <cell r="F317" t="str">
            <v>SUPER SENIOR</v>
          </cell>
          <cell r="G317">
            <v>10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76</v>
          </cell>
          <cell r="M317">
            <v>96</v>
          </cell>
        </row>
        <row r="318">
          <cell r="C318" t="str">
            <v>D190</v>
          </cell>
          <cell r="D318" t="str">
            <v>MOHAMMED AMEEN B.A</v>
          </cell>
          <cell r="E318" t="str">
            <v>BADF</v>
          </cell>
          <cell r="F318" t="str">
            <v>SUPER SENIOR</v>
          </cell>
          <cell r="G318">
            <v>10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76</v>
          </cell>
          <cell r="M318">
            <v>96</v>
          </cell>
        </row>
        <row r="319">
          <cell r="C319" t="str">
            <v>D191</v>
          </cell>
          <cell r="D319" t="str">
            <v>THAMJEED TM</v>
          </cell>
          <cell r="E319" t="str">
            <v>JARF</v>
          </cell>
          <cell r="F319" t="str">
            <v>SUPER SENIOR</v>
          </cell>
          <cell r="G319">
            <v>10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76</v>
          </cell>
          <cell r="M319">
            <v>96</v>
          </cell>
        </row>
        <row r="320">
          <cell r="C320" t="str">
            <v>D192</v>
          </cell>
          <cell r="D320" t="str">
            <v>MUHAMMED SIFARATH T A</v>
          </cell>
          <cell r="E320" t="str">
            <v>DAHF</v>
          </cell>
          <cell r="F320" t="str">
            <v>SUPER SENIOR</v>
          </cell>
          <cell r="G320">
            <v>10</v>
          </cell>
          <cell r="H320">
            <v>3</v>
          </cell>
          <cell r="I320">
            <v>3</v>
          </cell>
          <cell r="J320">
            <v>6</v>
          </cell>
          <cell r="K320">
            <v>7</v>
          </cell>
          <cell r="L320">
            <v>10</v>
          </cell>
          <cell r="M320">
            <v>19</v>
          </cell>
        </row>
        <row r="321">
          <cell r="C321" t="str">
            <v>D193</v>
          </cell>
          <cell r="D321" t="str">
            <v>MUHAMMED ABDUL GHANI M.A</v>
          </cell>
          <cell r="E321" t="str">
            <v>JARF</v>
          </cell>
          <cell r="F321" t="str">
            <v>SUPER SENIOR</v>
          </cell>
          <cell r="G321">
            <v>10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76</v>
          </cell>
          <cell r="M321">
            <v>96</v>
          </cell>
        </row>
        <row r="322">
          <cell r="C322" t="str">
            <v>D194</v>
          </cell>
          <cell r="D322" t="str">
            <v>AYAZ RAHMAN T</v>
          </cell>
          <cell r="E322" t="str">
            <v>JARF</v>
          </cell>
          <cell r="F322" t="str">
            <v>SUPER SENIOR</v>
          </cell>
          <cell r="G322">
            <v>10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76</v>
          </cell>
          <cell r="M322">
            <v>96</v>
          </cell>
        </row>
        <row r="323">
          <cell r="C323" t="str">
            <v>D195</v>
          </cell>
          <cell r="D323" t="str">
            <v>AHMED SWALAHUDHEEN PI</v>
          </cell>
          <cell r="E323" t="str">
            <v>BADF</v>
          </cell>
          <cell r="F323" t="str">
            <v>SUPER SENIOR</v>
          </cell>
          <cell r="G323">
            <v>10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76</v>
          </cell>
          <cell r="M323">
            <v>96</v>
          </cell>
        </row>
        <row r="324">
          <cell r="C324" t="str">
            <v>D196</v>
          </cell>
          <cell r="D324" t="str">
            <v>ABDUL VAJID K</v>
          </cell>
          <cell r="E324" t="str">
            <v>DAHF</v>
          </cell>
          <cell r="F324" t="str">
            <v>SUPER SENIOR</v>
          </cell>
          <cell r="G324">
            <v>10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76</v>
          </cell>
          <cell r="M324">
            <v>96</v>
          </cell>
        </row>
        <row r="325">
          <cell r="C325" t="str">
            <v>D197</v>
          </cell>
          <cell r="D325" t="str">
            <v>MUHAMMED ASHFAK K</v>
          </cell>
          <cell r="E325" t="str">
            <v>DAHF</v>
          </cell>
          <cell r="F325" t="str">
            <v>SUPER SENIOR</v>
          </cell>
          <cell r="G325">
            <v>10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76</v>
          </cell>
          <cell r="M325">
            <v>96</v>
          </cell>
        </row>
        <row r="326">
          <cell r="C326" t="str">
            <v>D198</v>
          </cell>
          <cell r="D326" t="str">
            <v>MUHAMMED SAFWAN</v>
          </cell>
          <cell r="E326" t="str">
            <v>FANT</v>
          </cell>
          <cell r="F326" t="str">
            <v>SUPER SENIOR</v>
          </cell>
          <cell r="G326">
            <v>10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76</v>
          </cell>
          <cell r="M326">
            <v>96</v>
          </cell>
        </row>
        <row r="327">
          <cell r="C327" t="str">
            <v>D199</v>
          </cell>
          <cell r="D327" t="str">
            <v>Simsarul Haq VPM</v>
          </cell>
          <cell r="E327" t="str">
            <v>BADF</v>
          </cell>
          <cell r="F327" t="str">
            <v>SUPER SENIOR</v>
          </cell>
          <cell r="G327">
            <v>10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76</v>
          </cell>
          <cell r="M327">
            <v>96</v>
          </cell>
        </row>
        <row r="328">
          <cell r="C328"/>
          <cell r="D328"/>
          <cell r="E328"/>
          <cell r="F328"/>
          <cell r="G328"/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76</v>
          </cell>
          <cell r="M328">
            <v>96</v>
          </cell>
        </row>
        <row r="329">
          <cell r="C329"/>
          <cell r="D329"/>
          <cell r="E329"/>
          <cell r="F329"/>
          <cell r="G329"/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76</v>
          </cell>
          <cell r="M329">
            <v>96</v>
          </cell>
        </row>
        <row r="330">
          <cell r="C330"/>
          <cell r="D330"/>
          <cell r="E330"/>
          <cell r="F330"/>
          <cell r="G330"/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76</v>
          </cell>
          <cell r="M330">
            <v>96</v>
          </cell>
        </row>
        <row r="331">
          <cell r="C331"/>
          <cell r="D331"/>
          <cell r="E331"/>
          <cell r="F331"/>
          <cell r="G331"/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76</v>
          </cell>
          <cell r="M331">
            <v>96</v>
          </cell>
        </row>
        <row r="332">
          <cell r="C332"/>
          <cell r="D332"/>
          <cell r="E332"/>
          <cell r="F332"/>
          <cell r="G332"/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76</v>
          </cell>
          <cell r="M332">
            <v>96</v>
          </cell>
        </row>
        <row r="333">
          <cell r="C333"/>
          <cell r="D333"/>
          <cell r="E333"/>
          <cell r="F333"/>
          <cell r="G333"/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76</v>
          </cell>
          <cell r="M333">
            <v>96</v>
          </cell>
        </row>
        <row r="334">
          <cell r="C334"/>
          <cell r="D334"/>
          <cell r="E334"/>
          <cell r="F334"/>
          <cell r="G334"/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76</v>
          </cell>
          <cell r="M334">
            <v>96</v>
          </cell>
        </row>
        <row r="335">
          <cell r="C335"/>
          <cell r="D335"/>
          <cell r="E335"/>
          <cell r="F335"/>
          <cell r="G335"/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76</v>
          </cell>
          <cell r="M335">
            <v>96</v>
          </cell>
        </row>
        <row r="336">
          <cell r="C336"/>
          <cell r="D336"/>
          <cell r="E336"/>
          <cell r="F336"/>
          <cell r="G336"/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76</v>
          </cell>
          <cell r="M336">
            <v>96</v>
          </cell>
        </row>
        <row r="337">
          <cell r="C337"/>
          <cell r="D337"/>
          <cell r="E337"/>
          <cell r="F337"/>
          <cell r="G337"/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76</v>
          </cell>
          <cell r="M337">
            <v>96</v>
          </cell>
        </row>
        <row r="338">
          <cell r="C338"/>
          <cell r="D338"/>
          <cell r="E338"/>
          <cell r="F338"/>
          <cell r="G338"/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76</v>
          </cell>
          <cell r="M338">
            <v>96</v>
          </cell>
        </row>
        <row r="339">
          <cell r="C339"/>
          <cell r="D339"/>
          <cell r="E339"/>
          <cell r="F339"/>
          <cell r="G339"/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76</v>
          </cell>
          <cell r="M339">
            <v>96</v>
          </cell>
        </row>
        <row r="340">
          <cell r="C340"/>
          <cell r="D340"/>
          <cell r="E340"/>
          <cell r="F340"/>
          <cell r="G340"/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76</v>
          </cell>
          <cell r="M340">
            <v>96</v>
          </cell>
        </row>
        <row r="341">
          <cell r="C341"/>
          <cell r="D341"/>
          <cell r="E341"/>
          <cell r="F341"/>
          <cell r="G341"/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76</v>
          </cell>
          <cell r="M341">
            <v>96</v>
          </cell>
        </row>
        <row r="342">
          <cell r="C342"/>
          <cell r="D342"/>
          <cell r="E342"/>
          <cell r="F342"/>
          <cell r="G342"/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76</v>
          </cell>
          <cell r="M342">
            <v>96</v>
          </cell>
        </row>
        <row r="343">
          <cell r="C343"/>
          <cell r="D343"/>
          <cell r="E343"/>
          <cell r="F343"/>
          <cell r="G343"/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76</v>
          </cell>
          <cell r="M343">
            <v>96</v>
          </cell>
        </row>
        <row r="344">
          <cell r="C344"/>
          <cell r="D344"/>
          <cell r="E344"/>
          <cell r="F344"/>
          <cell r="G344"/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76</v>
          </cell>
          <cell r="M344">
            <v>96</v>
          </cell>
        </row>
        <row r="345">
          <cell r="C345"/>
          <cell r="D345"/>
          <cell r="E345"/>
          <cell r="F345"/>
          <cell r="G345"/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76</v>
          </cell>
          <cell r="M345">
            <v>96</v>
          </cell>
        </row>
        <row r="346">
          <cell r="C346"/>
          <cell r="D346"/>
          <cell r="E346"/>
          <cell r="F346"/>
          <cell r="G346"/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76</v>
          </cell>
          <cell r="M346">
            <v>96</v>
          </cell>
        </row>
        <row r="347">
          <cell r="C347"/>
          <cell r="D347"/>
          <cell r="E347"/>
          <cell r="F347"/>
          <cell r="G347"/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76</v>
          </cell>
          <cell r="M347">
            <v>96</v>
          </cell>
        </row>
        <row r="348">
          <cell r="C348"/>
          <cell r="D348"/>
          <cell r="E348"/>
          <cell r="F348"/>
          <cell r="G348"/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76</v>
          </cell>
          <cell r="M348">
            <v>96</v>
          </cell>
        </row>
        <row r="349">
          <cell r="C349"/>
          <cell r="D349"/>
          <cell r="E349"/>
          <cell r="F349"/>
          <cell r="G349"/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76</v>
          </cell>
          <cell r="M349">
            <v>96</v>
          </cell>
        </row>
        <row r="350">
          <cell r="C350"/>
          <cell r="D350"/>
          <cell r="E350"/>
          <cell r="F350"/>
          <cell r="G350"/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76</v>
          </cell>
          <cell r="M350">
            <v>96</v>
          </cell>
        </row>
        <row r="351">
          <cell r="C351"/>
          <cell r="D351"/>
          <cell r="E351"/>
          <cell r="F351"/>
          <cell r="G351"/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76</v>
          </cell>
          <cell r="M351">
            <v>96</v>
          </cell>
        </row>
        <row r="352">
          <cell r="C352"/>
          <cell r="D352"/>
          <cell r="E352"/>
          <cell r="F352"/>
          <cell r="G352"/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76</v>
          </cell>
          <cell r="M352">
            <v>96</v>
          </cell>
        </row>
        <row r="353">
          <cell r="C353"/>
          <cell r="D353"/>
          <cell r="E353"/>
          <cell r="F353"/>
          <cell r="G353"/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76</v>
          </cell>
          <cell r="M353">
            <v>96</v>
          </cell>
        </row>
        <row r="354">
          <cell r="C354"/>
          <cell r="D354"/>
          <cell r="E354"/>
          <cell r="F354"/>
          <cell r="G354"/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76</v>
          </cell>
          <cell r="M354">
            <v>96</v>
          </cell>
        </row>
        <row r="355">
          <cell r="C355"/>
          <cell r="D355"/>
          <cell r="E355"/>
          <cell r="F355"/>
          <cell r="G355"/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76</v>
          </cell>
          <cell r="M355">
            <v>96</v>
          </cell>
        </row>
        <row r="356">
          <cell r="C356"/>
          <cell r="D356"/>
          <cell r="E356"/>
          <cell r="F356"/>
          <cell r="G356"/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76</v>
          </cell>
          <cell r="M356">
            <v>96</v>
          </cell>
        </row>
        <row r="357">
          <cell r="C357"/>
          <cell r="D357"/>
          <cell r="E357"/>
          <cell r="F357"/>
          <cell r="G357"/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76</v>
          </cell>
          <cell r="M357">
            <v>96</v>
          </cell>
        </row>
        <row r="358">
          <cell r="C358"/>
          <cell r="D358"/>
          <cell r="E358"/>
          <cell r="F358"/>
          <cell r="G358"/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76</v>
          </cell>
          <cell r="M358">
            <v>96</v>
          </cell>
        </row>
        <row r="359">
          <cell r="C359"/>
          <cell r="D359"/>
          <cell r="E359"/>
          <cell r="F359"/>
          <cell r="G359"/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76</v>
          </cell>
          <cell r="M359">
            <v>96</v>
          </cell>
        </row>
        <row r="360">
          <cell r="C360"/>
          <cell r="D360"/>
          <cell r="E360"/>
          <cell r="F360"/>
          <cell r="G360"/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76</v>
          </cell>
          <cell r="M360">
            <v>96</v>
          </cell>
        </row>
        <row r="361">
          <cell r="C361"/>
          <cell r="D361"/>
          <cell r="E361"/>
          <cell r="F361"/>
          <cell r="G361"/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76</v>
          </cell>
          <cell r="M361">
            <v>96</v>
          </cell>
        </row>
        <row r="362">
          <cell r="C362"/>
          <cell r="D362"/>
          <cell r="E362"/>
          <cell r="F362"/>
          <cell r="G362"/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76</v>
          </cell>
          <cell r="M362">
            <v>96</v>
          </cell>
        </row>
        <row r="363">
          <cell r="C363"/>
          <cell r="D363"/>
          <cell r="E363"/>
          <cell r="F363"/>
          <cell r="G363"/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76</v>
          </cell>
          <cell r="M363">
            <v>96</v>
          </cell>
        </row>
        <row r="364">
          <cell r="C364"/>
          <cell r="D364"/>
          <cell r="E364"/>
          <cell r="F364"/>
          <cell r="G364"/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76</v>
          </cell>
          <cell r="M364">
            <v>96</v>
          </cell>
        </row>
        <row r="365">
          <cell r="C365"/>
          <cell r="D365"/>
          <cell r="E365"/>
          <cell r="F365"/>
          <cell r="G365"/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76</v>
          </cell>
          <cell r="M365">
            <v>96</v>
          </cell>
        </row>
        <row r="366">
          <cell r="C366"/>
          <cell r="D366"/>
          <cell r="E366"/>
          <cell r="F366"/>
          <cell r="G366"/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76</v>
          </cell>
          <cell r="M366">
            <v>96</v>
          </cell>
        </row>
        <row r="367">
          <cell r="C367"/>
          <cell r="D367"/>
          <cell r="E367"/>
          <cell r="F367"/>
          <cell r="G367"/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76</v>
          </cell>
          <cell r="M367">
            <v>96</v>
          </cell>
        </row>
        <row r="368">
          <cell r="C368"/>
          <cell r="D368"/>
          <cell r="E368"/>
          <cell r="F368"/>
          <cell r="G368"/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76</v>
          </cell>
          <cell r="M368">
            <v>96</v>
          </cell>
        </row>
        <row r="369">
          <cell r="C369"/>
          <cell r="D369"/>
          <cell r="E369"/>
          <cell r="F369"/>
          <cell r="G369"/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76</v>
          </cell>
          <cell r="M369">
            <v>96</v>
          </cell>
        </row>
        <row r="370">
          <cell r="C370"/>
          <cell r="D370"/>
          <cell r="E370"/>
          <cell r="F370"/>
          <cell r="G370"/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76</v>
          </cell>
          <cell r="M370">
            <v>96</v>
          </cell>
        </row>
        <row r="371">
          <cell r="C371"/>
          <cell r="D371"/>
          <cell r="E371"/>
          <cell r="F371"/>
          <cell r="G371"/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76</v>
          </cell>
          <cell r="M371">
            <v>96</v>
          </cell>
        </row>
        <row r="372">
          <cell r="C372"/>
          <cell r="D372"/>
          <cell r="E372"/>
          <cell r="F372"/>
          <cell r="G372"/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76</v>
          </cell>
          <cell r="M372">
            <v>96</v>
          </cell>
        </row>
        <row r="373">
          <cell r="C373"/>
          <cell r="D373"/>
          <cell r="E373"/>
          <cell r="F373"/>
          <cell r="G373"/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76</v>
          </cell>
          <cell r="M373">
            <v>96</v>
          </cell>
        </row>
        <row r="374">
          <cell r="C374"/>
          <cell r="D374"/>
          <cell r="E374"/>
          <cell r="F374"/>
          <cell r="G374"/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76</v>
          </cell>
          <cell r="M374">
            <v>96</v>
          </cell>
        </row>
        <row r="375">
          <cell r="C375"/>
          <cell r="D375"/>
          <cell r="E375"/>
          <cell r="F375"/>
          <cell r="G375"/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76</v>
          </cell>
          <cell r="M375">
            <v>96</v>
          </cell>
        </row>
        <row r="376">
          <cell r="C376"/>
          <cell r="D376"/>
          <cell r="E376"/>
          <cell r="F376"/>
          <cell r="G376"/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76</v>
          </cell>
          <cell r="M376">
            <v>96</v>
          </cell>
        </row>
        <row r="377">
          <cell r="C377"/>
          <cell r="D377"/>
          <cell r="E377"/>
          <cell r="F377"/>
          <cell r="G377"/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76</v>
          </cell>
          <cell r="M377">
            <v>96</v>
          </cell>
        </row>
        <row r="378">
          <cell r="C378"/>
          <cell r="D378"/>
          <cell r="E378"/>
          <cell r="F378"/>
          <cell r="G378"/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76</v>
          </cell>
          <cell r="M378">
            <v>96</v>
          </cell>
        </row>
        <row r="379">
          <cell r="C379"/>
          <cell r="D379"/>
          <cell r="E379"/>
          <cell r="F379"/>
          <cell r="G379"/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76</v>
          </cell>
          <cell r="M379">
            <v>96</v>
          </cell>
        </row>
        <row r="380">
          <cell r="C380"/>
          <cell r="D380"/>
          <cell r="E380"/>
          <cell r="F380"/>
          <cell r="G380"/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76</v>
          </cell>
          <cell r="M380">
            <v>96</v>
          </cell>
        </row>
        <row r="381">
          <cell r="C381"/>
          <cell r="D381"/>
          <cell r="E381"/>
          <cell r="F381"/>
          <cell r="G381"/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76</v>
          </cell>
          <cell r="M381">
            <v>96</v>
          </cell>
        </row>
        <row r="382">
          <cell r="C382"/>
          <cell r="D382"/>
          <cell r="E382"/>
          <cell r="F382"/>
          <cell r="G382"/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76</v>
          </cell>
          <cell r="M382">
            <v>96</v>
          </cell>
        </row>
        <row r="383">
          <cell r="C383"/>
          <cell r="D383"/>
          <cell r="E383"/>
          <cell r="F383"/>
          <cell r="G383"/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76</v>
          </cell>
          <cell r="M383">
            <v>96</v>
          </cell>
        </row>
        <row r="384">
          <cell r="C384"/>
          <cell r="D384"/>
          <cell r="E384"/>
          <cell r="F384"/>
          <cell r="G384"/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76</v>
          </cell>
          <cell r="M384">
            <v>96</v>
          </cell>
        </row>
        <row r="385">
          <cell r="C385"/>
          <cell r="D385"/>
          <cell r="E385"/>
          <cell r="F385"/>
          <cell r="G385"/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76</v>
          </cell>
          <cell r="M385">
            <v>96</v>
          </cell>
        </row>
        <row r="386">
          <cell r="C386"/>
          <cell r="D386"/>
          <cell r="E386"/>
          <cell r="F386"/>
          <cell r="G386"/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76</v>
          </cell>
          <cell r="M386">
            <v>96</v>
          </cell>
        </row>
        <row r="387">
          <cell r="C387"/>
          <cell r="D387"/>
          <cell r="E387"/>
          <cell r="F387"/>
          <cell r="G387"/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76</v>
          </cell>
          <cell r="M387">
            <v>96</v>
          </cell>
        </row>
        <row r="388">
          <cell r="C388"/>
          <cell r="D388"/>
          <cell r="E388"/>
          <cell r="F388"/>
          <cell r="G388"/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76</v>
          </cell>
          <cell r="M388">
            <v>96</v>
          </cell>
        </row>
        <row r="389">
          <cell r="C389"/>
          <cell r="D389"/>
          <cell r="E389"/>
          <cell r="F389"/>
          <cell r="G389"/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76</v>
          </cell>
          <cell r="M389">
            <v>96</v>
          </cell>
        </row>
        <row r="390">
          <cell r="C390"/>
          <cell r="D390"/>
          <cell r="E390"/>
          <cell r="F390"/>
          <cell r="G390"/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76</v>
          </cell>
          <cell r="M390">
            <v>96</v>
          </cell>
        </row>
        <row r="391">
          <cell r="C391"/>
          <cell r="D391"/>
          <cell r="E391"/>
          <cell r="F391"/>
          <cell r="G391"/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76</v>
          </cell>
          <cell r="M391">
            <v>96</v>
          </cell>
        </row>
        <row r="392">
          <cell r="C392"/>
          <cell r="D392"/>
          <cell r="E392"/>
          <cell r="F392"/>
          <cell r="G392"/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76</v>
          </cell>
          <cell r="M392">
            <v>96</v>
          </cell>
        </row>
        <row r="393">
          <cell r="C393"/>
          <cell r="D393"/>
          <cell r="E393"/>
          <cell r="F393"/>
          <cell r="G393"/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76</v>
          </cell>
          <cell r="M393">
            <v>96</v>
          </cell>
        </row>
        <row r="394">
          <cell r="C394"/>
          <cell r="D394"/>
          <cell r="E394"/>
          <cell r="F394"/>
          <cell r="G394"/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76</v>
          </cell>
          <cell r="M394">
            <v>96</v>
          </cell>
        </row>
        <row r="395">
          <cell r="C395"/>
          <cell r="D395"/>
          <cell r="E395"/>
          <cell r="F395"/>
          <cell r="G395"/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76</v>
          </cell>
          <cell r="M395">
            <v>96</v>
          </cell>
        </row>
        <row r="396">
          <cell r="C396"/>
          <cell r="D396"/>
          <cell r="E396"/>
          <cell r="F396"/>
          <cell r="G396"/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76</v>
          </cell>
          <cell r="M396">
            <v>96</v>
          </cell>
        </row>
        <row r="397">
          <cell r="C397"/>
          <cell r="D397"/>
          <cell r="E397"/>
          <cell r="F397"/>
          <cell r="G397"/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76</v>
          </cell>
          <cell r="M397">
            <v>96</v>
          </cell>
        </row>
        <row r="398">
          <cell r="C398"/>
          <cell r="D398"/>
          <cell r="E398"/>
          <cell r="F398"/>
          <cell r="G398"/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76</v>
          </cell>
          <cell r="M398">
            <v>96</v>
          </cell>
        </row>
        <row r="399">
          <cell r="C399"/>
          <cell r="D399"/>
          <cell r="E399"/>
          <cell r="F399"/>
          <cell r="G399"/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76</v>
          </cell>
          <cell r="M399">
            <v>96</v>
          </cell>
        </row>
        <row r="400">
          <cell r="C400"/>
          <cell r="D400"/>
          <cell r="E400"/>
          <cell r="F400"/>
          <cell r="G400"/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76</v>
          </cell>
          <cell r="M400">
            <v>96</v>
          </cell>
        </row>
        <row r="401">
          <cell r="C401"/>
          <cell r="D401"/>
          <cell r="E401"/>
          <cell r="F401"/>
          <cell r="G401"/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76</v>
          </cell>
          <cell r="M401">
            <v>96</v>
          </cell>
        </row>
        <row r="402">
          <cell r="C402"/>
          <cell r="D402"/>
          <cell r="E402"/>
          <cell r="F402"/>
          <cell r="G402"/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76</v>
          </cell>
          <cell r="M402">
            <v>96</v>
          </cell>
        </row>
        <row r="403">
          <cell r="C403"/>
          <cell r="D403"/>
          <cell r="E403"/>
          <cell r="F403"/>
          <cell r="G403"/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76</v>
          </cell>
          <cell r="M403">
            <v>96</v>
          </cell>
        </row>
        <row r="404">
          <cell r="C404"/>
          <cell r="D404"/>
          <cell r="E404"/>
          <cell r="F404"/>
          <cell r="G404"/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76</v>
          </cell>
          <cell r="M404">
            <v>96</v>
          </cell>
        </row>
        <row r="405">
          <cell r="C405"/>
          <cell r="D405"/>
          <cell r="E405"/>
          <cell r="F405"/>
          <cell r="G405"/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76</v>
          </cell>
          <cell r="M405">
            <v>96</v>
          </cell>
        </row>
        <row r="406">
          <cell r="C406"/>
          <cell r="D406"/>
          <cell r="E406"/>
          <cell r="F406"/>
          <cell r="G406"/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76</v>
          </cell>
          <cell r="M406">
            <v>96</v>
          </cell>
        </row>
        <row r="407">
          <cell r="C407"/>
          <cell r="D407"/>
          <cell r="E407"/>
          <cell r="F407"/>
          <cell r="G407"/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76</v>
          </cell>
          <cell r="M407">
            <v>96</v>
          </cell>
        </row>
        <row r="408">
          <cell r="C408"/>
          <cell r="D408"/>
          <cell r="E408"/>
          <cell r="F408"/>
          <cell r="G408"/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76</v>
          </cell>
          <cell r="M408">
            <v>96</v>
          </cell>
        </row>
        <row r="409">
          <cell r="C409"/>
          <cell r="D409"/>
          <cell r="E409"/>
          <cell r="F409"/>
          <cell r="G409"/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76</v>
          </cell>
          <cell r="M409">
            <v>96</v>
          </cell>
        </row>
        <row r="410">
          <cell r="C410"/>
          <cell r="D410"/>
          <cell r="E410"/>
          <cell r="F410"/>
          <cell r="G410"/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76</v>
          </cell>
          <cell r="M410">
            <v>96</v>
          </cell>
        </row>
        <row r="411">
          <cell r="C411"/>
          <cell r="D411"/>
          <cell r="E411"/>
          <cell r="F411"/>
          <cell r="G411"/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76</v>
          </cell>
          <cell r="M411">
            <v>96</v>
          </cell>
        </row>
        <row r="412">
          <cell r="C412"/>
          <cell r="D412"/>
          <cell r="E412"/>
          <cell r="F412"/>
          <cell r="G412"/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76</v>
          </cell>
          <cell r="M412">
            <v>96</v>
          </cell>
        </row>
        <row r="413">
          <cell r="C413"/>
          <cell r="D413"/>
          <cell r="E413"/>
          <cell r="F413"/>
          <cell r="G413"/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76</v>
          </cell>
          <cell r="M413">
            <v>96</v>
          </cell>
        </row>
        <row r="414">
          <cell r="C414"/>
          <cell r="D414"/>
          <cell r="E414"/>
          <cell r="F414"/>
          <cell r="G414"/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76</v>
          </cell>
          <cell r="M414">
            <v>96</v>
          </cell>
        </row>
        <row r="415">
          <cell r="C415"/>
          <cell r="D415"/>
          <cell r="E415"/>
          <cell r="F415"/>
          <cell r="G415"/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76</v>
          </cell>
          <cell r="M415">
            <v>96</v>
          </cell>
        </row>
        <row r="416">
          <cell r="C416"/>
          <cell r="D416"/>
          <cell r="E416"/>
          <cell r="F416"/>
          <cell r="G416"/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76</v>
          </cell>
          <cell r="M416">
            <v>96</v>
          </cell>
        </row>
        <row r="417">
          <cell r="C417"/>
          <cell r="D417"/>
          <cell r="E417"/>
          <cell r="F417"/>
          <cell r="G417"/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76</v>
          </cell>
          <cell r="M417">
            <v>96</v>
          </cell>
        </row>
        <row r="418">
          <cell r="C418"/>
          <cell r="D418"/>
          <cell r="E418"/>
          <cell r="F418"/>
          <cell r="G418"/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76</v>
          </cell>
          <cell r="M418">
            <v>96</v>
          </cell>
        </row>
        <row r="419">
          <cell r="C419"/>
          <cell r="D419"/>
          <cell r="E419"/>
          <cell r="F419"/>
          <cell r="G419"/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76</v>
          </cell>
          <cell r="M419">
            <v>96</v>
          </cell>
        </row>
        <row r="420">
          <cell r="C420"/>
          <cell r="D420"/>
          <cell r="E420"/>
          <cell r="F420"/>
          <cell r="G420"/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76</v>
          </cell>
          <cell r="M420">
            <v>96</v>
          </cell>
        </row>
        <row r="421">
          <cell r="C421"/>
          <cell r="D421"/>
          <cell r="E421"/>
          <cell r="F421"/>
          <cell r="G421"/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76</v>
          </cell>
          <cell r="M421">
            <v>96</v>
          </cell>
        </row>
        <row r="422">
          <cell r="C422"/>
          <cell r="D422"/>
          <cell r="E422"/>
          <cell r="F422"/>
          <cell r="G422"/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76</v>
          </cell>
          <cell r="M422">
            <v>96</v>
          </cell>
        </row>
        <row r="423">
          <cell r="C423"/>
          <cell r="D423"/>
          <cell r="E423"/>
          <cell r="F423"/>
          <cell r="G423"/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76</v>
          </cell>
          <cell r="M423">
            <v>96</v>
          </cell>
        </row>
        <row r="424">
          <cell r="C424"/>
          <cell r="D424"/>
          <cell r="E424"/>
          <cell r="F424"/>
          <cell r="G424"/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76</v>
          </cell>
          <cell r="M424">
            <v>96</v>
          </cell>
        </row>
        <row r="425">
          <cell r="C425"/>
          <cell r="D425"/>
          <cell r="E425"/>
          <cell r="F425"/>
          <cell r="G425"/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76</v>
          </cell>
          <cell r="M425">
            <v>96</v>
          </cell>
        </row>
        <row r="426">
          <cell r="C426"/>
          <cell r="D426"/>
          <cell r="E426"/>
          <cell r="F426"/>
          <cell r="G426"/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76</v>
          </cell>
          <cell r="M426">
            <v>96</v>
          </cell>
        </row>
        <row r="427">
          <cell r="C427"/>
          <cell r="D427"/>
          <cell r="E427"/>
          <cell r="F427"/>
          <cell r="G427"/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76</v>
          </cell>
          <cell r="M427">
            <v>96</v>
          </cell>
        </row>
        <row r="428">
          <cell r="C428"/>
          <cell r="D428"/>
          <cell r="E428"/>
          <cell r="F428"/>
          <cell r="G428"/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76</v>
          </cell>
          <cell r="M428">
            <v>96</v>
          </cell>
        </row>
        <row r="429">
          <cell r="C429"/>
          <cell r="D429"/>
          <cell r="E429"/>
          <cell r="F429"/>
          <cell r="G429"/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76</v>
          </cell>
          <cell r="M429">
            <v>96</v>
          </cell>
        </row>
        <row r="430">
          <cell r="C430"/>
          <cell r="D430"/>
          <cell r="E430"/>
          <cell r="F430"/>
          <cell r="G430"/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76</v>
          </cell>
          <cell r="M430">
            <v>96</v>
          </cell>
        </row>
        <row r="431">
          <cell r="C431"/>
          <cell r="D431"/>
          <cell r="E431"/>
          <cell r="F431"/>
          <cell r="G431"/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76</v>
          </cell>
          <cell r="M431">
            <v>96</v>
          </cell>
        </row>
        <row r="432">
          <cell r="C432"/>
          <cell r="D432"/>
          <cell r="E432"/>
          <cell r="F432"/>
          <cell r="G432"/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76</v>
          </cell>
          <cell r="M432">
            <v>96</v>
          </cell>
        </row>
        <row r="433">
          <cell r="C433"/>
          <cell r="D433"/>
          <cell r="E433"/>
          <cell r="F433"/>
          <cell r="G433"/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76</v>
          </cell>
          <cell r="M433">
            <v>96</v>
          </cell>
        </row>
        <row r="434">
          <cell r="C434"/>
          <cell r="D434"/>
          <cell r="E434"/>
          <cell r="F434"/>
          <cell r="G434"/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76</v>
          </cell>
          <cell r="M434">
            <v>96</v>
          </cell>
        </row>
        <row r="435">
          <cell r="C435"/>
          <cell r="D435"/>
          <cell r="E435"/>
          <cell r="F435"/>
          <cell r="G435"/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76</v>
          </cell>
          <cell r="M435">
            <v>96</v>
          </cell>
        </row>
        <row r="436">
          <cell r="C436"/>
          <cell r="D436"/>
          <cell r="E436"/>
          <cell r="F436"/>
          <cell r="G436"/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76</v>
          </cell>
          <cell r="M436">
            <v>96</v>
          </cell>
        </row>
        <row r="437">
          <cell r="C437"/>
          <cell r="D437"/>
          <cell r="E437"/>
          <cell r="F437"/>
          <cell r="G437"/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76</v>
          </cell>
          <cell r="M437">
            <v>96</v>
          </cell>
        </row>
        <row r="438">
          <cell r="C438"/>
          <cell r="D438"/>
          <cell r="E438"/>
          <cell r="F438"/>
          <cell r="G438"/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76</v>
          </cell>
          <cell r="M438">
            <v>96</v>
          </cell>
        </row>
        <row r="439">
          <cell r="C439"/>
          <cell r="D439"/>
          <cell r="E439"/>
          <cell r="F439"/>
          <cell r="G439"/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76</v>
          </cell>
          <cell r="M439">
            <v>96</v>
          </cell>
        </row>
        <row r="440">
          <cell r="C440"/>
          <cell r="D440"/>
          <cell r="E440"/>
          <cell r="F440"/>
          <cell r="G440"/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76</v>
          </cell>
          <cell r="M440">
            <v>96</v>
          </cell>
        </row>
        <row r="441">
          <cell r="C441"/>
          <cell r="D441"/>
          <cell r="E441"/>
          <cell r="F441"/>
          <cell r="G441"/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76</v>
          </cell>
          <cell r="M441">
            <v>96</v>
          </cell>
        </row>
        <row r="442">
          <cell r="C442"/>
          <cell r="D442"/>
          <cell r="E442"/>
          <cell r="F442"/>
          <cell r="G442"/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76</v>
          </cell>
          <cell r="M442">
            <v>96</v>
          </cell>
        </row>
        <row r="443">
          <cell r="C443"/>
          <cell r="D443"/>
          <cell r="E443"/>
          <cell r="F443"/>
          <cell r="G443"/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76</v>
          </cell>
          <cell r="M443">
            <v>96</v>
          </cell>
        </row>
        <row r="444">
          <cell r="C444"/>
          <cell r="D444"/>
          <cell r="E444"/>
          <cell r="F444"/>
          <cell r="G444"/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76</v>
          </cell>
          <cell r="M444">
            <v>96</v>
          </cell>
        </row>
        <row r="445">
          <cell r="C445"/>
          <cell r="D445"/>
          <cell r="E445"/>
          <cell r="F445"/>
          <cell r="G445"/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76</v>
          </cell>
          <cell r="M445">
            <v>96</v>
          </cell>
        </row>
        <row r="446">
          <cell r="C446"/>
          <cell r="D446"/>
          <cell r="E446"/>
          <cell r="F446"/>
          <cell r="G446"/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76</v>
          </cell>
          <cell r="M446">
            <v>96</v>
          </cell>
        </row>
        <row r="447">
          <cell r="C447"/>
          <cell r="D447"/>
          <cell r="E447"/>
          <cell r="F447"/>
          <cell r="G447"/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76</v>
          </cell>
          <cell r="M447">
            <v>96</v>
          </cell>
        </row>
        <row r="448">
          <cell r="C448"/>
          <cell r="D448"/>
          <cell r="E448"/>
          <cell r="F448"/>
          <cell r="G448"/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76</v>
          </cell>
          <cell r="M448">
            <v>96</v>
          </cell>
        </row>
        <row r="449">
          <cell r="C449"/>
          <cell r="D449"/>
          <cell r="E449"/>
          <cell r="F449"/>
          <cell r="G449"/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76</v>
          </cell>
          <cell r="M449">
            <v>96</v>
          </cell>
        </row>
        <row r="450">
          <cell r="C450"/>
          <cell r="D450"/>
          <cell r="E450"/>
          <cell r="F450"/>
          <cell r="G450"/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76</v>
          </cell>
          <cell r="M450">
            <v>96</v>
          </cell>
        </row>
        <row r="451">
          <cell r="C451"/>
          <cell r="D451"/>
          <cell r="E451"/>
          <cell r="F451"/>
          <cell r="G451"/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76</v>
          </cell>
          <cell r="M451">
            <v>96</v>
          </cell>
        </row>
        <row r="452">
          <cell r="C452"/>
          <cell r="D452"/>
          <cell r="E452"/>
          <cell r="F452"/>
          <cell r="G452"/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76</v>
          </cell>
          <cell r="M452">
            <v>96</v>
          </cell>
        </row>
        <row r="453">
          <cell r="C453"/>
          <cell r="D453"/>
          <cell r="E453"/>
          <cell r="F453"/>
          <cell r="G453"/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76</v>
          </cell>
          <cell r="M453">
            <v>96</v>
          </cell>
        </row>
        <row r="454">
          <cell r="C454"/>
          <cell r="D454"/>
          <cell r="E454"/>
          <cell r="F454"/>
          <cell r="G454"/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76</v>
          </cell>
          <cell r="M454">
            <v>96</v>
          </cell>
        </row>
        <row r="455">
          <cell r="C455"/>
          <cell r="D455"/>
          <cell r="E455"/>
          <cell r="F455"/>
          <cell r="G455"/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76</v>
          </cell>
          <cell r="M455">
            <v>96</v>
          </cell>
        </row>
        <row r="456">
          <cell r="C456"/>
          <cell r="D456"/>
          <cell r="E456"/>
          <cell r="F456"/>
          <cell r="G456"/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76</v>
          </cell>
          <cell r="M456">
            <v>96</v>
          </cell>
        </row>
        <row r="457">
          <cell r="C457"/>
          <cell r="D457"/>
          <cell r="E457"/>
          <cell r="F457"/>
          <cell r="G457"/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76</v>
          </cell>
          <cell r="M457">
            <v>96</v>
          </cell>
        </row>
        <row r="458">
          <cell r="C458"/>
          <cell r="D458"/>
          <cell r="E458"/>
          <cell r="F458"/>
          <cell r="G458"/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76</v>
          </cell>
          <cell r="M458">
            <v>96</v>
          </cell>
        </row>
        <row r="459">
          <cell r="C459"/>
          <cell r="D459"/>
          <cell r="E459"/>
          <cell r="F459"/>
          <cell r="G459"/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76</v>
          </cell>
          <cell r="M459">
            <v>96</v>
          </cell>
        </row>
        <row r="460">
          <cell r="C460"/>
          <cell r="D460"/>
          <cell r="E460"/>
          <cell r="F460"/>
          <cell r="G460"/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76</v>
          </cell>
          <cell r="M460">
            <v>96</v>
          </cell>
        </row>
        <row r="461">
          <cell r="C461"/>
          <cell r="D461"/>
          <cell r="E461"/>
          <cell r="F461"/>
          <cell r="G461"/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76</v>
          </cell>
          <cell r="M461">
            <v>96</v>
          </cell>
        </row>
        <row r="462">
          <cell r="C462"/>
          <cell r="D462"/>
          <cell r="E462"/>
          <cell r="F462"/>
          <cell r="G462"/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76</v>
          </cell>
          <cell r="M462">
            <v>96</v>
          </cell>
        </row>
        <row r="463">
          <cell r="C463"/>
          <cell r="D463"/>
          <cell r="E463"/>
          <cell r="F463"/>
          <cell r="G463"/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76</v>
          </cell>
          <cell r="M463">
            <v>96</v>
          </cell>
        </row>
        <row r="464">
          <cell r="C464"/>
          <cell r="D464"/>
          <cell r="E464"/>
          <cell r="F464"/>
          <cell r="G464"/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76</v>
          </cell>
          <cell r="M464">
            <v>96</v>
          </cell>
        </row>
        <row r="465">
          <cell r="C465"/>
          <cell r="D465"/>
          <cell r="E465"/>
          <cell r="F465"/>
          <cell r="G465"/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76</v>
          </cell>
          <cell r="M465">
            <v>96</v>
          </cell>
        </row>
        <row r="466">
          <cell r="C466"/>
          <cell r="D466"/>
          <cell r="E466"/>
          <cell r="F466"/>
          <cell r="G466"/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76</v>
          </cell>
          <cell r="M466">
            <v>96</v>
          </cell>
        </row>
        <row r="467">
          <cell r="C467"/>
          <cell r="D467"/>
          <cell r="E467"/>
          <cell r="F467"/>
          <cell r="G467"/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76</v>
          </cell>
          <cell r="M467">
            <v>96</v>
          </cell>
        </row>
        <row r="468">
          <cell r="C468"/>
          <cell r="D468"/>
          <cell r="E468"/>
          <cell r="F468"/>
          <cell r="G468"/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76</v>
          </cell>
          <cell r="M468">
            <v>96</v>
          </cell>
        </row>
        <row r="469">
          <cell r="C469"/>
          <cell r="D469"/>
          <cell r="E469"/>
          <cell r="F469"/>
          <cell r="G469"/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76</v>
          </cell>
          <cell r="M469">
            <v>96</v>
          </cell>
        </row>
        <row r="470">
          <cell r="C470"/>
          <cell r="D470"/>
          <cell r="E470"/>
          <cell r="F470"/>
          <cell r="G470"/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76</v>
          </cell>
          <cell r="M470">
            <v>96</v>
          </cell>
        </row>
        <row r="471">
          <cell r="C471"/>
          <cell r="D471"/>
          <cell r="E471"/>
          <cell r="F471"/>
          <cell r="G471"/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76</v>
          </cell>
          <cell r="M471">
            <v>96</v>
          </cell>
        </row>
        <row r="472">
          <cell r="C472"/>
          <cell r="D472"/>
          <cell r="E472"/>
          <cell r="F472"/>
          <cell r="G472"/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76</v>
          </cell>
          <cell r="M472">
            <v>96</v>
          </cell>
        </row>
        <row r="473">
          <cell r="C473"/>
          <cell r="D473"/>
          <cell r="E473"/>
          <cell r="F473"/>
          <cell r="G473"/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76</v>
          </cell>
          <cell r="M473">
            <v>96</v>
          </cell>
        </row>
        <row r="474">
          <cell r="C474"/>
          <cell r="D474"/>
          <cell r="E474"/>
          <cell r="F474"/>
          <cell r="G474"/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76</v>
          </cell>
          <cell r="M474">
            <v>96</v>
          </cell>
        </row>
        <row r="475">
          <cell r="C475"/>
          <cell r="D475"/>
          <cell r="E475"/>
          <cell r="F475"/>
          <cell r="G475"/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76</v>
          </cell>
          <cell r="M475">
            <v>96</v>
          </cell>
        </row>
        <row r="476">
          <cell r="C476"/>
          <cell r="D476"/>
          <cell r="E476"/>
          <cell r="F476"/>
          <cell r="G476"/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76</v>
          </cell>
          <cell r="M476">
            <v>96</v>
          </cell>
        </row>
        <row r="477">
          <cell r="C477"/>
          <cell r="D477"/>
          <cell r="E477"/>
          <cell r="F477"/>
          <cell r="G477"/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76</v>
          </cell>
          <cell r="M477">
            <v>96</v>
          </cell>
        </row>
        <row r="478">
          <cell r="C478"/>
          <cell r="D478"/>
          <cell r="E478"/>
          <cell r="F478"/>
          <cell r="G478"/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76</v>
          </cell>
          <cell r="M478">
            <v>96</v>
          </cell>
        </row>
        <row r="479">
          <cell r="C479"/>
          <cell r="D479"/>
          <cell r="E479"/>
          <cell r="F479"/>
          <cell r="G479"/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76</v>
          </cell>
          <cell r="M479">
            <v>96</v>
          </cell>
        </row>
        <row r="480">
          <cell r="C480"/>
          <cell r="D480"/>
          <cell r="E480"/>
          <cell r="F480"/>
          <cell r="G480"/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76</v>
          </cell>
          <cell r="M480">
            <v>96</v>
          </cell>
        </row>
        <row r="481">
          <cell r="C481"/>
          <cell r="D481"/>
          <cell r="E481"/>
          <cell r="F481"/>
          <cell r="G481"/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76</v>
          </cell>
          <cell r="M481">
            <v>96</v>
          </cell>
        </row>
        <row r="482">
          <cell r="C482"/>
          <cell r="D482"/>
          <cell r="E482"/>
          <cell r="F482"/>
          <cell r="G482"/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76</v>
          </cell>
          <cell r="M482">
            <v>96</v>
          </cell>
        </row>
        <row r="483">
          <cell r="C483"/>
          <cell r="D483"/>
          <cell r="E483"/>
          <cell r="F483"/>
          <cell r="G483"/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76</v>
          </cell>
          <cell r="M483">
            <v>96</v>
          </cell>
        </row>
        <row r="484">
          <cell r="C484"/>
          <cell r="D484"/>
          <cell r="E484"/>
          <cell r="F484"/>
          <cell r="G484"/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76</v>
          </cell>
          <cell r="M484">
            <v>96</v>
          </cell>
        </row>
        <row r="485">
          <cell r="C485"/>
          <cell r="D485"/>
          <cell r="E485"/>
          <cell r="F485"/>
          <cell r="G485"/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76</v>
          </cell>
          <cell r="M485">
            <v>96</v>
          </cell>
        </row>
        <row r="486">
          <cell r="C486"/>
          <cell r="D486"/>
          <cell r="E486"/>
          <cell r="F486"/>
          <cell r="G486"/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76</v>
          </cell>
          <cell r="M486">
            <v>96</v>
          </cell>
        </row>
        <row r="487">
          <cell r="C487"/>
          <cell r="D487"/>
          <cell r="E487"/>
          <cell r="F487"/>
          <cell r="G487"/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76</v>
          </cell>
          <cell r="M487">
            <v>96</v>
          </cell>
        </row>
        <row r="488">
          <cell r="C488"/>
          <cell r="D488"/>
          <cell r="E488"/>
          <cell r="F488"/>
          <cell r="G488"/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76</v>
          </cell>
          <cell r="M488">
            <v>96</v>
          </cell>
        </row>
        <row r="489">
          <cell r="C489"/>
          <cell r="D489"/>
          <cell r="E489"/>
          <cell r="F489"/>
          <cell r="G489"/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76</v>
          </cell>
          <cell r="M489">
            <v>96</v>
          </cell>
        </row>
        <row r="490">
          <cell r="C490"/>
          <cell r="D490"/>
          <cell r="E490"/>
          <cell r="F490"/>
          <cell r="G490"/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76</v>
          </cell>
          <cell r="M490">
            <v>96</v>
          </cell>
        </row>
        <row r="491">
          <cell r="C491"/>
          <cell r="D491"/>
          <cell r="E491"/>
          <cell r="F491"/>
          <cell r="G491"/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76</v>
          </cell>
          <cell r="M491">
            <v>96</v>
          </cell>
        </row>
        <row r="492">
          <cell r="C492"/>
          <cell r="D492"/>
          <cell r="E492"/>
          <cell r="F492"/>
          <cell r="G492"/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76</v>
          </cell>
          <cell r="M492">
            <v>96</v>
          </cell>
        </row>
        <row r="493">
          <cell r="C493"/>
          <cell r="D493"/>
          <cell r="E493"/>
          <cell r="F493"/>
          <cell r="G493"/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76</v>
          </cell>
          <cell r="M493">
            <v>96</v>
          </cell>
        </row>
        <row r="494">
          <cell r="C494"/>
          <cell r="D494"/>
          <cell r="E494"/>
          <cell r="F494"/>
          <cell r="G494"/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76</v>
          </cell>
          <cell r="M494">
            <v>96</v>
          </cell>
        </row>
        <row r="495">
          <cell r="C495"/>
          <cell r="D495"/>
          <cell r="E495"/>
          <cell r="F495"/>
          <cell r="G495"/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76</v>
          </cell>
          <cell r="M495">
            <v>96</v>
          </cell>
        </row>
        <row r="496">
          <cell r="C496"/>
          <cell r="D496"/>
          <cell r="E496"/>
          <cell r="F496"/>
          <cell r="G496"/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76</v>
          </cell>
          <cell r="M496">
            <v>96</v>
          </cell>
        </row>
        <row r="497">
          <cell r="C497"/>
          <cell r="D497"/>
          <cell r="E497"/>
          <cell r="F497"/>
          <cell r="G497"/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76</v>
          </cell>
          <cell r="M497">
            <v>96</v>
          </cell>
        </row>
        <row r="498">
          <cell r="C498"/>
          <cell r="D498"/>
          <cell r="E498"/>
          <cell r="F498"/>
          <cell r="G498"/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76</v>
          </cell>
          <cell r="M498">
            <v>96</v>
          </cell>
        </row>
        <row r="499">
          <cell r="C499"/>
          <cell r="D499"/>
          <cell r="E499"/>
          <cell r="F499"/>
          <cell r="G499"/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76</v>
          </cell>
          <cell r="M499">
            <v>96</v>
          </cell>
        </row>
        <row r="500">
          <cell r="C500"/>
          <cell r="D500"/>
          <cell r="E500"/>
          <cell r="F500"/>
          <cell r="G500"/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76</v>
          </cell>
          <cell r="M500">
            <v>96</v>
          </cell>
        </row>
        <row r="501">
          <cell r="C501"/>
          <cell r="D501"/>
          <cell r="E501"/>
          <cell r="F501"/>
          <cell r="G501"/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76</v>
          </cell>
          <cell r="M501">
            <v>96</v>
          </cell>
        </row>
        <row r="502">
          <cell r="C502"/>
          <cell r="D502"/>
          <cell r="E502"/>
          <cell r="F502"/>
          <cell r="G502"/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76</v>
          </cell>
          <cell r="M502">
            <v>96</v>
          </cell>
        </row>
        <row r="503">
          <cell r="C503"/>
          <cell r="D503"/>
          <cell r="E503"/>
          <cell r="F503"/>
          <cell r="G503"/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76</v>
          </cell>
          <cell r="M503">
            <v>96</v>
          </cell>
        </row>
        <row r="504">
          <cell r="C504"/>
          <cell r="D504"/>
          <cell r="E504"/>
          <cell r="F504"/>
          <cell r="G504"/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76</v>
          </cell>
          <cell r="M504">
            <v>96</v>
          </cell>
        </row>
        <row r="505">
          <cell r="C505"/>
          <cell r="D505"/>
          <cell r="E505"/>
          <cell r="F505"/>
          <cell r="G505"/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76</v>
          </cell>
          <cell r="M505">
            <v>96</v>
          </cell>
        </row>
        <row r="506">
          <cell r="C506"/>
          <cell r="D506"/>
          <cell r="E506"/>
          <cell r="F506"/>
          <cell r="G506"/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76</v>
          </cell>
          <cell r="M506">
            <v>96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hammed Ashraf" refreshedDate="45227.796544560188" createdVersion="8" refreshedVersion="8" minRefreshableVersion="3" recordCount="500" xr:uid="{929E90D3-1F4C-4830-AB27-772B5E9953A9}">
  <cacheSource type="worksheet">
    <worksheetSource ref="N4:X504" sheet="fetcher"/>
  </cacheSource>
  <cacheFields count="11">
    <cacheField name="Chest" numFmtId="0">
      <sharedItems containsMixedTypes="1" containsNumber="1" containsInteger="1" minValue="0" maxValue="0" count="322">
        <s v="A100"/>
        <s v="A101"/>
        <s v="A102"/>
        <s v="A103"/>
        <s v="A104"/>
        <s v="A105"/>
        <s v="A106"/>
        <s v="A107"/>
        <s v="A108"/>
        <s v="A109"/>
        <s v="A110"/>
        <s v="A111"/>
        <s v="A112"/>
        <s v="A113"/>
        <s v="A114"/>
        <s v="A115"/>
        <s v="A116"/>
        <s v="A117"/>
        <s v="A118"/>
        <s v="A119"/>
        <s v="A120"/>
        <s v="A121"/>
        <s v="A122"/>
        <s v="A123"/>
        <s v="A124"/>
        <s v="A125"/>
        <s v="A126"/>
        <s v="A127"/>
        <s v="A128"/>
        <s v="A129"/>
        <s v="A130"/>
        <s v="A131"/>
        <s v="A132"/>
        <s v="A133"/>
        <s v="A134"/>
        <s v="A135"/>
        <s v="A136"/>
        <s v="A137"/>
        <s v="A138"/>
        <s v="A139"/>
        <s v="A140"/>
        <s v="A141"/>
        <s v="A142"/>
        <s v="A143"/>
        <s v="A144"/>
        <s v="A145"/>
        <s v="A146"/>
        <s v="A147"/>
        <s v="A148"/>
        <s v="A149"/>
        <s v="A150"/>
        <s v="A151"/>
        <s v="A152"/>
        <s v="A153"/>
        <s v="A154"/>
        <s v="A155"/>
        <s v="A156"/>
        <s v="A157"/>
        <s v="A158"/>
        <s v="A159"/>
        <s v="A160"/>
        <s v="A161"/>
        <s v="A162"/>
        <s v="A163"/>
        <s v="A164"/>
        <s v="A165"/>
        <s v="A166"/>
        <s v="A167"/>
        <s v="A168"/>
        <s v="A169"/>
        <s v="A170"/>
        <s v="A171"/>
        <s v="A172"/>
        <s v="A173"/>
        <s v="A174"/>
        <s v="A175"/>
        <s v="B100"/>
        <s v="B101"/>
        <s v="B102"/>
        <s v="B103"/>
        <s v="B104"/>
        <s v="B105"/>
        <s v="B106"/>
        <s v="B107"/>
        <s v="B108"/>
        <s v="B109"/>
        <s v="B110"/>
        <s v="B111"/>
        <s v="B112"/>
        <s v="B113"/>
        <s v="B114"/>
        <s v="B115"/>
        <s v="B116"/>
        <s v="B117"/>
        <s v="B118"/>
        <s v="B119"/>
        <s v="B120"/>
        <s v="B121"/>
        <s v="B122"/>
        <s v="B123"/>
        <s v="B124"/>
        <s v="B125"/>
        <s v="B126"/>
        <s v="B127"/>
        <s v="B128"/>
        <s v="B129"/>
        <s v="B130"/>
        <s v="B131"/>
        <s v="B132"/>
        <s v="B133"/>
        <s v="B134"/>
        <s v="B135"/>
        <s v="B136"/>
        <s v="B137"/>
        <s v="B138"/>
        <s v="B139"/>
        <s v="B140"/>
        <s v="B141"/>
        <s v="B142"/>
        <s v="B143"/>
        <s v="B144"/>
        <s v="B145"/>
        <s v="B146"/>
        <s v="B147"/>
        <s v="B148"/>
        <s v="B149"/>
        <s v="B150"/>
        <s v="B151"/>
        <s v="B152"/>
        <s v="B153"/>
        <s v="B154"/>
        <s v="B155"/>
        <s v="B156"/>
        <s v="B157"/>
        <s v="B158"/>
        <s v="B159"/>
        <s v="B160"/>
        <s v="B161"/>
        <s v="B162"/>
        <s v="B163"/>
        <s v="B164"/>
        <s v="C100"/>
        <s v="C101"/>
        <s v="C102"/>
        <s v="C103"/>
        <s v="C104"/>
        <s v="C105"/>
        <s v="C106"/>
        <s v="C107"/>
        <s v="C108"/>
        <s v="C109"/>
        <s v="C110"/>
        <s v="C111"/>
        <s v="C112"/>
        <s v="C113"/>
        <s v="C114"/>
        <s v="C115"/>
        <s v="C116"/>
        <s v="C117"/>
        <s v="C118"/>
        <s v="C119"/>
        <s v="C120"/>
        <s v="C121"/>
        <s v="C122"/>
        <s v="C123"/>
        <s v="C124"/>
        <s v="C125"/>
        <s v="C126"/>
        <s v="C127"/>
        <s v="C128"/>
        <s v="C129"/>
        <s v="C130"/>
        <s v="C131"/>
        <s v="C132"/>
        <s v="C133"/>
        <s v="C134"/>
        <s v="C135"/>
        <s v="C136"/>
        <s v="C137"/>
        <s v="C138"/>
        <s v="C139"/>
        <s v="C140"/>
        <s v="C141"/>
        <s v="C142"/>
        <s v="C143"/>
        <s v="C144"/>
        <s v="C145"/>
        <s v="C146"/>
        <s v="C147"/>
        <s v="C148"/>
        <s v="C149"/>
        <s v="C150"/>
        <s v="C151"/>
        <s v="C152"/>
        <s v="C153"/>
        <s v="C154"/>
        <s v="C155"/>
        <s v="C156"/>
        <s v="C157"/>
        <s v="C158"/>
        <s v="C159"/>
        <s v="C160"/>
        <s v="C161"/>
        <s v="C162"/>
        <s v="C163"/>
        <s v="C164"/>
        <s v="C165"/>
        <s v="C166"/>
        <s v="C167"/>
        <s v="C168"/>
        <s v="C169"/>
        <s v="C170"/>
        <s v="C171"/>
        <s v="C172"/>
        <s v="C173"/>
        <s v="C174"/>
        <s v="C175"/>
        <s v="C176"/>
        <s v="C177"/>
        <s v="C178"/>
        <s v="C179"/>
        <s v="D100"/>
        <s v="D101"/>
        <s v="D102"/>
        <s v="D103"/>
        <s v="D104"/>
        <s v="D105"/>
        <s v="D106"/>
        <s v="D107"/>
        <s v="D108"/>
        <s v="D109"/>
        <s v="D110"/>
        <s v="D111"/>
        <s v="D112"/>
        <s v="D113"/>
        <s v="D114"/>
        <s v="D115"/>
        <s v="D116"/>
        <s v="D117"/>
        <s v="D118"/>
        <s v="D119"/>
        <s v="D120"/>
        <s v="D121"/>
        <s v="D122"/>
        <s v="D123"/>
        <s v="D124"/>
        <s v="D125"/>
        <s v="D126"/>
        <s v="D127"/>
        <s v="D128"/>
        <s v="D129"/>
        <s v="D130"/>
        <s v="D131"/>
        <s v="D132"/>
        <s v="D133"/>
        <s v="D134"/>
        <s v="D135"/>
        <s v="D136"/>
        <s v="D137"/>
        <s v="D138"/>
        <s v="D139"/>
        <s v="D140"/>
        <s v="D141"/>
        <s v="D142"/>
        <s v="D143"/>
        <s v="D144"/>
        <s v="D145"/>
        <s v="D146"/>
        <s v="D147"/>
        <s v="D148"/>
        <s v="D149"/>
        <s v="D150"/>
        <s v="D151"/>
        <s v="D152"/>
        <s v="D153"/>
        <s v="D154"/>
        <s v="D155"/>
        <s v="D156"/>
        <s v="D157"/>
        <s v="D158"/>
        <s v="D159"/>
        <s v="D160"/>
        <s v="D161"/>
        <s v="D162"/>
        <s v="D163"/>
        <s v="D164"/>
        <s v="D165"/>
        <s v="D166"/>
        <s v="D167"/>
        <s v="D168"/>
        <s v="D169"/>
        <s v="D170"/>
        <s v="D171"/>
        <s v="D172"/>
        <s v="D173"/>
        <s v="D174"/>
        <s v="D175"/>
        <s v="D176"/>
        <s v="D177"/>
        <s v="D178"/>
        <s v="D179"/>
        <s v="D180"/>
        <s v="D181"/>
        <s v="D182"/>
        <s v="D183"/>
        <s v="D184"/>
        <s v="D185"/>
        <s v="D186"/>
        <s v="D187"/>
        <s v="D188"/>
        <s v="D189"/>
        <s v="D190"/>
        <s v="D191"/>
        <s v="D192"/>
        <s v="D193"/>
        <s v="D194"/>
        <s v="D195"/>
        <s v="D196"/>
        <s v="D197"/>
        <s v="D198"/>
        <s v="D199"/>
        <n v="0"/>
      </sharedItems>
    </cacheField>
    <cacheField name="Name" numFmtId="0">
      <sharedItems containsMixedTypes="1" containsNumber="1" containsInteger="1" minValue="0" maxValue="0"/>
    </cacheField>
    <cacheField name="Team" numFmtId="0">
      <sharedItems containsMixedTypes="1" containsNumber="1" containsInteger="1" minValue="0" maxValue="0"/>
    </cacheField>
    <cacheField name="Section" numFmtId="0">
      <sharedItems containsMixedTypes="1" containsNumber="1" containsInteger="1" minValue="0" maxValue="0"/>
    </cacheField>
    <cacheField name="Class" numFmtId="0">
      <sharedItems containsSemiMixedTypes="0" containsString="0" containsNumber="1" containsInteger="1" minValue="0" maxValue="10"/>
    </cacheField>
    <cacheField name="Published" numFmtId="0">
      <sharedItems containsSemiMixedTypes="0" containsString="0" containsNumber="1" containsInteger="1" minValue="0" maxValue="7"/>
    </cacheField>
    <cacheField name="To Pub" numFmtId="0">
      <sharedItems containsSemiMixedTypes="0" containsString="0" containsNumber="1" containsInteger="1" minValue="0" maxValue="10"/>
    </cacheField>
    <cacheField name="Pub + To Pub" numFmtId="0">
      <sharedItems containsSemiMixedTypes="0" containsString="0" containsNumber="1" containsInteger="1" minValue="0" maxValue="10"/>
    </cacheField>
    <cacheField name="Entered" numFmtId="0">
      <sharedItems containsSemiMixedTypes="0" containsString="0" containsNumber="1" containsInteger="1" minValue="0" maxValue="15"/>
    </cacheField>
    <cacheField name="Rank" numFmtId="0">
      <sharedItems containsSemiMixedTypes="0" containsString="0" containsNumber="1" containsInteger="1" minValue="1" maxValue="76"/>
    </cacheField>
    <cacheField name="Rank of entered" numFmtId="0">
      <sharedItems containsSemiMixedTypes="0" containsString="0" containsNumber="1" containsInteger="1" minValue="1" maxValue="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hammed Ashraf" refreshedDate="45227.796545254627" createdVersion="8" refreshedVersion="8" minRefreshableVersion="3" recordCount="500" xr:uid="{CD66EB75-C0A6-43E1-ABA6-522D19D86E63}">
  <cacheSource type="worksheet">
    <worksheetSource ref="B4:L504" sheet="fetcher"/>
  </cacheSource>
  <cacheFields count="11">
    <cacheField name="Chest" numFmtId="0">
      <sharedItems containsMixedTypes="1" containsNumber="1" containsInteger="1" minValue="0" maxValue="0" count="322">
        <s v="A100"/>
        <s v="A101"/>
        <s v="A102"/>
        <s v="A103"/>
        <s v="A104"/>
        <s v="A105"/>
        <s v="A106"/>
        <s v="A107"/>
        <s v="A108"/>
        <s v="A109"/>
        <s v="A110"/>
        <s v="A111"/>
        <s v="A112"/>
        <s v="A113"/>
        <s v="A114"/>
        <s v="A115"/>
        <s v="A116"/>
        <s v="A117"/>
        <s v="A118"/>
        <s v="A119"/>
        <s v="A120"/>
        <s v="A121"/>
        <s v="A122"/>
        <s v="A123"/>
        <s v="A124"/>
        <s v="A125"/>
        <s v="A126"/>
        <s v="A127"/>
        <s v="A128"/>
        <s v="A129"/>
        <s v="A130"/>
        <s v="A131"/>
        <s v="A132"/>
        <s v="A133"/>
        <s v="A134"/>
        <s v="A135"/>
        <s v="A136"/>
        <s v="A137"/>
        <s v="A138"/>
        <s v="A139"/>
        <s v="A140"/>
        <s v="A141"/>
        <s v="A142"/>
        <s v="A143"/>
        <s v="A144"/>
        <s v="A145"/>
        <s v="A146"/>
        <s v="A147"/>
        <s v="A148"/>
        <s v="A149"/>
        <s v="A150"/>
        <s v="A151"/>
        <s v="A152"/>
        <s v="A153"/>
        <s v="A154"/>
        <s v="A155"/>
        <s v="A156"/>
        <s v="A157"/>
        <s v="A158"/>
        <s v="A159"/>
        <s v="A160"/>
        <s v="A161"/>
        <s v="A162"/>
        <s v="A163"/>
        <s v="A164"/>
        <s v="A165"/>
        <s v="A166"/>
        <s v="A167"/>
        <s v="A168"/>
        <s v="A169"/>
        <s v="A170"/>
        <s v="A171"/>
        <s v="A172"/>
        <s v="A173"/>
        <s v="A174"/>
        <s v="A175"/>
        <s v="B100"/>
        <s v="B101"/>
        <s v="B102"/>
        <s v="B103"/>
        <s v="B104"/>
        <s v="B105"/>
        <s v="B106"/>
        <s v="B107"/>
        <s v="B108"/>
        <s v="B109"/>
        <s v="B110"/>
        <s v="B111"/>
        <s v="B112"/>
        <s v="B113"/>
        <s v="B114"/>
        <s v="B115"/>
        <s v="B116"/>
        <s v="B117"/>
        <s v="B118"/>
        <s v="B119"/>
        <s v="B120"/>
        <s v="B121"/>
        <s v="B122"/>
        <s v="B123"/>
        <s v="B124"/>
        <s v="B125"/>
        <s v="B126"/>
        <s v="B127"/>
        <s v="B128"/>
        <s v="B129"/>
        <s v="B130"/>
        <s v="B131"/>
        <s v="B132"/>
        <s v="B133"/>
        <s v="B134"/>
        <s v="B135"/>
        <s v="B136"/>
        <s v="B137"/>
        <s v="B138"/>
        <s v="B139"/>
        <s v="B140"/>
        <s v="B141"/>
        <s v="B142"/>
        <s v="B143"/>
        <s v="B144"/>
        <s v="B145"/>
        <s v="B146"/>
        <s v="B147"/>
        <s v="B148"/>
        <s v="B149"/>
        <s v="B150"/>
        <s v="B151"/>
        <s v="B152"/>
        <s v="B153"/>
        <s v="B154"/>
        <s v="B155"/>
        <s v="B156"/>
        <s v="B157"/>
        <s v="B158"/>
        <s v="B159"/>
        <s v="B160"/>
        <s v="B161"/>
        <s v="B162"/>
        <s v="B163"/>
        <s v="B164"/>
        <s v="C100"/>
        <s v="C101"/>
        <s v="C102"/>
        <s v="C103"/>
        <s v="C104"/>
        <s v="C105"/>
        <s v="C106"/>
        <s v="C107"/>
        <s v="C108"/>
        <s v="C109"/>
        <s v="C110"/>
        <s v="C111"/>
        <s v="C112"/>
        <s v="C113"/>
        <s v="C114"/>
        <s v="C115"/>
        <s v="C116"/>
        <s v="C117"/>
        <s v="C118"/>
        <s v="C119"/>
        <s v="C120"/>
        <s v="C121"/>
        <s v="C122"/>
        <s v="C123"/>
        <s v="C124"/>
        <s v="C125"/>
        <s v="C126"/>
        <s v="C127"/>
        <s v="C128"/>
        <s v="C129"/>
        <s v="C130"/>
        <s v="C131"/>
        <s v="C132"/>
        <s v="C133"/>
        <s v="C134"/>
        <s v="C135"/>
        <s v="C136"/>
        <s v="C137"/>
        <s v="C138"/>
        <s v="C139"/>
        <s v="C140"/>
        <s v="C141"/>
        <s v="C142"/>
        <s v="C143"/>
        <s v="C144"/>
        <s v="C145"/>
        <s v="C146"/>
        <s v="C147"/>
        <s v="C148"/>
        <s v="C149"/>
        <s v="C150"/>
        <s v="C151"/>
        <s v="C152"/>
        <s v="C153"/>
        <s v="C154"/>
        <s v="C155"/>
        <s v="C156"/>
        <s v="C157"/>
        <s v="C158"/>
        <s v="C159"/>
        <s v="C160"/>
        <s v="C161"/>
        <s v="C162"/>
        <s v="C163"/>
        <s v="C164"/>
        <s v="C165"/>
        <s v="C166"/>
        <s v="C167"/>
        <s v="C168"/>
        <s v="C169"/>
        <s v="C170"/>
        <s v="C171"/>
        <s v="C172"/>
        <s v="C173"/>
        <s v="C174"/>
        <s v="C175"/>
        <s v="C176"/>
        <s v="C177"/>
        <s v="C178"/>
        <s v="C179"/>
        <s v="D100"/>
        <s v="D101"/>
        <s v="D102"/>
        <s v="D103"/>
        <s v="D104"/>
        <s v="D105"/>
        <s v="D106"/>
        <s v="D107"/>
        <s v="D108"/>
        <s v="D109"/>
        <s v="D110"/>
        <s v="D111"/>
        <s v="D112"/>
        <s v="D113"/>
        <s v="D114"/>
        <s v="D115"/>
        <s v="D116"/>
        <s v="D117"/>
        <s v="D118"/>
        <s v="D119"/>
        <s v="D120"/>
        <s v="D121"/>
        <s v="D122"/>
        <s v="D123"/>
        <s v="D124"/>
        <s v="D125"/>
        <s v="D126"/>
        <s v="D127"/>
        <s v="D128"/>
        <s v="D129"/>
        <s v="D130"/>
        <s v="D131"/>
        <s v="D132"/>
        <s v="D133"/>
        <s v="D134"/>
        <s v="D135"/>
        <s v="D136"/>
        <s v="D137"/>
        <s v="D138"/>
        <s v="D139"/>
        <s v="D140"/>
        <s v="D141"/>
        <s v="D142"/>
        <s v="D143"/>
        <s v="D144"/>
        <s v="D145"/>
        <s v="D146"/>
        <s v="D147"/>
        <s v="D148"/>
        <s v="D149"/>
        <s v="D150"/>
        <s v="D151"/>
        <s v="D152"/>
        <s v="D153"/>
        <s v="D154"/>
        <s v="D155"/>
        <s v="D156"/>
        <s v="D157"/>
        <s v="D158"/>
        <s v="D159"/>
        <s v="D160"/>
        <s v="D161"/>
        <s v="D162"/>
        <s v="D163"/>
        <s v="D164"/>
        <s v="D165"/>
        <s v="D166"/>
        <s v="D167"/>
        <s v="D168"/>
        <s v="D169"/>
        <s v="D170"/>
        <s v="D171"/>
        <s v="D172"/>
        <s v="D173"/>
        <s v="D174"/>
        <s v="D175"/>
        <s v="D176"/>
        <s v="D177"/>
        <s v="D178"/>
        <s v="D179"/>
        <s v="D180"/>
        <s v="D181"/>
        <s v="D182"/>
        <s v="D183"/>
        <s v="D184"/>
        <s v="D185"/>
        <s v="D186"/>
        <s v="D187"/>
        <s v="D188"/>
        <s v="D189"/>
        <s v="D190"/>
        <s v="D191"/>
        <s v="D192"/>
        <s v="D193"/>
        <s v="D194"/>
        <s v="D195"/>
        <s v="D196"/>
        <s v="D197"/>
        <s v="D198"/>
        <s v="D199"/>
        <n v="0"/>
      </sharedItems>
    </cacheField>
    <cacheField name="Name" numFmtId="0">
      <sharedItems containsMixedTypes="1" containsNumber="1" containsInteger="1" minValue="0" maxValue="0"/>
    </cacheField>
    <cacheField name="Team" numFmtId="0">
      <sharedItems containsMixedTypes="1" containsNumber="1" containsInteger="1" minValue="0" maxValue="0"/>
    </cacheField>
    <cacheField name="Section" numFmtId="0">
      <sharedItems containsMixedTypes="1" containsNumber="1" containsInteger="1" minValue="0" maxValue="0"/>
    </cacheField>
    <cacheField name="Class" numFmtId="0">
      <sharedItems containsSemiMixedTypes="0" containsString="0" containsNumber="1" containsInteger="1" minValue="0" maxValue="10" count="11">
        <n v="1"/>
        <n v="2"/>
        <n v="3"/>
        <n v="4"/>
        <n v="5"/>
        <n v="6"/>
        <n v="7"/>
        <n v="8"/>
        <n v="9"/>
        <n v="10"/>
        <n v="0"/>
      </sharedItems>
    </cacheField>
    <cacheField name="Published" numFmtId="0">
      <sharedItems containsSemiMixedTypes="0" containsString="0" containsNumber="1" minValue="0" maxValue="75"/>
    </cacheField>
    <cacheField name="To Pub" numFmtId="0">
      <sharedItems containsSemiMixedTypes="0" containsString="0" containsNumber="1" containsInteger="1" minValue="0" maxValue="0"/>
    </cacheField>
    <cacheField name="Pub + To Pub" numFmtId="0">
      <sharedItems containsSemiMixedTypes="0" containsString="0" containsNumber="1" minValue="0" maxValue="75"/>
    </cacheField>
    <cacheField name="Entered" numFmtId="0">
      <sharedItems containsMixedTypes="1" containsNumber="1" minValue="0" maxValue="75" count="66">
        <n v="0"/>
        <n v="6"/>
        <n v="14"/>
        <n v="26.5"/>
        <n v="25.5"/>
        <n v="15"/>
        <n v="8"/>
        <n v="3"/>
        <n v="38"/>
        <n v="9"/>
        <n v="10"/>
        <n v="20"/>
        <n v="17"/>
        <n v="3.5"/>
        <n v="5"/>
        <n v="19"/>
        <n v="11"/>
        <n v="1"/>
        <n v="23"/>
        <n v="24"/>
        <n v="13"/>
        <n v="40"/>
        <n v="35"/>
        <n v="22"/>
        <n v="12.5"/>
        <n v="61"/>
        <n v="4"/>
        <n v="30"/>
        <n v="45"/>
        <n v="53.5"/>
        <n v="55.5"/>
        <n v="28"/>
        <n v="25"/>
        <n v="31"/>
        <n v="18"/>
        <n v="16"/>
        <n v="20.5"/>
        <n v="27"/>
        <n v="41"/>
        <n v="47"/>
        <n v="12"/>
        <n v="2"/>
        <n v="7"/>
        <n v="33"/>
        <n v="29"/>
        <n v="34"/>
        <n v="22.5"/>
        <n v="18.5"/>
        <n v="10.5"/>
        <n v="26"/>
        <n v="51"/>
        <n v="73"/>
        <n v="72"/>
        <n v="52"/>
        <n v="32"/>
        <n v="46"/>
        <n v="70.5"/>
        <n v="50"/>
        <n v="75"/>
        <n v="54"/>
        <n v="44"/>
        <n v="37"/>
        <n v="42.5"/>
        <n v="58"/>
        <n v="36"/>
        <s v=""/>
      </sharedItems>
    </cacheField>
    <cacheField name="Rank" numFmtId="0">
      <sharedItems containsSemiMixedTypes="0" containsString="0" containsNumber="1" containsInteger="1" minValue="1" maxValue="255"/>
    </cacheField>
    <cacheField name="Rank of entered" numFmtId="0">
      <sharedItems containsMixedTypes="1" containsNumber="1" containsInteger="1" minValue="1" maxValue="2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s v="ADINAN ABOOBACKER K"/>
    <s v="FANT"/>
    <s v="SUB JUNIOR"/>
    <n v="1"/>
    <n v="0"/>
    <n v="0"/>
    <n v="0"/>
    <n v="0"/>
    <n v="76"/>
    <n v="96"/>
  </r>
  <r>
    <x v="1"/>
    <s v="MUHAMMED TAMEEM"/>
    <s v="JARF"/>
    <s v="SUB JUNIOR"/>
    <n v="1"/>
    <n v="3"/>
    <n v="0"/>
    <n v="3"/>
    <n v="3"/>
    <n v="30"/>
    <n v="46"/>
  </r>
  <r>
    <x v="2"/>
    <s v="AJZAL ASHRAF OV"/>
    <s v="JARF"/>
    <s v="SUB JUNIOR"/>
    <n v="1"/>
    <n v="0"/>
    <n v="0"/>
    <n v="0"/>
    <n v="0"/>
    <n v="76"/>
    <n v="96"/>
  </r>
  <r>
    <x v="3"/>
    <s v="MUHAMMED RIZIN AMAN"/>
    <s v="JARF"/>
    <s v="SUB JUNIOR"/>
    <n v="1"/>
    <n v="0"/>
    <n v="0"/>
    <n v="0"/>
    <n v="0"/>
    <n v="76"/>
    <n v="96"/>
  </r>
  <r>
    <x v="4"/>
    <s v="MUHAMMAD AZEEM"/>
    <s v="BADF"/>
    <s v="SUB JUNIOR"/>
    <n v="1"/>
    <n v="0"/>
    <n v="0"/>
    <n v="0"/>
    <n v="0"/>
    <n v="76"/>
    <n v="96"/>
  </r>
  <r>
    <x v="5"/>
    <s v="MUHAMMED HAFIZ S T"/>
    <s v="FANT"/>
    <s v="SUB JUNIOR"/>
    <n v="1"/>
    <n v="3"/>
    <n v="0"/>
    <n v="3"/>
    <n v="3"/>
    <n v="30"/>
    <n v="46"/>
  </r>
  <r>
    <x v="6"/>
    <s v="Abdul Khader Uvais K A"/>
    <s v="BADF"/>
    <s v="SUB JUNIOR"/>
    <n v="1"/>
    <n v="0"/>
    <n v="0"/>
    <n v="0"/>
    <n v="0"/>
    <n v="76"/>
    <n v="96"/>
  </r>
  <r>
    <x v="7"/>
    <s v="MUHAMMED ADHIL C H"/>
    <s v="FANT"/>
    <s v="SUB JUNIOR"/>
    <n v="1"/>
    <n v="0"/>
    <n v="3"/>
    <n v="3"/>
    <n v="3"/>
    <n v="30"/>
    <n v="46"/>
  </r>
  <r>
    <x v="8"/>
    <s v="Mohammed Sinan N.A"/>
    <s v="BADF"/>
    <s v="SUB JUNIOR"/>
    <n v="1"/>
    <n v="5"/>
    <n v="0"/>
    <n v="5"/>
    <n v="5"/>
    <n v="13"/>
    <n v="24"/>
  </r>
  <r>
    <x v="9"/>
    <s v="AHMED RAZI MR"/>
    <s v="BADF"/>
    <s v="SUB JUNIOR"/>
    <n v="1"/>
    <n v="0"/>
    <n v="0"/>
    <n v="0"/>
    <n v="0"/>
    <n v="76"/>
    <n v="96"/>
  </r>
  <r>
    <x v="10"/>
    <s v="Muhammed Hisham K M"/>
    <s v="FANT"/>
    <s v="SUB JUNIOR"/>
    <n v="1"/>
    <n v="1"/>
    <n v="0"/>
    <n v="1"/>
    <n v="1"/>
    <n v="54"/>
    <n v="69"/>
  </r>
  <r>
    <x v="11"/>
    <s v="HUSSAIN MUHAVIZ B A"/>
    <s v="FANT"/>
    <s v="SUB JUNIOR"/>
    <n v="1"/>
    <n v="5"/>
    <n v="0"/>
    <n v="5"/>
    <n v="5"/>
    <n v="13"/>
    <n v="24"/>
  </r>
  <r>
    <x v="12"/>
    <s v="HILAL ABDULLA C H"/>
    <s v="DAHF"/>
    <s v="SUB JUNIOR"/>
    <n v="1"/>
    <n v="0"/>
    <n v="0"/>
    <n v="0"/>
    <n v="0"/>
    <n v="76"/>
    <n v="96"/>
  </r>
  <r>
    <x v="13"/>
    <s v="MOIDEEN KAIS"/>
    <s v="DAHF"/>
    <s v="SUB JUNIOR"/>
    <n v="1"/>
    <n v="0"/>
    <n v="3"/>
    <n v="3"/>
    <n v="3"/>
    <n v="30"/>
    <n v="46"/>
  </r>
  <r>
    <x v="14"/>
    <s v="MUHAMMED SHAHID K A"/>
    <s v="BADF"/>
    <s v="SUB JUNIOR"/>
    <n v="1"/>
    <n v="0"/>
    <n v="0"/>
    <n v="0"/>
    <n v="0"/>
    <n v="76"/>
    <n v="96"/>
  </r>
  <r>
    <x v="15"/>
    <s v="K MUHAMMAD JALAL"/>
    <s v="DAHF"/>
    <s v="SUB JUNIOR"/>
    <n v="1"/>
    <n v="0"/>
    <n v="0"/>
    <n v="0"/>
    <n v="0"/>
    <n v="76"/>
    <n v="96"/>
  </r>
  <r>
    <x v="16"/>
    <s v="MUHAMMED T K"/>
    <n v="0"/>
    <s v="SUB JUNIOR"/>
    <n v="1"/>
    <n v="0"/>
    <n v="0"/>
    <n v="0"/>
    <n v="0"/>
    <n v="76"/>
    <n v="96"/>
  </r>
  <r>
    <x v="17"/>
    <s v="Muhammed Waheed R K"/>
    <s v="JARF"/>
    <s v="SUB JUNIOR"/>
    <n v="1"/>
    <n v="0"/>
    <n v="0"/>
    <n v="0"/>
    <n v="0"/>
    <n v="76"/>
    <n v="96"/>
  </r>
  <r>
    <x v="18"/>
    <s v="ABOOBACKER SAFWAN C B"/>
    <n v="0"/>
    <s v="SUB JUNIOR"/>
    <n v="1"/>
    <n v="0"/>
    <n v="0"/>
    <n v="0"/>
    <n v="0"/>
    <n v="76"/>
    <n v="96"/>
  </r>
  <r>
    <x v="19"/>
    <s v="MUHAMMED HASHIR A K"/>
    <s v="JARF"/>
    <s v="SUB JUNIOR"/>
    <n v="1"/>
    <n v="0"/>
    <n v="0"/>
    <n v="0"/>
    <n v="0"/>
    <n v="76"/>
    <n v="96"/>
  </r>
  <r>
    <x v="20"/>
    <s v="MOHAMMED NAFIH"/>
    <s v="DAHF"/>
    <s v="SUB JUNIOR"/>
    <n v="1"/>
    <n v="0"/>
    <n v="0"/>
    <n v="0"/>
    <n v="0"/>
    <n v="76"/>
    <n v="96"/>
  </r>
  <r>
    <x v="21"/>
    <s v="BEERAN MUEENUDHEEN MH"/>
    <s v="JARF"/>
    <s v="SUB JUNIOR"/>
    <n v="1"/>
    <n v="0"/>
    <n v="1"/>
    <n v="1"/>
    <n v="1"/>
    <n v="54"/>
    <n v="69"/>
  </r>
  <r>
    <x v="22"/>
    <s v="MOHAMMAD K A"/>
    <s v="FANT"/>
    <s v="SUB JUNIOR"/>
    <n v="1"/>
    <n v="0"/>
    <n v="1"/>
    <n v="1"/>
    <n v="1"/>
    <n v="54"/>
    <n v="69"/>
  </r>
  <r>
    <x v="23"/>
    <s v="IBRAHIM KALEEL"/>
    <s v="JARF"/>
    <s v="SUB JUNIOR"/>
    <n v="1"/>
    <n v="6"/>
    <n v="0"/>
    <n v="6"/>
    <n v="6"/>
    <n v="10"/>
    <n v="21"/>
  </r>
  <r>
    <x v="24"/>
    <s v="MOHAMMED JASEEM"/>
    <s v="BADF"/>
    <s v="SUB JUNIOR"/>
    <n v="1"/>
    <n v="0"/>
    <n v="0"/>
    <n v="0"/>
    <n v="0"/>
    <n v="76"/>
    <n v="96"/>
  </r>
  <r>
    <x v="25"/>
    <s v="MUHAMMED RAZI A T"/>
    <s v="DAHF"/>
    <s v="SUB JUNIOR"/>
    <n v="1"/>
    <n v="0"/>
    <n v="0"/>
    <n v="0"/>
    <n v="0"/>
    <n v="76"/>
    <n v="96"/>
  </r>
  <r>
    <x v="26"/>
    <s v="MUHAMMED ZAID"/>
    <s v="JARF"/>
    <s v="SUB JUNIOR"/>
    <n v="1"/>
    <n v="0"/>
    <n v="0"/>
    <n v="0"/>
    <n v="0"/>
    <n v="76"/>
    <n v="96"/>
  </r>
  <r>
    <x v="27"/>
    <s v="MUHAMMED HAFEEZ P"/>
    <s v="BADF"/>
    <s v="SUB JUNIOR"/>
    <n v="1"/>
    <n v="3"/>
    <n v="0"/>
    <n v="3"/>
    <n v="3"/>
    <n v="30"/>
    <n v="46"/>
  </r>
  <r>
    <x v="28"/>
    <s v="MOHAMMED HAFEEZ B"/>
    <s v="DAHF"/>
    <s v="SUB JUNIOR"/>
    <n v="1"/>
    <n v="1"/>
    <n v="0"/>
    <n v="1"/>
    <n v="1"/>
    <n v="54"/>
    <n v="69"/>
  </r>
  <r>
    <x v="29"/>
    <s v="MUHAMMED BIN JAFAR"/>
    <s v="FANT"/>
    <s v="SUB JUNIOR"/>
    <n v="1"/>
    <n v="5"/>
    <n v="0"/>
    <n v="5"/>
    <n v="5"/>
    <n v="13"/>
    <n v="24"/>
  </r>
  <r>
    <x v="30"/>
    <s v="MOHAMMAD AJWAD"/>
    <s v="JARF"/>
    <s v="SUB JUNIOR"/>
    <n v="1"/>
    <n v="0"/>
    <n v="0"/>
    <n v="0"/>
    <n v="0"/>
    <n v="76"/>
    <n v="96"/>
  </r>
  <r>
    <x v="31"/>
    <s v="FAZIL ABDULLA"/>
    <s v="DAHF"/>
    <s v="SUB JUNIOR"/>
    <n v="1"/>
    <n v="0"/>
    <n v="0"/>
    <n v="0"/>
    <n v="0"/>
    <n v="76"/>
    <n v="96"/>
  </r>
  <r>
    <x v="32"/>
    <s v="MUHAMMED SHIRAZ ISHAQUE"/>
    <s v="FANT"/>
    <s v="SUB JUNIOR"/>
    <n v="1"/>
    <n v="0"/>
    <n v="0"/>
    <n v="0"/>
    <n v="0"/>
    <n v="76"/>
    <n v="96"/>
  </r>
  <r>
    <x v="33"/>
    <s v="JAUHAR ASHFAQUE MUHSIN"/>
    <s v="JARF"/>
    <s v="SUB JUNIOR"/>
    <n v="1"/>
    <n v="0"/>
    <n v="0"/>
    <n v="0"/>
    <n v="0"/>
    <n v="76"/>
    <n v="96"/>
  </r>
  <r>
    <x v="34"/>
    <s v="YASEEN MUHAMMED"/>
    <s v="DAHF"/>
    <s v="SUB JUNIOR"/>
    <n v="1"/>
    <n v="0"/>
    <n v="0"/>
    <n v="0"/>
    <n v="0"/>
    <n v="76"/>
    <n v="96"/>
  </r>
  <r>
    <x v="35"/>
    <s v="MOHAMMED RAFAN A"/>
    <s v="BADF"/>
    <s v="SUB JUNIOR"/>
    <n v="1"/>
    <n v="0"/>
    <n v="0"/>
    <n v="0"/>
    <n v="0"/>
    <n v="76"/>
    <n v="96"/>
  </r>
  <r>
    <x v="36"/>
    <s v="MUHAMMED UVAIS.P. S"/>
    <s v="BADF"/>
    <s v="SUB JUNIOR"/>
    <n v="1"/>
    <n v="0"/>
    <n v="0"/>
    <n v="0"/>
    <n v="0"/>
    <n v="76"/>
    <n v="96"/>
  </r>
  <r>
    <x v="37"/>
    <s v="MOHAMMED SHUAIB K M"/>
    <s v="DAHF"/>
    <s v="SUB JUNIOR"/>
    <n v="1"/>
    <n v="0"/>
    <n v="0"/>
    <n v="0"/>
    <n v="0"/>
    <n v="76"/>
    <n v="96"/>
  </r>
  <r>
    <x v="38"/>
    <s v="ziyad. K. M. C"/>
    <n v="0"/>
    <s v="SUB JUNIOR"/>
    <n v="1"/>
    <n v="0"/>
    <n v="0"/>
    <n v="0"/>
    <n v="0"/>
    <n v="76"/>
    <n v="96"/>
  </r>
  <r>
    <x v="39"/>
    <s v="MUHAMMED MOIDEEN KUNHI"/>
    <s v="FANT"/>
    <s v="SUB JUNIOR"/>
    <n v="1"/>
    <n v="0"/>
    <n v="0"/>
    <n v="0"/>
    <n v="0"/>
    <n v="76"/>
    <n v="96"/>
  </r>
  <r>
    <x v="40"/>
    <s v="MUHAMMED AFLAH.MK"/>
    <s v="FANT"/>
    <s v="SUB JUNIOR"/>
    <n v="2"/>
    <n v="0"/>
    <n v="1"/>
    <n v="1"/>
    <n v="1"/>
    <n v="54"/>
    <n v="69"/>
  </r>
  <r>
    <x v="41"/>
    <s v="MUHAMMED SHUHAIR"/>
    <s v="JARF"/>
    <s v="SUB JUNIOR"/>
    <n v="2"/>
    <n v="0"/>
    <n v="0"/>
    <n v="0"/>
    <n v="0"/>
    <n v="76"/>
    <n v="96"/>
  </r>
  <r>
    <x v="42"/>
    <s v="Muhammed Anshad A"/>
    <s v="BADF"/>
    <s v="SUB JUNIOR"/>
    <n v="2"/>
    <n v="3"/>
    <n v="0"/>
    <n v="3"/>
    <n v="3"/>
    <n v="30"/>
    <n v="46"/>
  </r>
  <r>
    <x v="43"/>
    <s v="ABDUL AFEEZ C.F"/>
    <s v="FANT"/>
    <s v="SUB JUNIOR"/>
    <n v="2"/>
    <n v="1"/>
    <n v="0"/>
    <n v="1"/>
    <n v="1"/>
    <n v="54"/>
    <n v="69"/>
  </r>
  <r>
    <x v="44"/>
    <s v="ABDULLA"/>
    <s v="JARF"/>
    <s v="SUB JUNIOR"/>
    <n v="2"/>
    <n v="0"/>
    <n v="0"/>
    <n v="0"/>
    <n v="0"/>
    <n v="76"/>
    <n v="96"/>
  </r>
  <r>
    <x v="45"/>
    <s v="ABDULLAH A P"/>
    <s v="BADF"/>
    <s v="SUB JUNIOR"/>
    <n v="2"/>
    <n v="0"/>
    <n v="6"/>
    <n v="6"/>
    <n v="6"/>
    <n v="10"/>
    <n v="21"/>
  </r>
  <r>
    <x v="46"/>
    <s v="AHAMED ADIL. A"/>
    <s v="BADF"/>
    <s v="SUB JUNIOR"/>
    <n v="2"/>
    <n v="0"/>
    <n v="8"/>
    <n v="8"/>
    <n v="8"/>
    <n v="5"/>
    <n v="12"/>
  </r>
  <r>
    <x v="47"/>
    <s v="AHMED WALEED K A"/>
    <s v="DAHF"/>
    <s v="SUB JUNIOR"/>
    <n v="2"/>
    <n v="0"/>
    <n v="0"/>
    <n v="0"/>
    <n v="0"/>
    <n v="76"/>
    <n v="96"/>
  </r>
  <r>
    <x v="48"/>
    <s v="AYAAN ABOOBAKAR"/>
    <s v="BADF"/>
    <s v="SUB JUNIOR"/>
    <n v="2"/>
    <n v="0"/>
    <n v="0"/>
    <n v="0"/>
    <n v="0"/>
    <n v="76"/>
    <n v="96"/>
  </r>
  <r>
    <x v="49"/>
    <s v="FADIL AMEEN ABDULLA"/>
    <s v="JARF"/>
    <s v="SUB JUNIOR"/>
    <n v="2"/>
    <n v="0"/>
    <n v="0"/>
    <n v="0"/>
    <n v="0"/>
    <n v="76"/>
    <n v="96"/>
  </r>
  <r>
    <x v="50"/>
    <s v="MOHAMED JAWHAR J A"/>
    <s v="FANT"/>
    <s v="SUB JUNIOR"/>
    <n v="2"/>
    <n v="0"/>
    <n v="0"/>
    <n v="0"/>
    <n v="0"/>
    <n v="76"/>
    <n v="96"/>
  </r>
  <r>
    <x v="51"/>
    <s v="Mohammad Yaseen"/>
    <s v="FANT"/>
    <s v="SUB JUNIOR"/>
    <n v="2"/>
    <n v="3"/>
    <n v="5"/>
    <n v="8"/>
    <n v="8"/>
    <n v="5"/>
    <n v="12"/>
  </r>
  <r>
    <x v="52"/>
    <s v="MOHAMMED QUBAIB A H"/>
    <s v="BADF"/>
    <s v="SUB JUNIOR"/>
    <n v="2"/>
    <n v="0"/>
    <n v="0"/>
    <n v="0"/>
    <n v="0"/>
    <n v="76"/>
    <n v="96"/>
  </r>
  <r>
    <x v="53"/>
    <s v="MOHAMMED SAWA T A"/>
    <s v="FANT"/>
    <s v="SUB JUNIOR"/>
    <n v="2"/>
    <n v="0"/>
    <n v="1"/>
    <n v="1"/>
    <n v="1"/>
    <n v="54"/>
    <n v="69"/>
  </r>
  <r>
    <x v="54"/>
    <s v="MOHAMMED WASIM SHAHAD SM"/>
    <s v="JARF"/>
    <s v="SUB JUNIOR"/>
    <n v="2"/>
    <n v="0"/>
    <n v="0"/>
    <n v="0"/>
    <n v="0"/>
    <n v="76"/>
    <n v="96"/>
  </r>
  <r>
    <x v="55"/>
    <s v="Muhammad M"/>
    <s v="JARF"/>
    <s v="SUB JUNIOR"/>
    <n v="2"/>
    <n v="0"/>
    <n v="0"/>
    <n v="0"/>
    <n v="0"/>
    <n v="76"/>
    <n v="96"/>
  </r>
  <r>
    <x v="56"/>
    <s v="MUHAMMAD SHAHSAD HASAN"/>
    <s v="JARF"/>
    <s v="SUB JUNIOR"/>
    <n v="2"/>
    <n v="0"/>
    <n v="0"/>
    <n v="0"/>
    <n v="0"/>
    <n v="76"/>
    <n v="96"/>
  </r>
  <r>
    <x v="57"/>
    <s v="MUHAMMED ADNAN K.A"/>
    <s v="FANT"/>
    <s v="SUB JUNIOR"/>
    <n v="2"/>
    <n v="0"/>
    <n v="0"/>
    <n v="0"/>
    <n v="0"/>
    <n v="76"/>
    <n v="96"/>
  </r>
  <r>
    <x v="58"/>
    <s v="Muhammed Anas"/>
    <s v="DAHF"/>
    <s v="SUB JUNIOR"/>
    <n v="2"/>
    <n v="0"/>
    <n v="0"/>
    <n v="0"/>
    <n v="0"/>
    <n v="76"/>
    <n v="96"/>
  </r>
  <r>
    <x v="59"/>
    <s v="MUHAMMED ASHIR M"/>
    <s v="JARF"/>
    <s v="SUB JUNIOR"/>
    <n v="2"/>
    <n v="0"/>
    <n v="0"/>
    <n v="0"/>
    <n v="0"/>
    <n v="76"/>
    <n v="96"/>
  </r>
  <r>
    <x v="60"/>
    <s v="MUHAMMED AYAAN"/>
    <s v="JARF"/>
    <s v="SUB JUNIOR"/>
    <n v="2"/>
    <n v="0"/>
    <n v="0"/>
    <n v="0"/>
    <n v="0"/>
    <n v="76"/>
    <n v="96"/>
  </r>
  <r>
    <x v="61"/>
    <s v="MUHAMMED FAHAD"/>
    <s v="FANT"/>
    <s v="SUB JUNIOR"/>
    <n v="2"/>
    <n v="0"/>
    <n v="0"/>
    <n v="0"/>
    <n v="0"/>
    <n v="76"/>
    <n v="96"/>
  </r>
  <r>
    <x v="62"/>
    <s v="MUHAMMED FAREED A S"/>
    <s v="FANT"/>
    <s v="SUB JUNIOR"/>
    <n v="2"/>
    <n v="0"/>
    <n v="0"/>
    <n v="0"/>
    <n v="0"/>
    <n v="76"/>
    <n v="96"/>
  </r>
  <r>
    <x v="63"/>
    <s v="MUHAMMED LUQMAN TD"/>
    <s v="BADF"/>
    <s v="SUB JUNIOR"/>
    <n v="2"/>
    <n v="0"/>
    <n v="8"/>
    <n v="8"/>
    <n v="8"/>
    <n v="5"/>
    <n v="12"/>
  </r>
  <r>
    <x v="64"/>
    <s v="MUHAMMED MICDAD RAMEES A H"/>
    <s v="DAHF"/>
    <s v="SUB JUNIOR"/>
    <n v="2"/>
    <n v="5"/>
    <n v="0"/>
    <n v="5"/>
    <n v="5"/>
    <n v="13"/>
    <n v="24"/>
  </r>
  <r>
    <x v="65"/>
    <s v="MUHAMMED MIDLAJ"/>
    <s v="DAHF"/>
    <s v="SUB JUNIOR"/>
    <n v="2"/>
    <n v="0"/>
    <n v="0"/>
    <n v="0"/>
    <n v="0"/>
    <n v="76"/>
    <n v="96"/>
  </r>
  <r>
    <x v="66"/>
    <s v="Muhammed Naieem"/>
    <s v="BADF"/>
    <s v="SUB JUNIOR"/>
    <n v="2"/>
    <n v="0"/>
    <n v="3"/>
    <n v="3"/>
    <n v="3"/>
    <n v="30"/>
    <n v="46"/>
  </r>
  <r>
    <x v="67"/>
    <s v="MUHAMMED RAEES C A"/>
    <s v="BADF"/>
    <s v="SUB JUNIOR"/>
    <n v="2"/>
    <n v="0"/>
    <n v="0"/>
    <n v="0"/>
    <n v="0"/>
    <n v="76"/>
    <n v="96"/>
  </r>
  <r>
    <x v="68"/>
    <s v="Muhammed Sinan D A"/>
    <s v="JARF"/>
    <s v="SUB JUNIOR"/>
    <n v="2"/>
    <n v="0"/>
    <n v="0"/>
    <n v="0"/>
    <n v="0"/>
    <n v="76"/>
    <n v="96"/>
  </r>
  <r>
    <x v="69"/>
    <s v="NAZWAN MOHAMMED"/>
    <s v="FANT"/>
    <s v="SUB JUNIOR"/>
    <n v="2"/>
    <n v="0"/>
    <n v="0"/>
    <n v="0"/>
    <n v="0"/>
    <n v="76"/>
    <n v="96"/>
  </r>
  <r>
    <x v="70"/>
    <s v="P.V.AHMAD ANAS"/>
    <s v="DAHF"/>
    <s v="SUB JUNIOR"/>
    <n v="2"/>
    <n v="0"/>
    <n v="0"/>
    <n v="0"/>
    <n v="0"/>
    <n v="76"/>
    <n v="96"/>
  </r>
  <r>
    <x v="71"/>
    <s v="SAYYED MOHAMMED SINAN AM"/>
    <s v="DAHF"/>
    <s v="SUB JUNIOR"/>
    <n v="2"/>
    <n v="0"/>
    <n v="0"/>
    <n v="0"/>
    <n v="0"/>
    <n v="76"/>
    <n v="96"/>
  </r>
  <r>
    <x v="72"/>
    <s v="SAYYED MUHAMMED ABOOBACKER"/>
    <s v="DAHF"/>
    <s v="SUB JUNIOR"/>
    <n v="2"/>
    <n v="0"/>
    <n v="0"/>
    <n v="0"/>
    <n v="0"/>
    <n v="76"/>
    <n v="96"/>
  </r>
  <r>
    <x v="73"/>
    <s v="SHAHUL HAMEED B.I"/>
    <s v="BADF"/>
    <s v="SUB JUNIOR"/>
    <n v="2"/>
    <n v="0"/>
    <n v="0"/>
    <n v="0"/>
    <n v="0"/>
    <n v="76"/>
    <n v="96"/>
  </r>
  <r>
    <x v="74"/>
    <s v="THUFAIL"/>
    <s v="DAHF"/>
    <s v="SUB JUNIOR"/>
    <n v="2"/>
    <n v="0"/>
    <n v="5"/>
    <n v="5"/>
    <n v="5"/>
    <n v="13"/>
    <n v="24"/>
  </r>
  <r>
    <x v="75"/>
    <s v="YOUSUF FAHEEM P"/>
    <s v="DAHF"/>
    <s v="SUB JUNIOR"/>
    <n v="2"/>
    <n v="0"/>
    <n v="0"/>
    <n v="0"/>
    <n v="0"/>
    <n v="76"/>
    <n v="96"/>
  </r>
  <r>
    <x v="76"/>
    <s v="ZAINUL ABID K"/>
    <s v="BADF"/>
    <s v="JUNIOR"/>
    <n v="3"/>
    <n v="0"/>
    <n v="0"/>
    <n v="0"/>
    <n v="0"/>
    <n v="76"/>
    <n v="96"/>
  </r>
  <r>
    <x v="77"/>
    <s v="AHMED AFRAZ MB"/>
    <s v="DAHF"/>
    <s v="JUNIOR"/>
    <n v="3"/>
    <n v="0"/>
    <n v="0"/>
    <n v="0"/>
    <n v="0"/>
    <n v="76"/>
    <n v="96"/>
  </r>
  <r>
    <x v="78"/>
    <s v="AHMAD MUBASHAR"/>
    <s v="FANT"/>
    <s v="JUNIOR"/>
    <n v="3"/>
    <n v="3"/>
    <n v="0"/>
    <n v="3"/>
    <n v="3"/>
    <n v="30"/>
    <n v="46"/>
  </r>
  <r>
    <x v="79"/>
    <s v="MOHAMMED NAFIH BA"/>
    <s v="BADF"/>
    <s v="JUNIOR"/>
    <n v="3"/>
    <n v="1"/>
    <n v="0"/>
    <n v="1"/>
    <n v="1"/>
    <n v="54"/>
    <n v="69"/>
  </r>
  <r>
    <x v="80"/>
    <s v="FAKRUDDIN NAFIL"/>
    <s v="FANT"/>
    <s v="JUNIOR"/>
    <n v="3"/>
    <n v="0"/>
    <n v="0"/>
    <n v="0"/>
    <n v="0"/>
    <n v="76"/>
    <n v="96"/>
  </r>
  <r>
    <x v="81"/>
    <s v="HASAN THAMMEEM"/>
    <s v="JARF"/>
    <s v="JUNIOR"/>
    <n v="3"/>
    <n v="0"/>
    <n v="0"/>
    <n v="0"/>
    <n v="0"/>
    <n v="76"/>
    <n v="96"/>
  </r>
  <r>
    <x v="82"/>
    <s v="MUHAMMED ROUHAN M.K"/>
    <s v="BADF"/>
    <s v="JUNIOR"/>
    <n v="3"/>
    <n v="0"/>
    <n v="0"/>
    <n v="0"/>
    <n v="0"/>
    <n v="76"/>
    <n v="96"/>
  </r>
  <r>
    <x v="83"/>
    <s v="MUHAMMED ZAMIL"/>
    <s v="JARF"/>
    <s v="JUNIOR"/>
    <n v="3"/>
    <n v="5"/>
    <n v="0"/>
    <n v="5"/>
    <n v="5"/>
    <n v="13"/>
    <n v="24"/>
  </r>
  <r>
    <x v="84"/>
    <s v="ABDUL RAHIMAN FAIZ T A"/>
    <s v="JARF"/>
    <s v="JUNIOR"/>
    <n v="3"/>
    <n v="0"/>
    <n v="0"/>
    <n v="0"/>
    <n v="1"/>
    <n v="76"/>
    <n v="69"/>
  </r>
  <r>
    <x v="85"/>
    <s v="AHAMMED SAFAR ZAKARIYA"/>
    <s v="DAHF"/>
    <s v="JUNIOR"/>
    <n v="3"/>
    <n v="0"/>
    <n v="0"/>
    <n v="0"/>
    <n v="0"/>
    <n v="76"/>
    <n v="96"/>
  </r>
  <r>
    <x v="86"/>
    <s v="MUHAMMED MUHAZ P A"/>
    <s v="DAHF"/>
    <s v="JUNIOR"/>
    <n v="3"/>
    <n v="0"/>
    <n v="0"/>
    <n v="0"/>
    <n v="0"/>
    <n v="76"/>
    <n v="96"/>
  </r>
  <r>
    <x v="87"/>
    <s v="MUHAMMED SAHEEM ASHRAF"/>
    <s v="FANT"/>
    <s v="JUNIOR"/>
    <n v="3"/>
    <n v="0"/>
    <n v="0"/>
    <n v="0"/>
    <n v="0"/>
    <n v="76"/>
    <n v="96"/>
  </r>
  <r>
    <x v="88"/>
    <s v="SHARAZ AHAMMED"/>
    <s v="FANT"/>
    <s v="JUNIOR"/>
    <n v="3"/>
    <n v="0"/>
    <n v="0"/>
    <n v="0"/>
    <n v="0"/>
    <n v="76"/>
    <n v="96"/>
  </r>
  <r>
    <x v="89"/>
    <s v="MUHAMMED IHTHISHAM P I"/>
    <s v="BADF"/>
    <s v="JUNIOR"/>
    <n v="3"/>
    <n v="0"/>
    <n v="0"/>
    <n v="0"/>
    <n v="0"/>
    <n v="76"/>
    <n v="96"/>
  </r>
  <r>
    <x v="90"/>
    <s v="AMEEN RAHMAN MTP"/>
    <s v="DAHF"/>
    <s v="JUNIOR"/>
    <n v="3"/>
    <n v="3"/>
    <n v="0"/>
    <n v="3"/>
    <n v="3"/>
    <n v="30"/>
    <n v="46"/>
  </r>
  <r>
    <x v="91"/>
    <s v="HASSAN SAHAL N A"/>
    <s v="FANT"/>
    <s v="JUNIOR"/>
    <n v="3"/>
    <n v="0"/>
    <n v="0"/>
    <n v="0"/>
    <n v="0"/>
    <n v="76"/>
    <n v="96"/>
  </r>
  <r>
    <x v="92"/>
    <s v="MOHAMMED SABIK BM"/>
    <s v="JARF"/>
    <s v="JUNIOR"/>
    <n v="3"/>
    <n v="0"/>
    <n v="0"/>
    <n v="0"/>
    <n v="0"/>
    <n v="76"/>
    <n v="96"/>
  </r>
  <r>
    <x v="93"/>
    <s v="MUHAMMAD SABITH V K P"/>
    <s v="BADF"/>
    <s v="JUNIOR"/>
    <n v="3"/>
    <n v="0"/>
    <n v="0"/>
    <n v="0"/>
    <n v="0"/>
    <n v="76"/>
    <n v="96"/>
  </r>
  <r>
    <x v="94"/>
    <s v="Muhammad Muaaz"/>
    <s v="JARF"/>
    <s v="JUNIOR"/>
    <n v="3"/>
    <n v="0"/>
    <n v="0"/>
    <n v="0"/>
    <n v="0"/>
    <n v="76"/>
    <n v="96"/>
  </r>
  <r>
    <x v="95"/>
    <s v="ABDUL SA-AD"/>
    <s v="JARF"/>
    <s v="JUNIOR"/>
    <n v="3"/>
    <n v="0"/>
    <n v="0"/>
    <n v="0"/>
    <n v="0"/>
    <n v="76"/>
    <n v="96"/>
  </r>
  <r>
    <x v="96"/>
    <s v="MOHAMMED RIYAN"/>
    <s v="FANT"/>
    <s v="JUNIOR"/>
    <n v="3"/>
    <n v="0"/>
    <n v="0"/>
    <n v="0"/>
    <n v="0"/>
    <n v="76"/>
    <n v="96"/>
  </r>
  <r>
    <x v="97"/>
    <s v="MOHIDDEEN SHAHSHAD"/>
    <s v="BADF"/>
    <s v="JUNIOR"/>
    <n v="3"/>
    <n v="0"/>
    <n v="1"/>
    <n v="1"/>
    <n v="1"/>
    <n v="54"/>
    <n v="69"/>
  </r>
  <r>
    <x v="98"/>
    <s v="MUHAMMAD FAYIZ B"/>
    <s v="DAHF"/>
    <s v="JUNIOR"/>
    <n v="3"/>
    <n v="0"/>
    <n v="0"/>
    <n v="0"/>
    <n v="0"/>
    <n v="76"/>
    <n v="96"/>
  </r>
  <r>
    <x v="99"/>
    <s v="MUHAMMED YASEEN"/>
    <s v="FANT"/>
    <s v="JUNIOR"/>
    <n v="3"/>
    <n v="0"/>
    <n v="0"/>
    <n v="0"/>
    <n v="0"/>
    <n v="76"/>
    <n v="96"/>
  </r>
  <r>
    <x v="100"/>
    <s v="MOHAMMED RAED. UA"/>
    <s v="DAHF"/>
    <s v="JUNIOR"/>
    <n v="3"/>
    <n v="0"/>
    <n v="0"/>
    <n v="0"/>
    <n v="0"/>
    <n v="76"/>
    <n v="96"/>
  </r>
  <r>
    <x v="101"/>
    <s v="MUHAMMED SHANIFM P"/>
    <s v="DAHF"/>
    <s v="JUNIOR"/>
    <n v="3"/>
    <n v="0"/>
    <n v="0"/>
    <n v="0"/>
    <n v="0"/>
    <n v="76"/>
    <n v="96"/>
  </r>
  <r>
    <x v="102"/>
    <s v="AHAMMED JABIR K H"/>
    <s v="JARF"/>
    <s v="JUNIOR"/>
    <n v="3"/>
    <n v="0"/>
    <n v="0"/>
    <n v="0"/>
    <n v="0"/>
    <n v="76"/>
    <n v="96"/>
  </r>
  <r>
    <x v="103"/>
    <s v="THANSEEHU RAHMAN"/>
    <s v="DAHF"/>
    <s v="JUNIOR"/>
    <n v="3"/>
    <n v="0"/>
    <n v="0"/>
    <n v="0"/>
    <n v="0"/>
    <n v="76"/>
    <n v="96"/>
  </r>
  <r>
    <x v="104"/>
    <s v="MOHAMMED AFNAN"/>
    <s v="BADF"/>
    <s v="JUNIOR"/>
    <n v="3"/>
    <n v="0"/>
    <n v="0"/>
    <n v="0"/>
    <n v="0"/>
    <n v="76"/>
    <n v="96"/>
  </r>
  <r>
    <x v="105"/>
    <s v="MOHAMMED SABITH KU"/>
    <s v="FANT"/>
    <s v="JUNIOR"/>
    <n v="3"/>
    <n v="0"/>
    <n v="0"/>
    <n v="0"/>
    <n v="0"/>
    <n v="76"/>
    <n v="96"/>
  </r>
  <r>
    <x v="106"/>
    <s v="HAFIL ADIL AMANULLAH K K"/>
    <s v="FANT"/>
    <s v="JUNIOR"/>
    <n v="3"/>
    <n v="0"/>
    <n v="0"/>
    <n v="0"/>
    <n v="0"/>
    <n v="76"/>
    <n v="96"/>
  </r>
  <r>
    <x v="107"/>
    <s v="MUHAMMED BASSIM. E"/>
    <s v="JARF"/>
    <s v="JUNIOR"/>
    <n v="3"/>
    <n v="1"/>
    <n v="0"/>
    <n v="1"/>
    <n v="1"/>
    <n v="54"/>
    <n v="69"/>
  </r>
  <r>
    <x v="108"/>
    <s v="MUHAMMED SAEED THUFAIL"/>
    <s v="DAHF"/>
    <s v="JUNIOR"/>
    <n v="3"/>
    <n v="0"/>
    <n v="0"/>
    <n v="0"/>
    <n v="0"/>
    <n v="76"/>
    <n v="96"/>
  </r>
  <r>
    <x v="109"/>
    <s v="MEERAN MOHIUDHEEN RAFIH"/>
    <s v="JARF"/>
    <s v="JUNIOR"/>
    <n v="3"/>
    <n v="0"/>
    <n v="0"/>
    <n v="0"/>
    <n v="0"/>
    <n v="76"/>
    <n v="96"/>
  </r>
  <r>
    <x v="110"/>
    <s v="ABDUL RAHIMAN AZAAN"/>
    <s v="JARF"/>
    <s v="JUNIOR"/>
    <n v="3"/>
    <n v="0"/>
    <n v="0"/>
    <n v="0"/>
    <n v="0"/>
    <n v="76"/>
    <n v="96"/>
  </r>
  <r>
    <x v="111"/>
    <s v="MOHAMMED RAFIH M R"/>
    <s v="FANT"/>
    <s v="JUNIOR"/>
    <n v="3"/>
    <n v="0"/>
    <n v="0"/>
    <n v="0"/>
    <n v="0"/>
    <n v="76"/>
    <n v="96"/>
  </r>
  <r>
    <x v="112"/>
    <s v="MUHAMMAD MIJVAD K"/>
    <s v="BADF"/>
    <s v="JUNIOR"/>
    <n v="3"/>
    <n v="0"/>
    <n v="0"/>
    <n v="0"/>
    <n v="0"/>
    <n v="76"/>
    <n v="96"/>
  </r>
  <r>
    <x v="113"/>
    <s v="MOHAMMAD IJAN"/>
    <s v="BADF"/>
    <s v="JUNIOR"/>
    <n v="3"/>
    <n v="0"/>
    <n v="0"/>
    <n v="0"/>
    <n v="0"/>
    <n v="76"/>
    <n v="96"/>
  </r>
  <r>
    <x v="114"/>
    <s v="HABEEB RAHMAN CA"/>
    <s v="BADF"/>
    <s v="JUNIOR"/>
    <n v="3"/>
    <n v="5"/>
    <n v="0"/>
    <n v="5"/>
    <n v="5"/>
    <n v="13"/>
    <n v="24"/>
  </r>
  <r>
    <x v="115"/>
    <s v="Muhammad"/>
    <s v="DAHF"/>
    <s v="JUNIOR"/>
    <n v="3"/>
    <n v="0"/>
    <n v="0"/>
    <n v="0"/>
    <n v="0"/>
    <n v="76"/>
    <n v="96"/>
  </r>
  <r>
    <x v="116"/>
    <s v="MOHAMMED SHAHID"/>
    <s v="BADF"/>
    <s v="JUNIOR"/>
    <n v="4"/>
    <n v="0"/>
    <n v="0"/>
    <n v="0"/>
    <n v="0"/>
    <n v="76"/>
    <n v="96"/>
  </r>
  <r>
    <x v="117"/>
    <s v="RAFNAS P"/>
    <s v="FANT"/>
    <s v="JUNIOR"/>
    <n v="4"/>
    <n v="0"/>
    <n v="3"/>
    <n v="3"/>
    <n v="4"/>
    <n v="30"/>
    <n v="40"/>
  </r>
  <r>
    <x v="118"/>
    <s v="MUHAMMED HAMDAN A.P"/>
    <s v="BADF"/>
    <s v="JUNIOR"/>
    <n v="4"/>
    <n v="0"/>
    <n v="0"/>
    <n v="0"/>
    <n v="0"/>
    <n v="76"/>
    <n v="96"/>
  </r>
  <r>
    <x v="119"/>
    <s v="MOHAMMED SHADIL AP"/>
    <s v="FANT"/>
    <s v="JUNIOR"/>
    <n v="4"/>
    <n v="0"/>
    <n v="0"/>
    <n v="0"/>
    <n v="0"/>
    <n v="76"/>
    <n v="96"/>
  </r>
  <r>
    <x v="120"/>
    <s v="MUHAMMED NAFIH CI"/>
    <s v="FANT"/>
    <s v="JUNIOR"/>
    <n v="4"/>
    <n v="0"/>
    <n v="0"/>
    <n v="0"/>
    <n v="0"/>
    <n v="76"/>
    <n v="96"/>
  </r>
  <r>
    <x v="121"/>
    <s v="YASEEN NOORULLA PH"/>
    <s v="FANT"/>
    <s v="JUNIOR"/>
    <n v="4"/>
    <n v="0"/>
    <n v="0"/>
    <n v="0"/>
    <n v="0"/>
    <n v="76"/>
    <n v="96"/>
  </r>
  <r>
    <x v="122"/>
    <s v="WASEEM NIHAD A M"/>
    <s v="BADF"/>
    <s v="JUNIOR"/>
    <n v="4"/>
    <n v="0"/>
    <n v="0"/>
    <n v="0"/>
    <n v="0"/>
    <n v="76"/>
    <n v="96"/>
  </r>
  <r>
    <x v="123"/>
    <s v="MOHAMMED SHAMEEM B K"/>
    <s v="JARF"/>
    <s v="JUNIOR"/>
    <n v="4"/>
    <n v="0"/>
    <n v="0"/>
    <n v="0"/>
    <n v="0"/>
    <n v="76"/>
    <n v="96"/>
  </r>
  <r>
    <x v="124"/>
    <s v="MOHAMMED BAQIR TS"/>
    <s v="JARF"/>
    <s v="JUNIOR"/>
    <n v="4"/>
    <n v="5"/>
    <n v="5"/>
    <n v="10"/>
    <n v="13"/>
    <n v="1"/>
    <n v="3"/>
  </r>
  <r>
    <x v="125"/>
    <s v="MUHAMMED FARHAN PH"/>
    <s v="DAHF"/>
    <s v="JUNIOR"/>
    <n v="4"/>
    <n v="0"/>
    <n v="0"/>
    <n v="0"/>
    <n v="0"/>
    <n v="76"/>
    <n v="96"/>
  </r>
  <r>
    <x v="126"/>
    <s v="ABDULLA FAHAD T.U"/>
    <s v="FANT"/>
    <s v="JUNIOR"/>
    <n v="4"/>
    <n v="0"/>
    <n v="0"/>
    <n v="0"/>
    <n v="0"/>
    <n v="76"/>
    <n v="96"/>
  </r>
  <r>
    <x v="127"/>
    <s v="ABDUL GAFOOR"/>
    <s v="BADF"/>
    <s v="JUNIOR"/>
    <n v="4"/>
    <n v="0"/>
    <n v="0"/>
    <n v="0"/>
    <n v="0"/>
    <n v="76"/>
    <n v="96"/>
  </r>
  <r>
    <x v="128"/>
    <s v="MUHAMMED MUNAZIR MM"/>
    <s v="JARF"/>
    <s v="JUNIOR"/>
    <n v="4"/>
    <n v="0"/>
    <n v="5"/>
    <n v="5"/>
    <n v="5"/>
    <n v="13"/>
    <n v="24"/>
  </r>
  <r>
    <x v="129"/>
    <s v="ABDUL KHADER ISHAQUE"/>
    <s v="BADF"/>
    <s v="JUNIOR"/>
    <n v="4"/>
    <n v="0"/>
    <n v="0"/>
    <n v="0"/>
    <n v="0"/>
    <n v="76"/>
    <n v="96"/>
  </r>
  <r>
    <x v="130"/>
    <s v="ABDULLA ALBAS"/>
    <s v="DAHF"/>
    <s v="JUNIOR"/>
    <n v="4"/>
    <n v="0"/>
    <n v="0"/>
    <n v="0"/>
    <n v="0"/>
    <n v="76"/>
    <n v="96"/>
  </r>
  <r>
    <x v="131"/>
    <s v="MUHAMMED A"/>
    <s v="DAHF"/>
    <s v="JUNIOR"/>
    <n v="4"/>
    <n v="0"/>
    <n v="1"/>
    <n v="1"/>
    <n v="1"/>
    <n v="54"/>
    <n v="69"/>
  </r>
  <r>
    <x v="132"/>
    <s v="MOHAMMED ANAS A.A"/>
    <s v="JARF"/>
    <s v="JUNIOR"/>
    <n v="4"/>
    <n v="0"/>
    <n v="0"/>
    <n v="0"/>
    <n v="3"/>
    <n v="76"/>
    <n v="46"/>
  </r>
  <r>
    <x v="133"/>
    <s v="MUHAMMED MIHRAZ"/>
    <s v="FANT"/>
    <s v="JUNIOR"/>
    <n v="4"/>
    <n v="0"/>
    <n v="0"/>
    <n v="0"/>
    <n v="0"/>
    <n v="76"/>
    <n v="96"/>
  </r>
  <r>
    <x v="134"/>
    <s v="FADIL MOHAMMED K M"/>
    <s v="DAHF"/>
    <s v="JUNIOR"/>
    <n v="4"/>
    <n v="0"/>
    <n v="3"/>
    <n v="3"/>
    <n v="3"/>
    <n v="30"/>
    <n v="46"/>
  </r>
  <r>
    <x v="135"/>
    <s v="AJMAL AHMED MT"/>
    <s v="DAHF"/>
    <s v="JUNIOR"/>
    <n v="4"/>
    <n v="0"/>
    <n v="0"/>
    <n v="0"/>
    <n v="0"/>
    <n v="76"/>
    <n v="96"/>
  </r>
  <r>
    <x v="136"/>
    <s v="MOHAMMED DAWOOD K"/>
    <s v="JARF"/>
    <s v="JUNIOR"/>
    <n v="4"/>
    <n v="0"/>
    <n v="0"/>
    <n v="0"/>
    <n v="0"/>
    <n v="76"/>
    <n v="96"/>
  </r>
  <r>
    <x v="137"/>
    <s v="MUHAMMED RAZI TM"/>
    <s v="DAHF"/>
    <s v="JUNIOR"/>
    <n v="4"/>
    <n v="0"/>
    <n v="0"/>
    <n v="0"/>
    <n v="0"/>
    <n v="76"/>
    <n v="96"/>
  </r>
  <r>
    <x v="138"/>
    <s v="RAYHAN PH"/>
    <s v="JARF"/>
    <s v="JUNIOR"/>
    <n v="4"/>
    <n v="0"/>
    <n v="0"/>
    <n v="0"/>
    <n v="0"/>
    <n v="76"/>
    <n v="96"/>
  </r>
  <r>
    <x v="139"/>
    <s v="MOHAMMED YOUNUS"/>
    <s v="JARF"/>
    <s v="JUNIOR"/>
    <n v="4"/>
    <n v="0"/>
    <n v="0"/>
    <n v="0"/>
    <n v="0"/>
    <n v="76"/>
    <n v="96"/>
  </r>
  <r>
    <x v="140"/>
    <s v="RASALUL AMEEN T"/>
    <s v="BADF"/>
    <s v="JUNIOR"/>
    <n v="4"/>
    <n v="3"/>
    <n v="0"/>
    <n v="3"/>
    <n v="13"/>
    <n v="30"/>
    <n v="3"/>
  </r>
  <r>
    <x v="141"/>
    <s v="IBRAHIM AFIL"/>
    <s v="DAHF"/>
    <s v="SENIOR"/>
    <n v="5"/>
    <n v="0"/>
    <n v="10"/>
    <n v="10"/>
    <n v="10"/>
    <n v="1"/>
    <n v="7"/>
  </r>
  <r>
    <x v="142"/>
    <s v="MUHAMMED KASHIF"/>
    <s v="FANT"/>
    <s v="SENIOR"/>
    <n v="5"/>
    <n v="0"/>
    <n v="0"/>
    <n v="0"/>
    <n v="0"/>
    <n v="76"/>
    <n v="96"/>
  </r>
  <r>
    <x v="143"/>
    <s v="AHAMMED MAHSHOOK M.B"/>
    <s v="DAHF"/>
    <s v="SENIOR"/>
    <n v="5"/>
    <n v="0"/>
    <n v="0"/>
    <n v="0"/>
    <n v="1"/>
    <n v="76"/>
    <n v="69"/>
  </r>
  <r>
    <x v="144"/>
    <s v="MUHAMMED ABDUL KADER"/>
    <s v="BADF"/>
    <s v="SENIOR"/>
    <n v="5"/>
    <n v="0"/>
    <n v="5"/>
    <n v="5"/>
    <n v="8"/>
    <n v="13"/>
    <n v="12"/>
  </r>
  <r>
    <x v="145"/>
    <s v="HADIL RIJAS"/>
    <s v="BADF"/>
    <s v="SENIOR"/>
    <n v="5"/>
    <n v="0"/>
    <n v="0"/>
    <n v="0"/>
    <n v="1"/>
    <n v="76"/>
    <n v="69"/>
  </r>
  <r>
    <x v="146"/>
    <s v="AHMAD MANAL KUDINGILA"/>
    <s v="JARF"/>
    <s v="SENIOR"/>
    <n v="5"/>
    <n v="0"/>
    <n v="0"/>
    <n v="0"/>
    <n v="1"/>
    <n v="76"/>
    <n v="69"/>
  </r>
  <r>
    <x v="147"/>
    <s v="ABDUL RAHMAN ANFHAL M I"/>
    <s v="BADF"/>
    <s v="SENIOR"/>
    <n v="5"/>
    <n v="0"/>
    <n v="0"/>
    <n v="0"/>
    <n v="0"/>
    <n v="76"/>
    <n v="96"/>
  </r>
  <r>
    <x v="148"/>
    <s v="ADIL ABDULLA A"/>
    <s v="DAHF"/>
    <s v="SENIOR"/>
    <n v="5"/>
    <n v="0"/>
    <n v="0"/>
    <n v="0"/>
    <n v="0"/>
    <n v="76"/>
    <n v="96"/>
  </r>
  <r>
    <x v="149"/>
    <s v="ABDULLA SALMAN FARIS M"/>
    <s v="FANT"/>
    <s v="SENIOR"/>
    <n v="5"/>
    <n v="1"/>
    <n v="0"/>
    <n v="1"/>
    <n v="1"/>
    <n v="54"/>
    <n v="69"/>
  </r>
  <r>
    <x v="150"/>
    <s v="ABDULLA FARHAN M"/>
    <s v="BADF"/>
    <s v="SENIOR"/>
    <n v="5"/>
    <n v="3"/>
    <n v="0"/>
    <n v="3"/>
    <n v="3"/>
    <n v="30"/>
    <n v="46"/>
  </r>
  <r>
    <x v="151"/>
    <s v="SHADIL AHAMED"/>
    <s v="DAHF"/>
    <s v="SENIOR"/>
    <n v="5"/>
    <n v="0"/>
    <n v="0"/>
    <n v="0"/>
    <n v="0"/>
    <n v="76"/>
    <n v="96"/>
  </r>
  <r>
    <x v="152"/>
    <s v="MUHAMMAD ISMAIL HAMDULLA V K"/>
    <s v="JARF"/>
    <s v="SENIOR"/>
    <n v="5"/>
    <n v="0"/>
    <n v="0"/>
    <n v="0"/>
    <n v="0"/>
    <n v="76"/>
    <n v="96"/>
  </r>
  <r>
    <x v="153"/>
    <s v="MOHAMMED SA'DUDDEEN K"/>
    <s v="FANT"/>
    <s v="SENIOR"/>
    <n v="5"/>
    <n v="0"/>
    <n v="0"/>
    <n v="0"/>
    <n v="0"/>
    <n v="76"/>
    <n v="96"/>
  </r>
  <r>
    <x v="154"/>
    <s v="SEYYAD MUHAMMED FAHMAN"/>
    <s v="JARF"/>
    <s v="SENIOR"/>
    <n v="5"/>
    <n v="0"/>
    <n v="0"/>
    <n v="0"/>
    <n v="5"/>
    <n v="76"/>
    <n v="24"/>
  </r>
  <r>
    <x v="155"/>
    <s v="AJMAL RUWAIS"/>
    <s v="BADF"/>
    <s v="SENIOR"/>
    <n v="5"/>
    <n v="0"/>
    <n v="0"/>
    <n v="0"/>
    <n v="0"/>
    <n v="76"/>
    <n v="96"/>
  </r>
  <r>
    <x v="156"/>
    <s v="MOHAMMED ABDUL KHADER K"/>
    <s v="FANT"/>
    <s v="SENIOR"/>
    <n v="5"/>
    <n v="0"/>
    <n v="0"/>
    <n v="0"/>
    <n v="5"/>
    <n v="76"/>
    <n v="24"/>
  </r>
  <r>
    <x v="157"/>
    <s v="MUAHMMED ANAS P A"/>
    <s v="JARF"/>
    <s v="SENIOR"/>
    <n v="5"/>
    <n v="0"/>
    <n v="0"/>
    <n v="0"/>
    <n v="0"/>
    <n v="76"/>
    <n v="96"/>
  </r>
  <r>
    <x v="158"/>
    <s v="Muhammed fahiz A K"/>
    <s v="DAHF"/>
    <s v="SENIOR"/>
    <n v="5"/>
    <n v="0"/>
    <n v="0"/>
    <n v="0"/>
    <n v="0"/>
    <n v="76"/>
    <n v="96"/>
  </r>
  <r>
    <x v="159"/>
    <s v="MUHAMMAD SHAMMAS"/>
    <s v="FANT"/>
    <s v="SENIOR"/>
    <n v="5"/>
    <n v="0"/>
    <n v="0"/>
    <n v="0"/>
    <n v="0"/>
    <n v="76"/>
    <n v="96"/>
  </r>
  <r>
    <x v="160"/>
    <s v="ARIFUDEEN ABBAS A"/>
    <s v="JARF"/>
    <s v="SENIOR"/>
    <n v="5"/>
    <n v="0"/>
    <n v="0"/>
    <n v="0"/>
    <n v="0"/>
    <n v="76"/>
    <n v="96"/>
  </r>
  <r>
    <x v="161"/>
    <s v="MAJID MUHAMMED M"/>
    <s v="DAHF"/>
    <s v="SENIOR"/>
    <n v="5"/>
    <n v="0"/>
    <n v="0"/>
    <n v="0"/>
    <n v="0"/>
    <n v="76"/>
    <n v="96"/>
  </r>
  <r>
    <x v="162"/>
    <s v="ABDUL SALAM ARIF"/>
    <s v="JARF"/>
    <s v="SENIOR"/>
    <n v="5"/>
    <n v="0"/>
    <n v="0"/>
    <n v="0"/>
    <n v="0"/>
    <n v="76"/>
    <n v="96"/>
  </r>
  <r>
    <x v="163"/>
    <s v="MOHAMMED K H"/>
    <s v="BADF"/>
    <s v="SENIOR"/>
    <n v="5"/>
    <n v="0"/>
    <n v="0"/>
    <n v="0"/>
    <n v="0"/>
    <n v="76"/>
    <n v="96"/>
  </r>
  <r>
    <x v="164"/>
    <s v="MOHAMMED FAQRUDDEEN RAZI"/>
    <s v="BADF"/>
    <s v="SENIOR"/>
    <n v="5"/>
    <n v="0"/>
    <n v="0"/>
    <n v="0"/>
    <n v="0"/>
    <n v="76"/>
    <n v="96"/>
  </r>
  <r>
    <x v="165"/>
    <s v="MOHAMMED MUBASHIR"/>
    <s v="BADF"/>
    <s v="SENIOR"/>
    <n v="5"/>
    <n v="0"/>
    <n v="0"/>
    <n v="0"/>
    <n v="0"/>
    <n v="76"/>
    <n v="96"/>
  </r>
  <r>
    <x v="166"/>
    <s v="AHAMMED MINHAJ E M"/>
    <s v="FANT"/>
    <s v="SENIOR"/>
    <n v="5"/>
    <n v="0"/>
    <n v="0"/>
    <n v="0"/>
    <n v="0"/>
    <n v="76"/>
    <n v="96"/>
  </r>
  <r>
    <x v="167"/>
    <s v="ADNAN ABDULLAH B A"/>
    <s v="JARF"/>
    <s v="SENIOR"/>
    <n v="5"/>
    <n v="0"/>
    <n v="0"/>
    <n v="0"/>
    <n v="0"/>
    <n v="76"/>
    <n v="96"/>
  </r>
  <r>
    <x v="168"/>
    <s v="SHAMMAZ P A"/>
    <s v="FANT"/>
    <s v="SENIOR"/>
    <n v="5"/>
    <n v="0"/>
    <n v="0"/>
    <n v="0"/>
    <n v="0"/>
    <n v="76"/>
    <n v="96"/>
  </r>
  <r>
    <x v="169"/>
    <s v="MAHIN SINAN"/>
    <s v="DAHF"/>
    <s v="SENIOR"/>
    <n v="5"/>
    <n v="0"/>
    <n v="0"/>
    <n v="0"/>
    <n v="0"/>
    <n v="76"/>
    <n v="96"/>
  </r>
  <r>
    <x v="170"/>
    <s v="P K ZAMEEL AHMED"/>
    <s v="BADF"/>
    <s v="SENIOR"/>
    <n v="5"/>
    <n v="0"/>
    <n v="0"/>
    <n v="0"/>
    <n v="0"/>
    <n v="76"/>
    <n v="96"/>
  </r>
  <r>
    <x v="171"/>
    <s v="MOHAMMED HISHAM"/>
    <s v="DAHF"/>
    <s v="SENIOR"/>
    <n v="5"/>
    <n v="0"/>
    <n v="0"/>
    <n v="0"/>
    <n v="0"/>
    <n v="76"/>
    <n v="96"/>
  </r>
  <r>
    <x v="172"/>
    <s v="IBRAHIM AHRAZ"/>
    <s v="FANT"/>
    <s v="SENIOR"/>
    <n v="6"/>
    <n v="0"/>
    <n v="3"/>
    <n v="3"/>
    <n v="3"/>
    <n v="30"/>
    <n v="46"/>
  </r>
  <r>
    <x v="173"/>
    <s v="MUHAMMAD SHAZIN"/>
    <s v="BADF"/>
    <s v="SENIOR"/>
    <n v="6"/>
    <n v="0"/>
    <n v="0"/>
    <n v="0"/>
    <n v="0"/>
    <n v="76"/>
    <n v="96"/>
  </r>
  <r>
    <x v="174"/>
    <s v="SALMANUL FARIS"/>
    <s v="DAHF"/>
    <s v="SENIOR"/>
    <n v="6"/>
    <n v="0"/>
    <n v="0"/>
    <n v="0"/>
    <n v="0"/>
    <n v="76"/>
    <n v="96"/>
  </r>
  <r>
    <x v="175"/>
    <s v="MUHAMMED ABDUL NASIF P.A"/>
    <s v="FANT"/>
    <s v="SENIOR"/>
    <n v="6"/>
    <n v="0"/>
    <n v="8"/>
    <n v="8"/>
    <n v="8"/>
    <n v="5"/>
    <n v="12"/>
  </r>
  <r>
    <x v="176"/>
    <s v="AHAMAD SHABAB P A"/>
    <s v="JARF"/>
    <s v="SENIOR"/>
    <n v="6"/>
    <n v="0"/>
    <n v="0"/>
    <n v="0"/>
    <n v="0"/>
    <n v="76"/>
    <n v="96"/>
  </r>
  <r>
    <x v="177"/>
    <s v="MOHAMMED SHAKIR HUSSAIN K.Y"/>
    <s v="DAHF"/>
    <s v="SENIOR"/>
    <n v="6"/>
    <n v="0"/>
    <n v="0"/>
    <n v="0"/>
    <n v="0"/>
    <n v="76"/>
    <n v="96"/>
  </r>
  <r>
    <x v="178"/>
    <s v="MUHAMMED SHUHAIB S"/>
    <s v="FANT"/>
    <s v="SENIOR"/>
    <n v="6"/>
    <n v="0"/>
    <n v="0"/>
    <n v="0"/>
    <n v="0"/>
    <n v="76"/>
    <n v="96"/>
  </r>
  <r>
    <x v="179"/>
    <s v="MOHAMMED MOINUDDEEN CHISTY"/>
    <s v="FANT"/>
    <s v="SENIOR"/>
    <n v="6"/>
    <n v="0"/>
    <n v="0"/>
    <n v="0"/>
    <n v="0"/>
    <n v="76"/>
    <n v="96"/>
  </r>
  <r>
    <x v="180"/>
    <s v="SULAIMAN FAHAD AP"/>
    <s v="BADF"/>
    <s v="SENIOR"/>
    <n v="6"/>
    <n v="0"/>
    <n v="4"/>
    <n v="4"/>
    <n v="9"/>
    <n v="29"/>
    <n v="11"/>
  </r>
  <r>
    <x v="181"/>
    <s v="IJAS EBRAHIM"/>
    <s v="JARF"/>
    <s v="SENIOR"/>
    <n v="6"/>
    <n v="0"/>
    <n v="0"/>
    <n v="0"/>
    <n v="0"/>
    <n v="76"/>
    <n v="96"/>
  </r>
  <r>
    <x v="182"/>
    <s v="AHMAD MINHAJ"/>
    <s v="BADF"/>
    <s v="SENIOR"/>
    <n v="6"/>
    <n v="0"/>
    <n v="0"/>
    <n v="0"/>
    <n v="0"/>
    <n v="76"/>
    <n v="96"/>
  </r>
  <r>
    <x v="183"/>
    <s v="AHMAD AMEEN T S"/>
    <s v="FANT"/>
    <s v="SENIOR"/>
    <n v="6"/>
    <n v="0"/>
    <n v="0"/>
    <n v="0"/>
    <n v="0"/>
    <n v="76"/>
    <n v="96"/>
  </r>
  <r>
    <x v="184"/>
    <s v="MUHAMMED SINAN M"/>
    <s v="JARF"/>
    <s v="SENIOR"/>
    <n v="6"/>
    <n v="0"/>
    <n v="3"/>
    <n v="3"/>
    <n v="3"/>
    <n v="30"/>
    <n v="46"/>
  </r>
  <r>
    <x v="185"/>
    <s v="MUHAMMED ASHKKAR ALI"/>
    <s v="DAHF"/>
    <s v="SENIOR"/>
    <n v="6"/>
    <n v="0"/>
    <n v="0"/>
    <n v="0"/>
    <n v="0"/>
    <n v="76"/>
    <n v="96"/>
  </r>
  <r>
    <x v="186"/>
    <s v="SHAMEEL AHAMMED P"/>
    <s v="BADF"/>
    <s v="SENIOR"/>
    <n v="6"/>
    <n v="0"/>
    <n v="0"/>
    <n v="0"/>
    <n v="0"/>
    <n v="76"/>
    <n v="96"/>
  </r>
  <r>
    <x v="187"/>
    <s v="IMRAN HUSSAIN TI"/>
    <s v="JARF"/>
    <s v="SENIOR"/>
    <n v="6"/>
    <n v="0"/>
    <n v="0"/>
    <n v="0"/>
    <n v="0"/>
    <n v="76"/>
    <n v="96"/>
  </r>
  <r>
    <x v="188"/>
    <s v="AHAMED ZAKI FOUZAN T.Z"/>
    <s v="JARF"/>
    <s v="SENIOR"/>
    <n v="6"/>
    <n v="0"/>
    <n v="0"/>
    <n v="0"/>
    <n v="12"/>
    <n v="76"/>
    <n v="5"/>
  </r>
  <r>
    <x v="189"/>
    <s v="MUHAMMED SHABEEB"/>
    <s v="BADF"/>
    <s v="SENIOR"/>
    <n v="6"/>
    <n v="0"/>
    <n v="0"/>
    <n v="0"/>
    <n v="3"/>
    <n v="76"/>
    <n v="46"/>
  </r>
  <r>
    <x v="190"/>
    <s v="ABDUL BAAIS N.A"/>
    <s v="FANT"/>
    <s v="SENIOR"/>
    <n v="6"/>
    <n v="0"/>
    <n v="0"/>
    <n v="0"/>
    <n v="0"/>
    <n v="76"/>
    <n v="96"/>
  </r>
  <r>
    <x v="191"/>
    <s v="MUHAMMED PK"/>
    <s v="DAHF"/>
    <s v="SENIOR"/>
    <n v="6"/>
    <n v="0"/>
    <n v="0"/>
    <n v="0"/>
    <n v="0"/>
    <n v="76"/>
    <n v="96"/>
  </r>
  <r>
    <x v="192"/>
    <s v="MOHAMMED ASHMIL K A"/>
    <s v="JARF"/>
    <s v="SENIOR"/>
    <n v="6"/>
    <n v="5"/>
    <n v="0"/>
    <n v="5"/>
    <n v="5"/>
    <n v="13"/>
    <n v="24"/>
  </r>
  <r>
    <x v="193"/>
    <s v="MUHAMMED SABITH ALI TM"/>
    <s v="JARF"/>
    <s v="SENIOR"/>
    <n v="6"/>
    <n v="0"/>
    <n v="0"/>
    <n v="0"/>
    <n v="3"/>
    <n v="76"/>
    <n v="46"/>
  </r>
  <r>
    <x v="194"/>
    <s v="MUHAMMED AHMASH K"/>
    <s v="DAHF"/>
    <s v="SENIOR"/>
    <n v="6"/>
    <n v="0"/>
    <n v="0"/>
    <n v="0"/>
    <n v="0"/>
    <n v="76"/>
    <n v="96"/>
  </r>
  <r>
    <x v="195"/>
    <s v="MOHAMMED RAZEEN S.P"/>
    <s v="DAHF"/>
    <s v="SENIOR"/>
    <n v="6"/>
    <n v="0"/>
    <n v="0"/>
    <n v="0"/>
    <n v="0"/>
    <n v="76"/>
    <n v="96"/>
  </r>
  <r>
    <x v="196"/>
    <s v="HASSAN ZARKASH"/>
    <s v="FANT"/>
    <s v="SENIOR"/>
    <n v="6"/>
    <n v="0"/>
    <n v="0"/>
    <n v="0"/>
    <n v="0"/>
    <n v="76"/>
    <n v="96"/>
  </r>
  <r>
    <x v="197"/>
    <s v="ABDULLA RAMSHAD"/>
    <s v="FANT"/>
    <s v="SENIOR"/>
    <n v="6"/>
    <n v="0"/>
    <n v="0"/>
    <n v="0"/>
    <n v="0"/>
    <n v="76"/>
    <n v="96"/>
  </r>
  <r>
    <x v="198"/>
    <s v="HASAN YASIR"/>
    <s v="BADF"/>
    <s v="SENIOR"/>
    <n v="6"/>
    <n v="0"/>
    <n v="0"/>
    <n v="0"/>
    <n v="0"/>
    <n v="76"/>
    <n v="96"/>
  </r>
  <r>
    <x v="199"/>
    <s v="ABDUL FATHAH AHAMMED C"/>
    <s v="DAHF"/>
    <s v="SENIOR"/>
    <n v="6"/>
    <n v="0"/>
    <n v="0"/>
    <n v="0"/>
    <n v="0"/>
    <n v="76"/>
    <n v="96"/>
  </r>
  <r>
    <x v="200"/>
    <s v="MUHAMMED KAIF BS"/>
    <s v="BADF"/>
    <s v="SENIOR"/>
    <n v="6"/>
    <n v="0"/>
    <n v="0"/>
    <n v="0"/>
    <n v="0"/>
    <n v="76"/>
    <n v="96"/>
  </r>
  <r>
    <x v="201"/>
    <s v="AJMAL AM"/>
    <s v="BADF"/>
    <s v="SENIOR"/>
    <n v="7"/>
    <n v="0"/>
    <n v="0"/>
    <n v="0"/>
    <n v="0"/>
    <n v="76"/>
    <n v="96"/>
  </r>
  <r>
    <x v="202"/>
    <s v="MOHAMMED ABDUL KHADER NABAVI E A"/>
    <s v="DAHF"/>
    <s v="SENIOR"/>
    <n v="7"/>
    <n v="3"/>
    <n v="0"/>
    <n v="3"/>
    <n v="4"/>
    <n v="30"/>
    <n v="40"/>
  </r>
  <r>
    <x v="203"/>
    <s v="MUHAMMAD K.A"/>
    <s v="FANT"/>
    <s v="SENIOR"/>
    <n v="7"/>
    <n v="0"/>
    <n v="3"/>
    <n v="3"/>
    <n v="8"/>
    <n v="30"/>
    <n v="12"/>
  </r>
  <r>
    <x v="204"/>
    <s v="MOHAMMED SAHEED A.K"/>
    <s v="JARF"/>
    <s v="SENIOR"/>
    <n v="7"/>
    <n v="0"/>
    <n v="0"/>
    <n v="0"/>
    <n v="0"/>
    <n v="76"/>
    <n v="96"/>
  </r>
  <r>
    <x v="205"/>
    <s v="AHMED FAHEEM MA"/>
    <s v="FANT"/>
    <s v="SENIOR"/>
    <n v="7"/>
    <n v="0"/>
    <n v="0"/>
    <n v="0"/>
    <n v="0"/>
    <n v="76"/>
    <n v="96"/>
  </r>
  <r>
    <x v="206"/>
    <s v="MUHAMMAD IBN AHMAD"/>
    <s v="JARF"/>
    <s v="SENIOR"/>
    <n v="7"/>
    <n v="0"/>
    <n v="0"/>
    <n v="0"/>
    <n v="0"/>
    <n v="76"/>
    <n v="96"/>
  </r>
  <r>
    <x v="207"/>
    <s v="RESWAN"/>
    <s v="DAHF"/>
    <s v="SENIOR"/>
    <n v="7"/>
    <n v="0"/>
    <n v="0"/>
    <n v="0"/>
    <n v="1"/>
    <n v="76"/>
    <n v="69"/>
  </r>
  <r>
    <x v="208"/>
    <s v="MUHAMMED MUJTHABA MK"/>
    <s v="JARF"/>
    <s v="SENIOR"/>
    <n v="7"/>
    <n v="0"/>
    <n v="0"/>
    <n v="0"/>
    <n v="0"/>
    <n v="76"/>
    <n v="96"/>
  </r>
  <r>
    <x v="209"/>
    <s v="MUHAMMED SHAHAN P.S"/>
    <s v="FANT"/>
    <s v="SENIOR"/>
    <n v="7"/>
    <n v="0"/>
    <n v="0"/>
    <n v="0"/>
    <n v="0"/>
    <n v="76"/>
    <n v="96"/>
  </r>
  <r>
    <x v="210"/>
    <s v="MOHAMMED THAJUDDEEN A R P"/>
    <s v="BADF"/>
    <s v="SENIOR"/>
    <n v="7"/>
    <n v="0"/>
    <n v="1"/>
    <n v="1"/>
    <n v="4"/>
    <n v="54"/>
    <n v="40"/>
  </r>
  <r>
    <x v="211"/>
    <s v="RUMAIZALI R IBRAHIM"/>
    <s v="BADF"/>
    <s v="SENIOR"/>
    <n v="7"/>
    <n v="0"/>
    <n v="1"/>
    <n v="1"/>
    <n v="1"/>
    <n v="54"/>
    <n v="69"/>
  </r>
  <r>
    <x v="212"/>
    <s v="MUHAMMED THASLEEM"/>
    <s v="BADF"/>
    <s v="SENIOR"/>
    <n v="7"/>
    <n v="1"/>
    <n v="1"/>
    <n v="2"/>
    <n v="10"/>
    <n v="53"/>
    <n v="7"/>
  </r>
  <r>
    <x v="213"/>
    <s v="AHAMED SHAMMAS C.M"/>
    <s v="DAHF"/>
    <s v="SENIOR"/>
    <n v="7"/>
    <n v="0"/>
    <n v="1"/>
    <n v="1"/>
    <n v="4"/>
    <n v="54"/>
    <n v="40"/>
  </r>
  <r>
    <x v="214"/>
    <s v="ABDUL HADIL P.M"/>
    <s v="FANT"/>
    <s v="SENIOR"/>
    <n v="7"/>
    <n v="0"/>
    <n v="0"/>
    <n v="0"/>
    <n v="0"/>
    <n v="76"/>
    <n v="96"/>
  </r>
  <r>
    <x v="215"/>
    <s v="MUHAMMAD MUSTHAFA K.M"/>
    <s v="BADF"/>
    <s v="SENIOR"/>
    <n v="7"/>
    <n v="0"/>
    <n v="0"/>
    <n v="0"/>
    <n v="0"/>
    <n v="76"/>
    <n v="96"/>
  </r>
  <r>
    <x v="216"/>
    <s v="ABDULLAH MAZIN"/>
    <s v="JARF"/>
    <s v="SENIOR"/>
    <n v="7"/>
    <n v="0"/>
    <n v="0"/>
    <n v="0"/>
    <n v="0"/>
    <n v="76"/>
    <n v="96"/>
  </r>
  <r>
    <x v="217"/>
    <s v="MUHAMMED T A"/>
    <s v="FANT"/>
    <s v="SENIOR"/>
    <n v="7"/>
    <n v="0"/>
    <n v="0"/>
    <n v="0"/>
    <n v="0"/>
    <n v="76"/>
    <n v="96"/>
  </r>
  <r>
    <x v="218"/>
    <s v="MOHAMMED HUSSAIN"/>
    <s v="DAHF"/>
    <s v="SENIOR"/>
    <n v="7"/>
    <n v="0"/>
    <n v="0"/>
    <n v="0"/>
    <n v="0"/>
    <n v="76"/>
    <n v="96"/>
  </r>
  <r>
    <x v="219"/>
    <s v="MUHAMMED ZAYAN N.S"/>
    <s v="JARF"/>
    <s v="SENIOR"/>
    <n v="7"/>
    <n v="0"/>
    <n v="0"/>
    <n v="0"/>
    <n v="0"/>
    <n v="76"/>
    <n v="96"/>
  </r>
  <r>
    <x v="220"/>
    <s v="MUHAMMED FARHAN"/>
    <s v="DAHF"/>
    <s v="SENIOR"/>
    <n v="7"/>
    <n v="5"/>
    <n v="5"/>
    <n v="10"/>
    <n v="10"/>
    <n v="1"/>
    <n v="7"/>
  </r>
  <r>
    <x v="221"/>
    <s v="MOHAMMED RAZI"/>
    <s v="JARF"/>
    <s v="SUPER SENIOR"/>
    <n v="8"/>
    <n v="0"/>
    <n v="0"/>
    <n v="0"/>
    <n v="3"/>
    <n v="76"/>
    <n v="46"/>
  </r>
  <r>
    <x v="222"/>
    <s v="MOHAMMED AFSAL"/>
    <s v="JARF"/>
    <s v="SUPER SENIOR"/>
    <n v="8"/>
    <n v="0"/>
    <n v="0"/>
    <n v="0"/>
    <n v="0"/>
    <n v="76"/>
    <n v="96"/>
  </r>
  <r>
    <x v="223"/>
    <s v="JALALUDHEEN K"/>
    <s v="DAHF"/>
    <s v="SUPER SENIOR"/>
    <n v="8"/>
    <n v="0"/>
    <n v="5"/>
    <n v="5"/>
    <n v="5"/>
    <n v="13"/>
    <n v="24"/>
  </r>
  <r>
    <x v="224"/>
    <s v="MUHAMMAD RAZI"/>
    <s v="DAHF"/>
    <s v="SUPER SENIOR"/>
    <n v="8"/>
    <n v="0"/>
    <n v="0"/>
    <n v="0"/>
    <n v="0"/>
    <n v="76"/>
    <n v="96"/>
  </r>
  <r>
    <x v="225"/>
    <s v="MUHAMMAD SHANEED."/>
    <s v="JARF"/>
    <s v="SUPER SENIOR"/>
    <n v="8"/>
    <n v="0"/>
    <n v="0"/>
    <n v="0"/>
    <n v="3"/>
    <n v="76"/>
    <n v="46"/>
  </r>
  <r>
    <x v="226"/>
    <s v="ABDUL WADHOOD"/>
    <s v="FANT"/>
    <s v="SUPER SENIOR"/>
    <n v="8"/>
    <n v="0"/>
    <n v="0"/>
    <n v="0"/>
    <n v="0"/>
    <n v="76"/>
    <n v="96"/>
  </r>
  <r>
    <x v="227"/>
    <s v="MOHAMMED SHAMMAS S.I"/>
    <s v="DAHF"/>
    <s v="SUPER SENIOR"/>
    <n v="8"/>
    <n v="0"/>
    <n v="0"/>
    <n v="0"/>
    <n v="0"/>
    <n v="76"/>
    <n v="96"/>
  </r>
  <r>
    <x v="228"/>
    <s v="AHMMED HASHIM M"/>
    <s v="DAHF"/>
    <s v="SUPER SENIOR"/>
    <n v="8"/>
    <n v="0"/>
    <n v="0"/>
    <n v="0"/>
    <n v="0"/>
    <n v="76"/>
    <n v="96"/>
  </r>
  <r>
    <x v="229"/>
    <s v="MOHAMMED HASHIR"/>
    <s v="DAHF"/>
    <s v="SUPER SENIOR"/>
    <n v="8"/>
    <n v="0"/>
    <n v="0"/>
    <n v="0"/>
    <n v="0"/>
    <n v="76"/>
    <n v="96"/>
  </r>
  <r>
    <x v="230"/>
    <s v="AHAMMED AJEER"/>
    <s v="BADF"/>
    <s v="SUPER SENIOR"/>
    <n v="8"/>
    <n v="0"/>
    <n v="1"/>
    <n v="1"/>
    <n v="1"/>
    <n v="54"/>
    <n v="69"/>
  </r>
  <r>
    <x v="231"/>
    <s v="ABBAS AZNAB M.A"/>
    <s v="BADF"/>
    <s v="SUPER SENIOR"/>
    <n v="8"/>
    <n v="0"/>
    <n v="0"/>
    <n v="0"/>
    <n v="0"/>
    <n v="76"/>
    <n v="96"/>
  </r>
  <r>
    <x v="232"/>
    <s v="MAHAMMED SHAMEEL"/>
    <s v="JARF"/>
    <s v="SUPER SENIOR"/>
    <n v="8"/>
    <n v="0"/>
    <n v="0"/>
    <n v="0"/>
    <n v="0"/>
    <n v="76"/>
    <n v="96"/>
  </r>
  <r>
    <x v="233"/>
    <s v="AMEEN ABDULLA"/>
    <s v="FANT"/>
    <s v="SUPER SENIOR"/>
    <n v="8"/>
    <n v="0"/>
    <n v="0"/>
    <n v="0"/>
    <n v="0"/>
    <n v="76"/>
    <n v="96"/>
  </r>
  <r>
    <x v="234"/>
    <s v="ZULFIKARALI"/>
    <s v="JARF"/>
    <s v="SUPER SENIOR"/>
    <n v="8"/>
    <n v="0"/>
    <n v="0"/>
    <n v="0"/>
    <n v="0"/>
    <n v="76"/>
    <n v="96"/>
  </r>
  <r>
    <x v="235"/>
    <s v="MUHAMMED ANAS M.N"/>
    <s v="FANT"/>
    <s v="SUPER SENIOR"/>
    <n v="8"/>
    <n v="0"/>
    <n v="0"/>
    <n v="0"/>
    <n v="0"/>
    <n v="76"/>
    <n v="96"/>
  </r>
  <r>
    <x v="236"/>
    <s v="ABDULLA M HAKEEM"/>
    <s v="DAHF"/>
    <s v="SUPER SENIOR"/>
    <n v="8"/>
    <n v="0"/>
    <n v="1"/>
    <n v="1"/>
    <n v="1"/>
    <n v="54"/>
    <n v="69"/>
  </r>
  <r>
    <x v="237"/>
    <s v="HASSAN SHADDAD UM"/>
    <s v="JARF"/>
    <s v="SUPER SENIOR"/>
    <n v="8"/>
    <n v="0"/>
    <n v="1"/>
    <n v="1"/>
    <n v="1"/>
    <n v="54"/>
    <n v="69"/>
  </r>
  <r>
    <x v="238"/>
    <s v="MOHAMMED SAHL CS"/>
    <s v="FANT"/>
    <s v="SUPER SENIOR"/>
    <n v="8"/>
    <n v="0"/>
    <n v="5"/>
    <n v="5"/>
    <n v="10"/>
    <n v="13"/>
    <n v="7"/>
  </r>
  <r>
    <x v="239"/>
    <s v="MOHAMMAD KHALANDAR ZIYAD"/>
    <s v="BADF"/>
    <s v="SUPER SENIOR"/>
    <n v="8"/>
    <n v="0"/>
    <n v="0"/>
    <n v="0"/>
    <n v="0"/>
    <n v="76"/>
    <n v="96"/>
  </r>
  <r>
    <x v="240"/>
    <s v="ABU THAHIR"/>
    <s v="BADF"/>
    <s v="SUPER SENIOR"/>
    <n v="8"/>
    <n v="0"/>
    <n v="0"/>
    <n v="0"/>
    <n v="4"/>
    <n v="76"/>
    <n v="40"/>
  </r>
  <r>
    <x v="241"/>
    <s v="MUHAMMAD SINAN NP"/>
    <s v="FANT"/>
    <s v="SUPER SENIOR"/>
    <n v="8"/>
    <n v="0"/>
    <n v="0"/>
    <n v="0"/>
    <n v="0"/>
    <n v="76"/>
    <n v="96"/>
  </r>
  <r>
    <x v="242"/>
    <s v="ABDUL RAHMAN MUNZIR"/>
    <s v="DAHF"/>
    <s v="SUPER SENIOR"/>
    <n v="8"/>
    <n v="3"/>
    <n v="0"/>
    <n v="3"/>
    <n v="6"/>
    <n v="30"/>
    <n v="21"/>
  </r>
  <r>
    <x v="243"/>
    <s v="MUHAMMED MUZAMMIL P.M"/>
    <n v="0"/>
    <s v="SUPER SENIOR"/>
    <n v="8"/>
    <n v="0"/>
    <n v="0"/>
    <n v="0"/>
    <n v="0"/>
    <n v="76"/>
    <n v="96"/>
  </r>
  <r>
    <x v="244"/>
    <s v="MOHAMMED SALIH"/>
    <s v="JARF"/>
    <s v="SUPER SENIOR"/>
    <n v="8"/>
    <n v="0"/>
    <n v="0"/>
    <n v="0"/>
    <n v="3"/>
    <n v="76"/>
    <n v="46"/>
  </r>
  <r>
    <x v="245"/>
    <s v="MUHAMMED SUFAZ P"/>
    <s v="BADF"/>
    <s v="SUPER SENIOR"/>
    <n v="8"/>
    <n v="0"/>
    <n v="0"/>
    <n v="0"/>
    <n v="0"/>
    <n v="76"/>
    <n v="96"/>
  </r>
  <r>
    <x v="246"/>
    <s v="SAYYAD MOHAMMED VASIL"/>
    <s v="DAHF"/>
    <s v="SUPER SENIOR"/>
    <n v="8"/>
    <n v="0"/>
    <n v="0"/>
    <n v="0"/>
    <n v="0"/>
    <n v="76"/>
    <n v="96"/>
  </r>
  <r>
    <x v="247"/>
    <s v="MUHAMMED MIDHLAJ KK"/>
    <s v="BADF"/>
    <s v="SUPER SENIOR"/>
    <n v="8"/>
    <n v="0"/>
    <n v="0"/>
    <n v="0"/>
    <n v="0"/>
    <n v="76"/>
    <n v="96"/>
  </r>
  <r>
    <x v="248"/>
    <s v="SHADIN G"/>
    <s v="FANT"/>
    <s v="SUPER SENIOR"/>
    <n v="8"/>
    <n v="0"/>
    <n v="0"/>
    <n v="0"/>
    <n v="0"/>
    <n v="76"/>
    <n v="96"/>
  </r>
  <r>
    <x v="249"/>
    <s v="MEHAZIN AMAN T"/>
    <s v="FANT"/>
    <s v="SUPER SENIOR"/>
    <n v="8"/>
    <n v="0"/>
    <n v="0"/>
    <n v="0"/>
    <n v="0"/>
    <n v="76"/>
    <n v="96"/>
  </r>
  <r>
    <x v="250"/>
    <s v="MUHAMMED UNAIS CK"/>
    <s v="BADF"/>
    <s v="SUPER SENIOR"/>
    <n v="8"/>
    <n v="0"/>
    <n v="3"/>
    <n v="3"/>
    <n v="8"/>
    <n v="30"/>
    <n v="12"/>
  </r>
  <r>
    <x v="251"/>
    <s v="ZAINUDEEN"/>
    <s v="DAHF"/>
    <s v="SUPER SENIOR"/>
    <n v="9"/>
    <n v="0"/>
    <n v="0"/>
    <n v="0"/>
    <n v="0"/>
    <n v="76"/>
    <n v="96"/>
  </r>
  <r>
    <x v="252"/>
    <s v="MAHAMMAD RIYAZ"/>
    <s v="DAHF"/>
    <s v="SUPER SENIOR"/>
    <n v="9"/>
    <n v="0"/>
    <n v="0"/>
    <n v="0"/>
    <n v="0"/>
    <n v="76"/>
    <n v="96"/>
  </r>
  <r>
    <x v="253"/>
    <s v="ABOOBAKR MA'ROOF"/>
    <s v="FANT"/>
    <s v="SUPER SENIOR"/>
    <n v="9"/>
    <n v="0"/>
    <n v="1"/>
    <n v="1"/>
    <n v="1"/>
    <n v="54"/>
    <n v="69"/>
  </r>
  <r>
    <x v="254"/>
    <s v="MOHAMMED SHAMSHEER"/>
    <s v="FANT"/>
    <s v="SUPER SENIOR"/>
    <n v="9"/>
    <n v="0"/>
    <n v="0"/>
    <n v="0"/>
    <n v="0"/>
    <n v="76"/>
    <n v="96"/>
  </r>
  <r>
    <x v="255"/>
    <s v="AJMAL ANEES"/>
    <s v="FANT"/>
    <s v="SUPER SENIOR"/>
    <n v="9"/>
    <n v="1"/>
    <n v="0"/>
    <n v="1"/>
    <n v="1"/>
    <n v="54"/>
    <n v="69"/>
  </r>
  <r>
    <x v="256"/>
    <s v="HASHIR HUSSAIN IK"/>
    <s v="DAHF"/>
    <s v="SUPER SENIOR"/>
    <n v="9"/>
    <n v="0"/>
    <n v="0"/>
    <n v="0"/>
    <n v="0"/>
    <n v="76"/>
    <n v="96"/>
  </r>
  <r>
    <x v="257"/>
    <s v="MUHAMMED ASBAQUE"/>
    <s v="JARF"/>
    <s v="SUPER SENIOR"/>
    <n v="9"/>
    <n v="5"/>
    <n v="0"/>
    <n v="5"/>
    <n v="11"/>
    <n v="13"/>
    <n v="6"/>
  </r>
  <r>
    <x v="258"/>
    <s v="AYYOOB V.N"/>
    <s v="BADF"/>
    <s v="SUPER SENIOR"/>
    <n v="9"/>
    <n v="0"/>
    <n v="0"/>
    <n v="0"/>
    <n v="0"/>
    <n v="76"/>
    <n v="96"/>
  </r>
  <r>
    <x v="259"/>
    <s v="MOHAMMED JAWAD A"/>
    <s v="FANT"/>
    <s v="SUPER SENIOR"/>
    <n v="9"/>
    <n v="0"/>
    <n v="0"/>
    <n v="0"/>
    <n v="0"/>
    <n v="76"/>
    <n v="96"/>
  </r>
  <r>
    <x v="260"/>
    <s v="AHAMMED MUBARAK KA"/>
    <s v="JARF"/>
    <s v="SUPER SENIOR"/>
    <n v="9"/>
    <n v="3"/>
    <n v="0"/>
    <n v="3"/>
    <n v="3"/>
    <n v="30"/>
    <n v="46"/>
  </r>
  <r>
    <x v="261"/>
    <s v="MUHAMMED FAISAL A K"/>
    <s v="DAHF"/>
    <s v="SUPER SENIOR"/>
    <n v="9"/>
    <n v="0"/>
    <n v="0"/>
    <n v="0"/>
    <n v="0"/>
    <n v="76"/>
    <n v="96"/>
  </r>
  <r>
    <x v="262"/>
    <s v="MUHAMMAD MUSTHAFA P.K"/>
    <s v="BADF"/>
    <s v="SUPER SENIOR"/>
    <n v="9"/>
    <n v="0"/>
    <n v="0"/>
    <n v="0"/>
    <n v="1"/>
    <n v="76"/>
    <n v="69"/>
  </r>
  <r>
    <x v="263"/>
    <s v="ISHAM V.K"/>
    <s v="FANT"/>
    <s v="SUPER SENIOR"/>
    <n v="9"/>
    <n v="0"/>
    <n v="0"/>
    <n v="0"/>
    <n v="0"/>
    <n v="76"/>
    <n v="96"/>
  </r>
  <r>
    <x v="264"/>
    <s v="MUHAMMED MA"/>
    <s v="BADF"/>
    <s v="SUPER SENIOR"/>
    <n v="9"/>
    <n v="0"/>
    <n v="0"/>
    <n v="0"/>
    <n v="1"/>
    <n v="76"/>
    <n v="69"/>
  </r>
  <r>
    <x v="265"/>
    <s v="MUHAMMED RASHAD KA"/>
    <s v="JARF"/>
    <s v="SUPER SENIOR"/>
    <n v="9"/>
    <n v="0"/>
    <n v="0"/>
    <n v="0"/>
    <n v="0"/>
    <n v="76"/>
    <n v="96"/>
  </r>
  <r>
    <x v="266"/>
    <s v="ABBAS ARFAS O.R"/>
    <s v="BADF"/>
    <s v="SUPER SENIOR"/>
    <n v="9"/>
    <n v="0"/>
    <n v="0"/>
    <n v="0"/>
    <n v="0"/>
    <n v="76"/>
    <n v="96"/>
  </r>
  <r>
    <x v="267"/>
    <s v="ABDUL YOUNUS"/>
    <s v="DAHF"/>
    <s v="SUPER SENIOR"/>
    <n v="9"/>
    <n v="0"/>
    <n v="0"/>
    <n v="0"/>
    <n v="0"/>
    <n v="76"/>
    <n v="96"/>
  </r>
  <r>
    <x v="268"/>
    <s v="MOHAMMED SHAHZAN T.K"/>
    <s v="FANT"/>
    <s v="SUPER SENIOR"/>
    <n v="9"/>
    <n v="0"/>
    <n v="3"/>
    <n v="3"/>
    <n v="3"/>
    <n v="30"/>
    <n v="46"/>
  </r>
  <r>
    <x v="269"/>
    <s v="UMARUL FAROOK K .K"/>
    <s v="DAHF"/>
    <s v="SUPER SENIOR"/>
    <n v="9"/>
    <n v="0"/>
    <n v="0"/>
    <n v="0"/>
    <n v="0"/>
    <n v="76"/>
    <n v="96"/>
  </r>
  <r>
    <x v="270"/>
    <s v="MOHAMMED MARZOOK AM"/>
    <s v="JARF"/>
    <s v="SUPER SENIOR"/>
    <n v="9"/>
    <n v="0"/>
    <n v="0"/>
    <n v="0"/>
    <n v="0"/>
    <n v="76"/>
    <n v="96"/>
  </r>
  <r>
    <x v="271"/>
    <s v="ABDUL KHADER"/>
    <s v="DAHF"/>
    <s v="SUPER SENIOR"/>
    <n v="9"/>
    <n v="0"/>
    <n v="0"/>
    <n v="0"/>
    <n v="5"/>
    <n v="76"/>
    <n v="24"/>
  </r>
  <r>
    <x v="272"/>
    <s v="MUHAMMED SHANAVAS M.A"/>
    <s v="JARF"/>
    <s v="SUPER SENIOR"/>
    <n v="9"/>
    <n v="0"/>
    <n v="0"/>
    <n v="0"/>
    <n v="0"/>
    <n v="76"/>
    <n v="96"/>
  </r>
  <r>
    <x v="273"/>
    <s v="MOHAMMAD ISMAIL SINAN KM"/>
    <s v="DAHF"/>
    <s v="SUPER SENIOR"/>
    <n v="9"/>
    <n v="0"/>
    <n v="0"/>
    <n v="0"/>
    <n v="0"/>
    <n v="76"/>
    <n v="96"/>
  </r>
  <r>
    <x v="274"/>
    <s v="MUHAMMED UNAIS PT"/>
    <s v="JARF"/>
    <s v="SUPER SENIOR"/>
    <n v="9"/>
    <n v="0"/>
    <n v="0"/>
    <n v="0"/>
    <n v="0"/>
    <n v="76"/>
    <n v="96"/>
  </r>
  <r>
    <x v="275"/>
    <s v="ASHIKK.I"/>
    <s v="JARF"/>
    <s v="SUPER SENIOR"/>
    <n v="9"/>
    <n v="0"/>
    <n v="0"/>
    <n v="0"/>
    <n v="0"/>
    <n v="76"/>
    <n v="96"/>
  </r>
  <r>
    <x v="276"/>
    <s v="MUHAMMED YASIR K"/>
    <s v="BADF"/>
    <s v="SUPER SENIOR"/>
    <n v="9"/>
    <n v="0"/>
    <n v="0"/>
    <n v="0"/>
    <n v="0"/>
    <n v="76"/>
    <n v="96"/>
  </r>
  <r>
    <x v="277"/>
    <s v="MUHAMMED BIN ABDUL KADHAR"/>
    <n v="0"/>
    <s v="SUPER SENIOR"/>
    <n v="9"/>
    <n v="0"/>
    <n v="0"/>
    <n v="0"/>
    <n v="0"/>
    <n v="76"/>
    <n v="96"/>
  </r>
  <r>
    <x v="278"/>
    <s v="MUHAMMAD MUZAMMIL E.A"/>
    <s v="BADF"/>
    <s v="SUPER SENIOR"/>
    <n v="9"/>
    <n v="0"/>
    <n v="0"/>
    <n v="0"/>
    <n v="0"/>
    <n v="76"/>
    <n v="96"/>
  </r>
  <r>
    <x v="279"/>
    <s v="MUHAMMED UNAIS"/>
    <n v="0"/>
    <s v="SUPER SENIOR"/>
    <n v="9"/>
    <n v="0"/>
    <n v="0"/>
    <n v="0"/>
    <n v="0"/>
    <n v="76"/>
    <n v="96"/>
  </r>
  <r>
    <x v="280"/>
    <s v="MUHAMMED MUZAMMIL"/>
    <s v="FANT"/>
    <s v="SUPER SENIOR"/>
    <n v="9"/>
    <n v="0"/>
    <n v="0"/>
    <n v="0"/>
    <n v="0"/>
    <n v="76"/>
    <n v="96"/>
  </r>
  <r>
    <x v="281"/>
    <s v="SALMAN FARIS"/>
    <s v="JARF"/>
    <s v="SUPER SENIOR"/>
    <n v="9"/>
    <n v="0"/>
    <n v="0"/>
    <n v="0"/>
    <n v="0"/>
    <n v="76"/>
    <n v="96"/>
  </r>
  <r>
    <x v="282"/>
    <s v="MOHAMMED ATHHAR THAYYIB MS"/>
    <s v="BADF"/>
    <s v="SUPER SENIOR"/>
    <n v="9"/>
    <n v="0"/>
    <n v="0"/>
    <n v="0"/>
    <n v="0"/>
    <n v="76"/>
    <n v="96"/>
  </r>
  <r>
    <x v="283"/>
    <s v="ABDURAHMAN P.H"/>
    <s v="BADF"/>
    <s v="SUPER SENIOR"/>
    <n v="9"/>
    <n v="0"/>
    <n v="0"/>
    <n v="0"/>
    <n v="0"/>
    <n v="76"/>
    <n v="96"/>
  </r>
  <r>
    <x v="284"/>
    <s v="ABDUL JANIS"/>
    <s v="FANT"/>
    <s v="SUPER SENIOR"/>
    <n v="9"/>
    <n v="5"/>
    <n v="0"/>
    <n v="5"/>
    <n v="5"/>
    <n v="13"/>
    <n v="24"/>
  </r>
  <r>
    <x v="285"/>
    <s v="AHMED SULTHAN"/>
    <s v="JARF"/>
    <s v="SUPER SENIOR"/>
    <n v="9"/>
    <n v="0"/>
    <n v="0"/>
    <n v="0"/>
    <n v="0"/>
    <n v="76"/>
    <n v="96"/>
  </r>
  <r>
    <x v="286"/>
    <s v="AJMAL KI"/>
    <s v="FANT"/>
    <s v="SUPER SENIOR"/>
    <n v="9"/>
    <n v="0"/>
    <n v="0"/>
    <n v="0"/>
    <n v="0"/>
    <n v="76"/>
    <n v="96"/>
  </r>
  <r>
    <x v="287"/>
    <s v="MOHAMMED IRFAN C"/>
    <s v="DAHF"/>
    <s v="SUPER SENIOR"/>
    <n v="9"/>
    <n v="0"/>
    <n v="3"/>
    <n v="3"/>
    <n v="4"/>
    <n v="30"/>
    <n v="40"/>
  </r>
  <r>
    <x v="288"/>
    <s v="AHMAD BINYAMUL ASHIQUE"/>
    <s v="JARF"/>
    <s v="SUPER SENIOR"/>
    <n v="10"/>
    <n v="0"/>
    <n v="0"/>
    <n v="0"/>
    <n v="0"/>
    <n v="76"/>
    <n v="96"/>
  </r>
  <r>
    <x v="289"/>
    <s v="MOHAMMED NAFIH KA"/>
    <s v="FANT"/>
    <s v="SUPER SENIOR"/>
    <n v="10"/>
    <n v="0"/>
    <n v="0"/>
    <n v="0"/>
    <n v="0"/>
    <n v="76"/>
    <n v="96"/>
  </r>
  <r>
    <x v="290"/>
    <s v="MUHAMMED AYIZ"/>
    <s v="BADF"/>
    <s v="SUPER SENIOR"/>
    <n v="10"/>
    <n v="0"/>
    <n v="0"/>
    <n v="0"/>
    <n v="0"/>
    <n v="76"/>
    <n v="96"/>
  </r>
  <r>
    <x v="291"/>
    <s v="AHMED ADIL B.K"/>
    <s v="JARF"/>
    <s v="SUPER SENIOR"/>
    <n v="10"/>
    <n v="0"/>
    <n v="0"/>
    <n v="0"/>
    <n v="1"/>
    <n v="76"/>
    <n v="69"/>
  </r>
  <r>
    <x v="292"/>
    <s v="MOHAMMED ANFAHUDEEN T.A"/>
    <s v="FANT"/>
    <s v="SUPER SENIOR"/>
    <n v="10"/>
    <n v="5"/>
    <n v="0"/>
    <n v="5"/>
    <n v="5"/>
    <n v="13"/>
    <n v="24"/>
  </r>
  <r>
    <x v="293"/>
    <s v="MUHAMMED MUFEED"/>
    <s v="DAHF"/>
    <s v="SUPER SENIOR"/>
    <n v="10"/>
    <n v="7"/>
    <n v="0"/>
    <n v="7"/>
    <n v="7"/>
    <n v="9"/>
    <n v="19"/>
  </r>
  <r>
    <x v="294"/>
    <s v="ABOOBACKER SIDDIK"/>
    <s v="BADF"/>
    <s v="SUPER SENIOR"/>
    <n v="10"/>
    <n v="0"/>
    <n v="0"/>
    <n v="0"/>
    <n v="0"/>
    <n v="76"/>
    <n v="96"/>
  </r>
  <r>
    <x v="295"/>
    <s v="BADRUDHIN A"/>
    <s v="BADF"/>
    <s v="SUPER SENIOR"/>
    <n v="10"/>
    <n v="0"/>
    <n v="1"/>
    <n v="1"/>
    <n v="14"/>
    <n v="54"/>
    <n v="2"/>
  </r>
  <r>
    <x v="296"/>
    <s v="AKBAR P"/>
    <s v="FANT"/>
    <s v="SUPER SENIOR"/>
    <n v="10"/>
    <n v="0"/>
    <n v="0"/>
    <n v="0"/>
    <n v="0"/>
    <n v="76"/>
    <n v="96"/>
  </r>
  <r>
    <x v="297"/>
    <s v="MOHAMMED NASFAR AFNAN H"/>
    <s v="JARF"/>
    <s v="SUPER SENIOR"/>
    <n v="10"/>
    <n v="0"/>
    <n v="5"/>
    <n v="5"/>
    <n v="5"/>
    <n v="13"/>
    <n v="24"/>
  </r>
  <r>
    <x v="298"/>
    <s v="SHAMEEM ABDULLA P.S"/>
    <s v="FANT"/>
    <s v="SUPER SENIOR"/>
    <n v="10"/>
    <n v="1"/>
    <n v="0"/>
    <n v="1"/>
    <n v="1"/>
    <n v="54"/>
    <n v="69"/>
  </r>
  <r>
    <x v="299"/>
    <s v="AHMED BK"/>
    <s v="BADF"/>
    <s v="SUPER SENIOR"/>
    <n v="10"/>
    <n v="0"/>
    <n v="0"/>
    <n v="0"/>
    <n v="0"/>
    <n v="76"/>
    <n v="96"/>
  </r>
  <r>
    <x v="300"/>
    <s v="MUHAMMED AKBAR NP"/>
    <s v="DAHF"/>
    <s v="SUPER SENIOR"/>
    <n v="10"/>
    <n v="0"/>
    <n v="0"/>
    <n v="0"/>
    <n v="0"/>
    <n v="76"/>
    <n v="96"/>
  </r>
  <r>
    <x v="301"/>
    <s v="ATHIF ABDULKHADER"/>
    <s v="FANT"/>
    <s v="SUPER SENIOR"/>
    <n v="10"/>
    <n v="0"/>
    <n v="0"/>
    <n v="0"/>
    <n v="0"/>
    <n v="76"/>
    <n v="96"/>
  </r>
  <r>
    <x v="302"/>
    <s v="MUHAMMED SAJJAD"/>
    <s v="DAHF"/>
    <s v="SUPER SENIOR"/>
    <n v="10"/>
    <n v="0"/>
    <n v="0"/>
    <n v="0"/>
    <n v="0"/>
    <n v="76"/>
    <n v="96"/>
  </r>
  <r>
    <x v="303"/>
    <s v="AHAMED ASIF M"/>
    <s v="JARF"/>
    <s v="SUPER SENIOR"/>
    <n v="10"/>
    <n v="0"/>
    <n v="0"/>
    <n v="0"/>
    <n v="0"/>
    <n v="76"/>
    <n v="96"/>
  </r>
  <r>
    <x v="304"/>
    <s v="MOHAMMAD SWALIH K"/>
    <s v="DAHF"/>
    <s v="SUPER SENIOR"/>
    <n v="10"/>
    <n v="0"/>
    <n v="0"/>
    <n v="0"/>
    <n v="3"/>
    <n v="76"/>
    <n v="46"/>
  </r>
  <r>
    <x v="305"/>
    <s v="YASEEN"/>
    <s v="FANT"/>
    <s v="SUPER SENIOR"/>
    <n v="10"/>
    <n v="0"/>
    <n v="10"/>
    <n v="10"/>
    <n v="15"/>
    <n v="1"/>
    <n v="1"/>
  </r>
  <r>
    <x v="306"/>
    <s v="MAHAMMED ASHIK"/>
    <n v="0"/>
    <s v="SUPER SENIOR"/>
    <n v="10"/>
    <n v="0"/>
    <n v="0"/>
    <n v="0"/>
    <n v="0"/>
    <n v="76"/>
    <n v="96"/>
  </r>
  <r>
    <x v="307"/>
    <s v="SALAHUDDEEN AYYOOBI KM"/>
    <s v="FANT"/>
    <s v="SUPER SENIOR"/>
    <n v="10"/>
    <n v="0"/>
    <n v="0"/>
    <n v="0"/>
    <n v="0"/>
    <n v="76"/>
    <n v="96"/>
  </r>
  <r>
    <x v="308"/>
    <s v="ABDUL RAHMAN"/>
    <s v="DAHF"/>
    <s v="SUPER SENIOR"/>
    <n v="10"/>
    <n v="0"/>
    <n v="0"/>
    <n v="0"/>
    <n v="0"/>
    <n v="76"/>
    <n v="96"/>
  </r>
  <r>
    <x v="309"/>
    <s v="AHMED MANHAL HUSSAIN"/>
    <s v="FANT"/>
    <s v="SUPER SENIOR"/>
    <n v="10"/>
    <n v="0"/>
    <n v="3"/>
    <n v="3"/>
    <n v="3"/>
    <n v="30"/>
    <n v="46"/>
  </r>
  <r>
    <x v="310"/>
    <s v="ASGAR ALI"/>
    <s v="BADF"/>
    <s v="SUPER SENIOR"/>
    <n v="10"/>
    <n v="0"/>
    <n v="0"/>
    <n v="0"/>
    <n v="0"/>
    <n v="76"/>
    <n v="96"/>
  </r>
  <r>
    <x v="311"/>
    <s v="MOHAMMED AMEEN B.A"/>
    <s v="BADF"/>
    <s v="SUPER SENIOR"/>
    <n v="10"/>
    <n v="0"/>
    <n v="0"/>
    <n v="0"/>
    <n v="0"/>
    <n v="76"/>
    <n v="96"/>
  </r>
  <r>
    <x v="312"/>
    <s v="THAMJEED TM"/>
    <s v="JARF"/>
    <s v="SUPER SENIOR"/>
    <n v="10"/>
    <n v="0"/>
    <n v="0"/>
    <n v="0"/>
    <n v="0"/>
    <n v="76"/>
    <n v="96"/>
  </r>
  <r>
    <x v="313"/>
    <s v="MUHAMMED SIFARATH T A"/>
    <s v="DAHF"/>
    <s v="SUPER SENIOR"/>
    <n v="10"/>
    <n v="3"/>
    <n v="3"/>
    <n v="6"/>
    <n v="7"/>
    <n v="10"/>
    <n v="19"/>
  </r>
  <r>
    <x v="314"/>
    <s v="MUHAMMED ABDUL GHANI M.A"/>
    <s v="JARF"/>
    <s v="SUPER SENIOR"/>
    <n v="10"/>
    <n v="0"/>
    <n v="0"/>
    <n v="0"/>
    <n v="0"/>
    <n v="76"/>
    <n v="96"/>
  </r>
  <r>
    <x v="315"/>
    <s v="AYAZ RAHMAN T"/>
    <s v="JARF"/>
    <s v="SUPER SENIOR"/>
    <n v="10"/>
    <n v="0"/>
    <n v="0"/>
    <n v="0"/>
    <n v="0"/>
    <n v="76"/>
    <n v="96"/>
  </r>
  <r>
    <x v="316"/>
    <s v="AHMED SWALAHUDHEEN PI"/>
    <s v="BADF"/>
    <s v="SUPER SENIOR"/>
    <n v="10"/>
    <n v="0"/>
    <n v="0"/>
    <n v="0"/>
    <n v="0"/>
    <n v="76"/>
    <n v="96"/>
  </r>
  <r>
    <x v="317"/>
    <s v="ABDUL VAJID K"/>
    <s v="DAHF"/>
    <s v="SUPER SENIOR"/>
    <n v="10"/>
    <n v="0"/>
    <n v="0"/>
    <n v="0"/>
    <n v="0"/>
    <n v="76"/>
    <n v="96"/>
  </r>
  <r>
    <x v="318"/>
    <s v="MUHAMMED ASHFAK K"/>
    <s v="DAHF"/>
    <s v="SUPER SENIOR"/>
    <n v="10"/>
    <n v="0"/>
    <n v="0"/>
    <n v="0"/>
    <n v="0"/>
    <n v="76"/>
    <n v="96"/>
  </r>
  <r>
    <x v="319"/>
    <s v="MUHAMMED SAFWAN"/>
    <s v="FANT"/>
    <s v="SUPER SENIOR"/>
    <n v="10"/>
    <n v="0"/>
    <n v="0"/>
    <n v="0"/>
    <n v="0"/>
    <n v="76"/>
    <n v="96"/>
  </r>
  <r>
    <x v="320"/>
    <s v="Simsarul Haq VPM"/>
    <s v="BADF"/>
    <s v="SUPER SENIOR"/>
    <n v="1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  <r>
    <x v="321"/>
    <n v="0"/>
    <n v="0"/>
    <n v="0"/>
    <n v="0"/>
    <n v="0"/>
    <n v="0"/>
    <n v="0"/>
    <n v="0"/>
    <n v="76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s v="ADINAN ABOOBACKER K"/>
    <s v="FANT"/>
    <s v="SUB JUNIOR"/>
    <x v="0"/>
    <n v="0"/>
    <n v="0"/>
    <n v="0"/>
    <x v="0"/>
    <n v="255"/>
    <n v="255"/>
  </r>
  <r>
    <x v="1"/>
    <s v="MUHAMMED TAMEEM"/>
    <s v="JARF"/>
    <s v="SUB JUNIOR"/>
    <x v="0"/>
    <n v="6"/>
    <n v="0"/>
    <n v="6"/>
    <x v="1"/>
    <n v="171"/>
    <n v="171"/>
  </r>
  <r>
    <x v="2"/>
    <s v="AJZAL ASHRAF OV"/>
    <s v="JARF"/>
    <s v="SUB JUNIOR"/>
    <x v="0"/>
    <n v="14"/>
    <n v="0"/>
    <n v="14"/>
    <x v="2"/>
    <n v="104"/>
    <n v="104"/>
  </r>
  <r>
    <x v="3"/>
    <s v="MUHAMMED RIZIN AMAN"/>
    <s v="JARF"/>
    <s v="SUB JUNIOR"/>
    <x v="0"/>
    <n v="26.5"/>
    <n v="0"/>
    <n v="26.5"/>
    <x v="3"/>
    <n v="56"/>
    <n v="56"/>
  </r>
  <r>
    <x v="4"/>
    <s v="MUHAMMAD AZEEM"/>
    <s v="BADF"/>
    <s v="SUB JUNIOR"/>
    <x v="0"/>
    <n v="25.5"/>
    <n v="0"/>
    <n v="25.5"/>
    <x v="4"/>
    <n v="59"/>
    <n v="59"/>
  </r>
  <r>
    <x v="5"/>
    <s v="MUHAMMED HAFIZ S T"/>
    <s v="FANT"/>
    <s v="SUB JUNIOR"/>
    <x v="0"/>
    <n v="15"/>
    <n v="0"/>
    <n v="15"/>
    <x v="5"/>
    <n v="100"/>
    <n v="100"/>
  </r>
  <r>
    <x v="6"/>
    <s v="Abdul Khader Uvais K A"/>
    <s v="BADF"/>
    <s v="SUB JUNIOR"/>
    <x v="0"/>
    <n v="8"/>
    <n v="0"/>
    <n v="8"/>
    <x v="6"/>
    <n v="147"/>
    <n v="147"/>
  </r>
  <r>
    <x v="7"/>
    <s v="MUHAMMED ADHIL C H"/>
    <s v="FANT"/>
    <s v="SUB JUNIOR"/>
    <x v="0"/>
    <n v="0"/>
    <n v="0"/>
    <n v="0"/>
    <x v="0"/>
    <n v="255"/>
    <n v="255"/>
  </r>
  <r>
    <x v="8"/>
    <s v="Mohammed Sinan N.A"/>
    <s v="BADF"/>
    <s v="SUB JUNIOR"/>
    <x v="0"/>
    <n v="3"/>
    <n v="0"/>
    <n v="3"/>
    <x v="7"/>
    <n v="209"/>
    <n v="209"/>
  </r>
  <r>
    <x v="9"/>
    <s v="AHMED RAZI MR"/>
    <s v="BADF"/>
    <s v="SUB JUNIOR"/>
    <x v="0"/>
    <n v="38"/>
    <n v="0"/>
    <n v="38"/>
    <x v="8"/>
    <n v="26"/>
    <n v="26"/>
  </r>
  <r>
    <x v="10"/>
    <s v="Muhammed Hisham K M"/>
    <s v="FANT"/>
    <s v="SUB JUNIOR"/>
    <x v="0"/>
    <n v="9"/>
    <n v="0"/>
    <n v="9"/>
    <x v="9"/>
    <n v="139"/>
    <n v="139"/>
  </r>
  <r>
    <x v="11"/>
    <s v="HUSSAIN MUHAVIZ B A"/>
    <s v="FANT"/>
    <s v="SUB JUNIOR"/>
    <x v="0"/>
    <n v="10"/>
    <n v="0"/>
    <n v="10"/>
    <x v="10"/>
    <n v="131"/>
    <n v="131"/>
  </r>
  <r>
    <x v="12"/>
    <s v="HILAL ABDULLA C H"/>
    <s v="DAHF"/>
    <s v="SUB JUNIOR"/>
    <x v="0"/>
    <n v="20"/>
    <n v="0"/>
    <n v="20"/>
    <x v="11"/>
    <n v="74"/>
    <n v="74"/>
  </r>
  <r>
    <x v="13"/>
    <s v="MOIDEEN KAIS"/>
    <s v="DAHF"/>
    <s v="SUB JUNIOR"/>
    <x v="0"/>
    <n v="17"/>
    <n v="0"/>
    <n v="17"/>
    <x v="12"/>
    <n v="87"/>
    <n v="87"/>
  </r>
  <r>
    <x v="14"/>
    <s v="MUHAMMED SHAHID K A"/>
    <s v="BADF"/>
    <s v="SUB JUNIOR"/>
    <x v="0"/>
    <n v="8"/>
    <n v="0"/>
    <n v="8"/>
    <x v="6"/>
    <n v="147"/>
    <n v="147"/>
  </r>
  <r>
    <x v="15"/>
    <s v="K MUHAMMAD JALAL"/>
    <s v="DAHF"/>
    <s v="SUB JUNIOR"/>
    <x v="0"/>
    <n v="3.5"/>
    <n v="0"/>
    <n v="3.5"/>
    <x v="13"/>
    <n v="208"/>
    <n v="208"/>
  </r>
  <r>
    <x v="16"/>
    <s v="MUHAMMED T K"/>
    <n v="0"/>
    <s v="SUB JUNIOR"/>
    <x v="0"/>
    <n v="0"/>
    <n v="0"/>
    <n v="0"/>
    <x v="0"/>
    <n v="255"/>
    <n v="255"/>
  </r>
  <r>
    <x v="17"/>
    <s v="Muhammed Waheed R K"/>
    <s v="JARF"/>
    <s v="SUB JUNIOR"/>
    <x v="0"/>
    <n v="0"/>
    <n v="0"/>
    <n v="0"/>
    <x v="0"/>
    <n v="255"/>
    <n v="255"/>
  </r>
  <r>
    <x v="18"/>
    <s v="ABOOBACKER SAFWAN C B"/>
    <n v="0"/>
    <s v="SUB JUNIOR"/>
    <x v="0"/>
    <n v="0"/>
    <n v="0"/>
    <n v="0"/>
    <x v="0"/>
    <n v="255"/>
    <n v="255"/>
  </r>
  <r>
    <x v="19"/>
    <s v="MUHAMMED HASHIR A K"/>
    <s v="JARF"/>
    <s v="SUB JUNIOR"/>
    <x v="0"/>
    <n v="0"/>
    <n v="0"/>
    <n v="0"/>
    <x v="0"/>
    <n v="255"/>
    <n v="255"/>
  </r>
  <r>
    <x v="20"/>
    <s v="MOHAMMED NAFIH"/>
    <s v="DAHF"/>
    <s v="SUB JUNIOR"/>
    <x v="0"/>
    <n v="5"/>
    <n v="0"/>
    <n v="5"/>
    <x v="14"/>
    <n v="190"/>
    <n v="190"/>
  </r>
  <r>
    <x v="21"/>
    <s v="BEERAN MUEENUDHEEN MH"/>
    <s v="JARF"/>
    <s v="SUB JUNIOR"/>
    <x v="0"/>
    <n v="19"/>
    <n v="0"/>
    <n v="19"/>
    <x v="15"/>
    <n v="79"/>
    <n v="79"/>
  </r>
  <r>
    <x v="22"/>
    <s v="MOHAMMAD K A"/>
    <s v="FANT"/>
    <s v="SUB JUNIOR"/>
    <x v="0"/>
    <n v="11"/>
    <n v="0"/>
    <n v="11"/>
    <x v="16"/>
    <n v="123"/>
    <n v="123"/>
  </r>
  <r>
    <x v="23"/>
    <s v="IBRAHIM KALEEL"/>
    <s v="JARF"/>
    <s v="SUB JUNIOR"/>
    <x v="0"/>
    <n v="6"/>
    <n v="0"/>
    <n v="6"/>
    <x v="1"/>
    <n v="171"/>
    <n v="171"/>
  </r>
  <r>
    <x v="24"/>
    <s v="MOHAMMED JASEEM"/>
    <s v="BADF"/>
    <s v="SUB JUNIOR"/>
    <x v="0"/>
    <n v="0"/>
    <n v="0"/>
    <n v="0"/>
    <x v="0"/>
    <n v="255"/>
    <n v="255"/>
  </r>
  <r>
    <x v="25"/>
    <s v="MUHAMMED RAZI A T"/>
    <s v="DAHF"/>
    <s v="SUB JUNIOR"/>
    <x v="0"/>
    <n v="9"/>
    <n v="0"/>
    <n v="9"/>
    <x v="9"/>
    <n v="139"/>
    <n v="139"/>
  </r>
  <r>
    <x v="26"/>
    <s v="MUHAMMED ZAID"/>
    <s v="JARF"/>
    <s v="SUB JUNIOR"/>
    <x v="0"/>
    <n v="0"/>
    <n v="0"/>
    <n v="0"/>
    <x v="0"/>
    <n v="255"/>
    <n v="255"/>
  </r>
  <r>
    <x v="27"/>
    <s v="MUHAMMED HAFEEZ P"/>
    <s v="BADF"/>
    <s v="SUB JUNIOR"/>
    <x v="0"/>
    <n v="1"/>
    <n v="0"/>
    <n v="1"/>
    <x v="17"/>
    <n v="231"/>
    <n v="231"/>
  </r>
  <r>
    <x v="28"/>
    <s v="MOHAMMED HAFEEZ B"/>
    <s v="DAHF"/>
    <s v="SUB JUNIOR"/>
    <x v="0"/>
    <n v="0"/>
    <n v="0"/>
    <n v="0"/>
    <x v="0"/>
    <n v="255"/>
    <n v="255"/>
  </r>
  <r>
    <x v="29"/>
    <s v="MUHAMMED BIN JAFAR"/>
    <s v="FANT"/>
    <s v="SUB JUNIOR"/>
    <x v="0"/>
    <n v="3"/>
    <n v="0"/>
    <n v="3"/>
    <x v="7"/>
    <n v="209"/>
    <n v="209"/>
  </r>
  <r>
    <x v="30"/>
    <s v="MOHAMMAD AJWAD"/>
    <s v="JARF"/>
    <s v="SUB JUNIOR"/>
    <x v="0"/>
    <n v="5"/>
    <n v="0"/>
    <n v="5"/>
    <x v="14"/>
    <n v="190"/>
    <n v="190"/>
  </r>
  <r>
    <x v="31"/>
    <s v="FAZIL ABDULLA"/>
    <s v="DAHF"/>
    <s v="SUB JUNIOR"/>
    <x v="0"/>
    <n v="1"/>
    <n v="0"/>
    <n v="1"/>
    <x v="17"/>
    <n v="231"/>
    <n v="231"/>
  </r>
  <r>
    <x v="32"/>
    <s v="MUHAMMED SHIRAZ ISHAQUE"/>
    <s v="FANT"/>
    <s v="SUB JUNIOR"/>
    <x v="0"/>
    <n v="0"/>
    <n v="0"/>
    <n v="0"/>
    <x v="0"/>
    <n v="255"/>
    <n v="255"/>
  </r>
  <r>
    <x v="33"/>
    <s v="JAUHAR ASHFAQUE MUHSIN"/>
    <s v="JARF"/>
    <s v="SUB JUNIOR"/>
    <x v="0"/>
    <n v="0"/>
    <n v="0"/>
    <n v="0"/>
    <x v="0"/>
    <n v="255"/>
    <n v="255"/>
  </r>
  <r>
    <x v="34"/>
    <s v="YASEEN MUHAMMED"/>
    <s v="DAHF"/>
    <s v="SUB JUNIOR"/>
    <x v="0"/>
    <n v="8"/>
    <n v="0"/>
    <n v="8"/>
    <x v="6"/>
    <n v="147"/>
    <n v="147"/>
  </r>
  <r>
    <x v="35"/>
    <s v="MOHAMMED RAFAN A"/>
    <s v="BADF"/>
    <s v="SUB JUNIOR"/>
    <x v="0"/>
    <n v="1"/>
    <n v="0"/>
    <n v="1"/>
    <x v="17"/>
    <n v="231"/>
    <n v="231"/>
  </r>
  <r>
    <x v="36"/>
    <s v="MUHAMMED UVAIS.P. S"/>
    <s v="BADF"/>
    <s v="SUB JUNIOR"/>
    <x v="0"/>
    <n v="3"/>
    <n v="0"/>
    <n v="3"/>
    <x v="7"/>
    <n v="209"/>
    <n v="209"/>
  </r>
  <r>
    <x v="37"/>
    <s v="MOHAMMED SHUAIB K M"/>
    <s v="DAHF"/>
    <s v="SUB JUNIOR"/>
    <x v="0"/>
    <n v="1"/>
    <n v="0"/>
    <n v="1"/>
    <x v="17"/>
    <n v="231"/>
    <n v="231"/>
  </r>
  <r>
    <x v="38"/>
    <s v="ziyad. K. M. C"/>
    <n v="0"/>
    <s v="SUB JUNIOR"/>
    <x v="0"/>
    <n v="0"/>
    <n v="0"/>
    <n v="0"/>
    <x v="0"/>
    <n v="255"/>
    <n v="255"/>
  </r>
  <r>
    <x v="39"/>
    <s v="MUHAMMED MOIDEEN KUNHI"/>
    <s v="FANT"/>
    <s v="SUB JUNIOR"/>
    <x v="0"/>
    <n v="3"/>
    <n v="0"/>
    <n v="3"/>
    <x v="7"/>
    <n v="209"/>
    <n v="209"/>
  </r>
  <r>
    <x v="40"/>
    <s v="MUHAMMED AFLAH.MK"/>
    <s v="FANT"/>
    <s v="SUB JUNIOR"/>
    <x v="1"/>
    <n v="11"/>
    <n v="0"/>
    <n v="11"/>
    <x v="16"/>
    <n v="123"/>
    <n v="123"/>
  </r>
  <r>
    <x v="41"/>
    <s v="MUHAMMED SHUHAIR"/>
    <s v="JARF"/>
    <s v="SUB JUNIOR"/>
    <x v="1"/>
    <n v="23"/>
    <n v="0"/>
    <n v="23"/>
    <x v="18"/>
    <n v="68"/>
    <n v="68"/>
  </r>
  <r>
    <x v="42"/>
    <s v="Muhammed Anshad A"/>
    <s v="BADF"/>
    <s v="SUB JUNIOR"/>
    <x v="1"/>
    <n v="24"/>
    <n v="0"/>
    <n v="24"/>
    <x v="19"/>
    <n v="64"/>
    <n v="64"/>
  </r>
  <r>
    <x v="43"/>
    <s v="ABDUL AFEEZ C.F"/>
    <s v="FANT"/>
    <s v="SUB JUNIOR"/>
    <x v="1"/>
    <n v="13"/>
    <n v="0"/>
    <n v="13"/>
    <x v="20"/>
    <n v="114"/>
    <n v="114"/>
  </r>
  <r>
    <x v="44"/>
    <s v="ABDULLA"/>
    <s v="JARF"/>
    <s v="SUB JUNIOR"/>
    <x v="1"/>
    <n v="40"/>
    <n v="0"/>
    <n v="40"/>
    <x v="21"/>
    <n v="23"/>
    <n v="23"/>
  </r>
  <r>
    <x v="45"/>
    <s v="ABDULLAH A P"/>
    <s v="BADF"/>
    <s v="SUB JUNIOR"/>
    <x v="1"/>
    <n v="3"/>
    <n v="0"/>
    <n v="3"/>
    <x v="7"/>
    <n v="209"/>
    <n v="209"/>
  </r>
  <r>
    <x v="46"/>
    <s v="AHAMED ADIL. A"/>
    <s v="BADF"/>
    <s v="SUB JUNIOR"/>
    <x v="1"/>
    <n v="35"/>
    <n v="0"/>
    <n v="35"/>
    <x v="22"/>
    <n v="32"/>
    <n v="32"/>
  </r>
  <r>
    <x v="47"/>
    <s v="AHMED WALEED K A"/>
    <s v="DAHF"/>
    <s v="SUB JUNIOR"/>
    <x v="1"/>
    <n v="22"/>
    <n v="0"/>
    <n v="22"/>
    <x v="23"/>
    <n v="72"/>
    <n v="72"/>
  </r>
  <r>
    <x v="48"/>
    <s v="AYAAN ABOOBAKAR"/>
    <s v="BADF"/>
    <s v="SUB JUNIOR"/>
    <x v="1"/>
    <n v="12.5"/>
    <n v="0"/>
    <n v="12.5"/>
    <x v="24"/>
    <n v="118"/>
    <n v="118"/>
  </r>
  <r>
    <x v="49"/>
    <s v="FADIL AMEEN ABDULLA"/>
    <s v="JARF"/>
    <s v="SUB JUNIOR"/>
    <x v="1"/>
    <n v="24"/>
    <n v="0"/>
    <n v="24"/>
    <x v="19"/>
    <n v="64"/>
    <n v="64"/>
  </r>
  <r>
    <x v="50"/>
    <s v="MOHAMED JAWHAR J A"/>
    <s v="FANT"/>
    <s v="SUB JUNIOR"/>
    <x v="1"/>
    <n v="61"/>
    <n v="0"/>
    <n v="61"/>
    <x v="25"/>
    <n v="5"/>
    <n v="5"/>
  </r>
  <r>
    <x v="51"/>
    <s v="Mohammad Yaseen"/>
    <s v="FANT"/>
    <s v="SUB JUNIOR"/>
    <x v="1"/>
    <n v="4"/>
    <n v="0"/>
    <n v="4"/>
    <x v="26"/>
    <n v="197"/>
    <n v="197"/>
  </r>
  <r>
    <x v="52"/>
    <s v="MOHAMMED QUBAIB A H"/>
    <s v="BADF"/>
    <s v="SUB JUNIOR"/>
    <x v="1"/>
    <n v="13"/>
    <n v="0"/>
    <n v="13"/>
    <x v="20"/>
    <n v="114"/>
    <n v="114"/>
  </r>
  <r>
    <x v="53"/>
    <s v="MOHAMMED SAWA T A"/>
    <s v="FANT"/>
    <s v="SUB JUNIOR"/>
    <x v="1"/>
    <n v="30"/>
    <n v="0"/>
    <n v="30"/>
    <x v="27"/>
    <n v="48"/>
    <n v="48"/>
  </r>
  <r>
    <x v="54"/>
    <s v="MOHAMMED WASIM SHAHAD SM"/>
    <s v="JARF"/>
    <s v="SUB JUNIOR"/>
    <x v="1"/>
    <n v="45"/>
    <n v="0"/>
    <n v="45"/>
    <x v="28"/>
    <n v="18"/>
    <n v="18"/>
  </r>
  <r>
    <x v="55"/>
    <s v="Muhammad M"/>
    <s v="JARF"/>
    <s v="SUB JUNIOR"/>
    <x v="1"/>
    <n v="0"/>
    <n v="0"/>
    <n v="0"/>
    <x v="0"/>
    <n v="255"/>
    <n v="255"/>
  </r>
  <r>
    <x v="56"/>
    <s v="MUHAMMAD SHAHSAD HASAN"/>
    <s v="JARF"/>
    <s v="SUB JUNIOR"/>
    <x v="1"/>
    <n v="20"/>
    <n v="0"/>
    <n v="20"/>
    <x v="11"/>
    <n v="74"/>
    <n v="74"/>
  </r>
  <r>
    <x v="57"/>
    <s v="MUHAMMED ADNAN K.A"/>
    <s v="FANT"/>
    <s v="SUB JUNIOR"/>
    <x v="1"/>
    <n v="3"/>
    <n v="0"/>
    <n v="3"/>
    <x v="7"/>
    <n v="209"/>
    <n v="209"/>
  </r>
  <r>
    <x v="58"/>
    <s v="Muhammed Anas"/>
    <s v="DAHF"/>
    <s v="SUB JUNIOR"/>
    <x v="1"/>
    <n v="53.5"/>
    <n v="0"/>
    <n v="53.5"/>
    <x v="29"/>
    <n v="10"/>
    <n v="10"/>
  </r>
  <r>
    <x v="59"/>
    <s v="MUHAMMED ASHIR M"/>
    <s v="JARF"/>
    <s v="SUB JUNIOR"/>
    <x v="1"/>
    <n v="17"/>
    <n v="0"/>
    <n v="17"/>
    <x v="12"/>
    <n v="87"/>
    <n v="87"/>
  </r>
  <r>
    <x v="60"/>
    <s v="MUHAMMED AYAAN"/>
    <s v="JARF"/>
    <s v="SUB JUNIOR"/>
    <x v="1"/>
    <n v="10"/>
    <n v="0"/>
    <n v="10"/>
    <x v="10"/>
    <n v="131"/>
    <n v="131"/>
  </r>
  <r>
    <x v="61"/>
    <s v="MUHAMMED FAHAD"/>
    <s v="FANT"/>
    <s v="SUB JUNIOR"/>
    <x v="1"/>
    <n v="55.5"/>
    <n v="0"/>
    <n v="55.5"/>
    <x v="30"/>
    <n v="7"/>
    <n v="7"/>
  </r>
  <r>
    <x v="62"/>
    <s v="MUHAMMED FAREED A S"/>
    <s v="FANT"/>
    <s v="SUB JUNIOR"/>
    <x v="1"/>
    <n v="20"/>
    <n v="0"/>
    <n v="20"/>
    <x v="11"/>
    <n v="74"/>
    <n v="74"/>
  </r>
  <r>
    <x v="63"/>
    <s v="MUHAMMED LUQMAN TD"/>
    <s v="BADF"/>
    <s v="SUB JUNIOR"/>
    <x v="1"/>
    <n v="28"/>
    <n v="0"/>
    <n v="28"/>
    <x v="31"/>
    <n v="51"/>
    <n v="51"/>
  </r>
  <r>
    <x v="64"/>
    <s v="MUHAMMED MICDAD RAMEES A H"/>
    <s v="DAHF"/>
    <s v="SUB JUNIOR"/>
    <x v="1"/>
    <n v="55.5"/>
    <n v="0"/>
    <n v="55.5"/>
    <x v="30"/>
    <n v="7"/>
    <n v="7"/>
  </r>
  <r>
    <x v="65"/>
    <s v="MUHAMMED MIDLAJ"/>
    <s v="DAHF"/>
    <s v="SUB JUNIOR"/>
    <x v="1"/>
    <n v="25"/>
    <n v="0"/>
    <n v="25"/>
    <x v="32"/>
    <n v="60"/>
    <n v="60"/>
  </r>
  <r>
    <x v="66"/>
    <s v="Muhammed Naieem"/>
    <s v="BADF"/>
    <s v="SUB JUNIOR"/>
    <x v="1"/>
    <n v="31"/>
    <n v="0"/>
    <n v="31"/>
    <x v="33"/>
    <n v="42"/>
    <n v="42"/>
  </r>
  <r>
    <x v="67"/>
    <s v="MUHAMMED RAEES C A"/>
    <s v="BADF"/>
    <s v="SUB JUNIOR"/>
    <x v="1"/>
    <n v="40"/>
    <n v="0"/>
    <n v="40"/>
    <x v="21"/>
    <n v="23"/>
    <n v="23"/>
  </r>
  <r>
    <x v="68"/>
    <s v="Muhammed Sinan D A"/>
    <s v="JARF"/>
    <s v="SUB JUNIOR"/>
    <x v="1"/>
    <n v="0"/>
    <n v="0"/>
    <n v="0"/>
    <x v="0"/>
    <n v="255"/>
    <n v="255"/>
  </r>
  <r>
    <x v="69"/>
    <s v="NAZWAN MOHAMMED"/>
    <s v="FANT"/>
    <s v="SUB JUNIOR"/>
    <x v="1"/>
    <n v="18"/>
    <n v="0"/>
    <n v="18"/>
    <x v="34"/>
    <n v="81"/>
    <n v="81"/>
  </r>
  <r>
    <x v="70"/>
    <s v="P.V.AHMAD ANAS"/>
    <s v="DAHF"/>
    <s v="SUB JUNIOR"/>
    <x v="1"/>
    <n v="16"/>
    <n v="0"/>
    <n v="16"/>
    <x v="35"/>
    <n v="94"/>
    <n v="94"/>
  </r>
  <r>
    <x v="71"/>
    <s v="SAYYED MOHAMMED SINAN AM"/>
    <s v="DAHF"/>
    <s v="SUB JUNIOR"/>
    <x v="1"/>
    <n v="6"/>
    <n v="0"/>
    <n v="6"/>
    <x v="1"/>
    <n v="171"/>
    <n v="171"/>
  </r>
  <r>
    <x v="72"/>
    <s v="SAYYED MUHAMMED ABOOBACKER"/>
    <s v="DAHF"/>
    <s v="SUB JUNIOR"/>
    <x v="1"/>
    <n v="17"/>
    <n v="0"/>
    <n v="17"/>
    <x v="12"/>
    <n v="87"/>
    <n v="87"/>
  </r>
  <r>
    <x v="73"/>
    <s v="SHAHUL HAMEED B.I"/>
    <s v="BADF"/>
    <s v="SUB JUNIOR"/>
    <x v="1"/>
    <n v="6"/>
    <n v="0"/>
    <n v="6"/>
    <x v="1"/>
    <n v="171"/>
    <n v="171"/>
  </r>
  <r>
    <x v="74"/>
    <s v="THUFAIL"/>
    <s v="DAHF"/>
    <s v="SUB JUNIOR"/>
    <x v="1"/>
    <n v="20.5"/>
    <n v="0"/>
    <n v="20.5"/>
    <x v="36"/>
    <n v="73"/>
    <n v="73"/>
  </r>
  <r>
    <x v="75"/>
    <s v="YOUSUF FAHEEM P"/>
    <s v="DAHF"/>
    <s v="SUB JUNIOR"/>
    <x v="1"/>
    <n v="6"/>
    <n v="0"/>
    <n v="6"/>
    <x v="1"/>
    <n v="171"/>
    <n v="171"/>
  </r>
  <r>
    <x v="76"/>
    <s v="ZAINUL ABID K"/>
    <s v="BADF"/>
    <s v="JUNIOR"/>
    <x v="2"/>
    <n v="5"/>
    <n v="0"/>
    <n v="5"/>
    <x v="14"/>
    <n v="190"/>
    <n v="190"/>
  </r>
  <r>
    <x v="77"/>
    <s v="AHMED AFRAZ MB"/>
    <s v="DAHF"/>
    <s v="JUNIOR"/>
    <x v="2"/>
    <n v="0"/>
    <n v="0"/>
    <n v="0"/>
    <x v="0"/>
    <n v="255"/>
    <n v="255"/>
  </r>
  <r>
    <x v="78"/>
    <s v="AHMAD MUBASHAR"/>
    <s v="FANT"/>
    <s v="JUNIOR"/>
    <x v="2"/>
    <n v="5"/>
    <n v="0"/>
    <n v="5"/>
    <x v="14"/>
    <n v="190"/>
    <n v="190"/>
  </r>
  <r>
    <x v="79"/>
    <s v="MOHAMMED NAFIH BA"/>
    <s v="BADF"/>
    <s v="JUNIOR"/>
    <x v="2"/>
    <n v="9"/>
    <n v="0"/>
    <n v="9"/>
    <x v="9"/>
    <n v="139"/>
    <n v="139"/>
  </r>
  <r>
    <x v="80"/>
    <s v="FAKRUDDIN NAFIL"/>
    <s v="FANT"/>
    <s v="JUNIOR"/>
    <x v="2"/>
    <n v="0"/>
    <n v="0"/>
    <n v="0"/>
    <x v="0"/>
    <n v="255"/>
    <n v="255"/>
  </r>
  <r>
    <x v="81"/>
    <s v="HASAN THAMMEEM"/>
    <s v="JARF"/>
    <s v="JUNIOR"/>
    <x v="2"/>
    <n v="14"/>
    <n v="0"/>
    <n v="14"/>
    <x v="2"/>
    <n v="104"/>
    <n v="104"/>
  </r>
  <r>
    <x v="82"/>
    <s v="MUHAMMED ROUHAN M.K"/>
    <s v="BADF"/>
    <s v="JUNIOR"/>
    <x v="2"/>
    <n v="27"/>
    <n v="0"/>
    <n v="27"/>
    <x v="37"/>
    <n v="55"/>
    <n v="55"/>
  </r>
  <r>
    <x v="83"/>
    <s v="MUHAMMED ZAMIL"/>
    <s v="JARF"/>
    <s v="JUNIOR"/>
    <x v="2"/>
    <n v="25"/>
    <n v="0"/>
    <n v="25"/>
    <x v="32"/>
    <n v="60"/>
    <n v="60"/>
  </r>
  <r>
    <x v="84"/>
    <s v="ABDUL RAHIMAN FAIZ T A"/>
    <s v="JARF"/>
    <s v="JUNIOR"/>
    <x v="2"/>
    <n v="15"/>
    <n v="0"/>
    <n v="15"/>
    <x v="5"/>
    <n v="100"/>
    <n v="100"/>
  </r>
  <r>
    <x v="85"/>
    <s v="AHAMMED SAFAR ZAKARIYA"/>
    <s v="DAHF"/>
    <s v="JUNIOR"/>
    <x v="2"/>
    <n v="41"/>
    <n v="0"/>
    <n v="41"/>
    <x v="38"/>
    <n v="21"/>
    <n v="21"/>
  </r>
  <r>
    <x v="86"/>
    <s v="MUHAMMED MUHAZ P A"/>
    <s v="DAHF"/>
    <s v="JUNIOR"/>
    <x v="2"/>
    <n v="17"/>
    <n v="0"/>
    <n v="17"/>
    <x v="12"/>
    <n v="87"/>
    <n v="87"/>
  </r>
  <r>
    <x v="87"/>
    <s v="MUHAMMED SAHEEM ASHRAF"/>
    <s v="FANT"/>
    <s v="JUNIOR"/>
    <x v="2"/>
    <n v="1"/>
    <n v="0"/>
    <n v="1"/>
    <x v="17"/>
    <n v="231"/>
    <n v="231"/>
  </r>
  <r>
    <x v="88"/>
    <s v="SHARAZ AHAMMED"/>
    <s v="FANT"/>
    <s v="JUNIOR"/>
    <x v="2"/>
    <n v="0"/>
    <n v="0"/>
    <n v="0"/>
    <x v="0"/>
    <n v="255"/>
    <n v="255"/>
  </r>
  <r>
    <x v="89"/>
    <s v="MUHAMMED IHTHISHAM P I"/>
    <s v="BADF"/>
    <s v="JUNIOR"/>
    <x v="2"/>
    <n v="18"/>
    <n v="0"/>
    <n v="18"/>
    <x v="34"/>
    <n v="81"/>
    <n v="81"/>
  </r>
  <r>
    <x v="90"/>
    <s v="AMEEN RAHMAN MTP"/>
    <s v="DAHF"/>
    <s v="JUNIOR"/>
    <x v="2"/>
    <n v="6"/>
    <n v="0"/>
    <n v="6"/>
    <x v="1"/>
    <n v="171"/>
    <n v="171"/>
  </r>
  <r>
    <x v="91"/>
    <s v="HASSAN SAHAL N A"/>
    <s v="FANT"/>
    <s v="JUNIOR"/>
    <x v="2"/>
    <n v="9"/>
    <n v="0"/>
    <n v="9"/>
    <x v="9"/>
    <n v="139"/>
    <n v="139"/>
  </r>
  <r>
    <x v="92"/>
    <s v="MOHAMMED SABIK BM"/>
    <s v="JARF"/>
    <s v="JUNIOR"/>
    <x v="2"/>
    <n v="1"/>
    <n v="0"/>
    <n v="1"/>
    <x v="17"/>
    <n v="231"/>
    <n v="231"/>
  </r>
  <r>
    <x v="93"/>
    <s v="MUHAMMAD SABITH V K P"/>
    <s v="BADF"/>
    <s v="JUNIOR"/>
    <x v="2"/>
    <n v="13"/>
    <n v="0"/>
    <n v="13"/>
    <x v="20"/>
    <n v="114"/>
    <n v="114"/>
  </r>
  <r>
    <x v="94"/>
    <s v="Muhammad Muaaz"/>
    <s v="JARF"/>
    <s v="JUNIOR"/>
    <x v="2"/>
    <n v="40"/>
    <n v="0"/>
    <n v="40"/>
    <x v="21"/>
    <n v="23"/>
    <n v="23"/>
  </r>
  <r>
    <x v="95"/>
    <s v="ABDUL SA-AD"/>
    <s v="JARF"/>
    <s v="JUNIOR"/>
    <x v="2"/>
    <n v="1"/>
    <n v="0"/>
    <n v="1"/>
    <x v="17"/>
    <n v="231"/>
    <n v="231"/>
  </r>
  <r>
    <x v="96"/>
    <s v="MOHAMMED RIYAN"/>
    <s v="FANT"/>
    <s v="JUNIOR"/>
    <x v="2"/>
    <n v="10"/>
    <n v="0"/>
    <n v="10"/>
    <x v="10"/>
    <n v="131"/>
    <n v="131"/>
  </r>
  <r>
    <x v="97"/>
    <s v="MOHIDDEEN SHAHSHAD"/>
    <s v="BADF"/>
    <s v="JUNIOR"/>
    <x v="2"/>
    <n v="15"/>
    <n v="0"/>
    <n v="15"/>
    <x v="5"/>
    <n v="100"/>
    <n v="100"/>
  </r>
  <r>
    <x v="98"/>
    <s v="MUHAMMAD FAYIZ B"/>
    <s v="DAHF"/>
    <s v="JUNIOR"/>
    <x v="2"/>
    <n v="15"/>
    <n v="0"/>
    <n v="15"/>
    <x v="5"/>
    <n v="100"/>
    <n v="100"/>
  </r>
  <r>
    <x v="99"/>
    <s v="MUHAMMED YASEEN"/>
    <s v="FANT"/>
    <s v="JUNIOR"/>
    <x v="2"/>
    <n v="16"/>
    <n v="0"/>
    <n v="16"/>
    <x v="35"/>
    <n v="94"/>
    <n v="94"/>
  </r>
  <r>
    <x v="100"/>
    <s v="MOHAMMED RAED. UA"/>
    <s v="DAHF"/>
    <s v="JUNIOR"/>
    <x v="2"/>
    <n v="1"/>
    <n v="0"/>
    <n v="1"/>
    <x v="17"/>
    <n v="231"/>
    <n v="231"/>
  </r>
  <r>
    <x v="101"/>
    <s v="MUHAMMED SHANIFM P"/>
    <s v="DAHF"/>
    <s v="JUNIOR"/>
    <x v="2"/>
    <n v="0"/>
    <n v="0"/>
    <n v="0"/>
    <x v="0"/>
    <n v="255"/>
    <n v="255"/>
  </r>
  <r>
    <x v="102"/>
    <s v="AHAMMED JABIR K H"/>
    <s v="JARF"/>
    <s v="JUNIOR"/>
    <x v="2"/>
    <n v="6"/>
    <n v="0"/>
    <n v="6"/>
    <x v="1"/>
    <n v="171"/>
    <n v="171"/>
  </r>
  <r>
    <x v="103"/>
    <s v="THANSEEHU RAHMAN"/>
    <s v="DAHF"/>
    <s v="JUNIOR"/>
    <x v="2"/>
    <n v="1"/>
    <n v="0"/>
    <n v="1"/>
    <x v="17"/>
    <n v="231"/>
    <n v="231"/>
  </r>
  <r>
    <x v="104"/>
    <s v="MOHAMMED AFNAN"/>
    <s v="BADF"/>
    <s v="JUNIOR"/>
    <x v="2"/>
    <n v="11"/>
    <n v="0"/>
    <n v="11"/>
    <x v="16"/>
    <n v="123"/>
    <n v="123"/>
  </r>
  <r>
    <x v="105"/>
    <s v="MOHAMMED SABITH KU"/>
    <s v="FANT"/>
    <s v="JUNIOR"/>
    <x v="2"/>
    <n v="47"/>
    <n v="0"/>
    <n v="47"/>
    <x v="39"/>
    <n v="16"/>
    <n v="16"/>
  </r>
  <r>
    <x v="106"/>
    <s v="HAFIL ADIL AMANULLAH K K"/>
    <s v="FANT"/>
    <s v="JUNIOR"/>
    <x v="2"/>
    <n v="20"/>
    <n v="0"/>
    <n v="20"/>
    <x v="11"/>
    <n v="74"/>
    <n v="74"/>
  </r>
  <r>
    <x v="107"/>
    <s v="MUHAMMED BASSIM. E"/>
    <s v="JARF"/>
    <s v="JUNIOR"/>
    <x v="2"/>
    <n v="1"/>
    <n v="0"/>
    <n v="1"/>
    <x v="17"/>
    <n v="231"/>
    <n v="231"/>
  </r>
  <r>
    <x v="108"/>
    <s v="MUHAMMED SAEED THUFAIL"/>
    <s v="DAHF"/>
    <s v="JUNIOR"/>
    <x v="2"/>
    <n v="14"/>
    <n v="0"/>
    <n v="14"/>
    <x v="2"/>
    <n v="104"/>
    <n v="104"/>
  </r>
  <r>
    <x v="109"/>
    <s v="MEERAN MOHIUDHEEN RAFIH"/>
    <s v="JARF"/>
    <s v="JUNIOR"/>
    <x v="2"/>
    <n v="6"/>
    <n v="0"/>
    <n v="6"/>
    <x v="1"/>
    <n v="171"/>
    <n v="171"/>
  </r>
  <r>
    <x v="110"/>
    <s v="ABDUL RAHIMAN AZAAN"/>
    <s v="JARF"/>
    <s v="JUNIOR"/>
    <x v="2"/>
    <n v="35"/>
    <n v="0"/>
    <n v="35"/>
    <x v="22"/>
    <n v="32"/>
    <n v="32"/>
  </r>
  <r>
    <x v="111"/>
    <s v="MOHAMMED RAFIH M R"/>
    <s v="FANT"/>
    <s v="JUNIOR"/>
    <x v="2"/>
    <n v="28"/>
    <n v="0"/>
    <n v="28"/>
    <x v="31"/>
    <n v="51"/>
    <n v="51"/>
  </r>
  <r>
    <x v="112"/>
    <s v="MUHAMMAD MIJVAD K"/>
    <s v="BADF"/>
    <s v="JUNIOR"/>
    <x v="2"/>
    <n v="12"/>
    <n v="0"/>
    <n v="12"/>
    <x v="40"/>
    <n v="119"/>
    <n v="119"/>
  </r>
  <r>
    <x v="113"/>
    <s v="MOHAMMAD IJAN"/>
    <s v="BADF"/>
    <s v="JUNIOR"/>
    <x v="2"/>
    <n v="6"/>
    <n v="0"/>
    <n v="6"/>
    <x v="1"/>
    <n v="171"/>
    <n v="171"/>
  </r>
  <r>
    <x v="114"/>
    <s v="HABEEB RAHMAN CA"/>
    <s v="BADF"/>
    <s v="JUNIOR"/>
    <x v="2"/>
    <n v="2"/>
    <n v="0"/>
    <n v="2"/>
    <x v="41"/>
    <n v="224"/>
    <n v="224"/>
  </r>
  <r>
    <x v="115"/>
    <s v="Muhammad"/>
    <s v="DAHF"/>
    <s v="JUNIOR"/>
    <x v="2"/>
    <n v="8"/>
    <n v="0"/>
    <n v="8"/>
    <x v="6"/>
    <n v="147"/>
    <n v="147"/>
  </r>
  <r>
    <x v="116"/>
    <s v="MOHAMMED SHAHID"/>
    <s v="BADF"/>
    <s v="JUNIOR"/>
    <x v="3"/>
    <n v="7"/>
    <n v="0"/>
    <n v="7"/>
    <x v="42"/>
    <n v="167"/>
    <n v="167"/>
  </r>
  <r>
    <x v="117"/>
    <s v="RAFNAS P"/>
    <s v="FANT"/>
    <s v="JUNIOR"/>
    <x v="3"/>
    <n v="1"/>
    <n v="0"/>
    <n v="1"/>
    <x v="17"/>
    <n v="231"/>
    <n v="231"/>
  </r>
  <r>
    <x v="118"/>
    <s v="MUHAMMED HAMDAN A.P"/>
    <s v="BADF"/>
    <s v="JUNIOR"/>
    <x v="3"/>
    <n v="33"/>
    <n v="0"/>
    <n v="33"/>
    <x v="43"/>
    <n v="37"/>
    <n v="37"/>
  </r>
  <r>
    <x v="119"/>
    <s v="MOHAMMED SHADIL AP"/>
    <s v="FANT"/>
    <s v="JUNIOR"/>
    <x v="3"/>
    <n v="29"/>
    <n v="0"/>
    <n v="29"/>
    <x v="44"/>
    <n v="50"/>
    <n v="50"/>
  </r>
  <r>
    <x v="120"/>
    <s v="MUHAMMED NAFIH CI"/>
    <s v="FANT"/>
    <s v="JUNIOR"/>
    <x v="3"/>
    <n v="28"/>
    <n v="0"/>
    <n v="28"/>
    <x v="31"/>
    <n v="51"/>
    <n v="51"/>
  </r>
  <r>
    <x v="121"/>
    <s v="YASEEN NOORULLA PH"/>
    <s v="FANT"/>
    <s v="JUNIOR"/>
    <x v="3"/>
    <n v="17"/>
    <n v="0"/>
    <n v="17"/>
    <x v="12"/>
    <n v="87"/>
    <n v="87"/>
  </r>
  <r>
    <x v="122"/>
    <s v="WASEEM NIHAD A M"/>
    <s v="BADF"/>
    <s v="JUNIOR"/>
    <x v="3"/>
    <n v="34"/>
    <n v="0"/>
    <n v="34"/>
    <x v="45"/>
    <n v="34"/>
    <n v="34"/>
  </r>
  <r>
    <x v="123"/>
    <s v="MOHAMMED SHAMEEM B K"/>
    <s v="JARF"/>
    <s v="JUNIOR"/>
    <x v="3"/>
    <n v="8"/>
    <n v="0"/>
    <n v="8"/>
    <x v="6"/>
    <n v="147"/>
    <n v="147"/>
  </r>
  <r>
    <x v="124"/>
    <s v="MOHAMMED BAQIR TS"/>
    <s v="JARF"/>
    <s v="JUNIOR"/>
    <x v="3"/>
    <n v="3"/>
    <n v="0"/>
    <n v="3"/>
    <x v="7"/>
    <n v="209"/>
    <n v="209"/>
  </r>
  <r>
    <x v="125"/>
    <s v="MUHAMMED FARHAN PH"/>
    <s v="DAHF"/>
    <s v="JUNIOR"/>
    <x v="3"/>
    <n v="22.5"/>
    <n v="0"/>
    <n v="22.5"/>
    <x v="46"/>
    <n v="71"/>
    <n v="71"/>
  </r>
  <r>
    <x v="126"/>
    <s v="ABDULLA FAHAD T.U"/>
    <s v="FANT"/>
    <s v="JUNIOR"/>
    <x v="3"/>
    <n v="3"/>
    <n v="0"/>
    <n v="3"/>
    <x v="7"/>
    <n v="209"/>
    <n v="209"/>
  </r>
  <r>
    <x v="127"/>
    <s v="ABDUL GAFOOR"/>
    <s v="BADF"/>
    <s v="JUNIOR"/>
    <x v="3"/>
    <n v="3"/>
    <n v="0"/>
    <n v="3"/>
    <x v="7"/>
    <n v="209"/>
    <n v="209"/>
  </r>
  <r>
    <x v="128"/>
    <s v="MUHAMMED MUNAZIR MM"/>
    <s v="JARF"/>
    <s v="JUNIOR"/>
    <x v="3"/>
    <n v="18.5"/>
    <n v="0"/>
    <n v="18.5"/>
    <x v="47"/>
    <n v="80"/>
    <n v="80"/>
  </r>
  <r>
    <x v="129"/>
    <s v="ABDUL KHADER ISHAQUE"/>
    <s v="BADF"/>
    <s v="JUNIOR"/>
    <x v="3"/>
    <n v="14"/>
    <n v="0"/>
    <n v="14"/>
    <x v="2"/>
    <n v="104"/>
    <n v="104"/>
  </r>
  <r>
    <x v="130"/>
    <s v="ABDULLA ALBAS"/>
    <s v="DAHF"/>
    <s v="JUNIOR"/>
    <x v="3"/>
    <n v="31"/>
    <n v="0"/>
    <n v="31"/>
    <x v="33"/>
    <n v="42"/>
    <n v="42"/>
  </r>
  <r>
    <x v="131"/>
    <s v="MUHAMMED A"/>
    <s v="DAHF"/>
    <s v="JUNIOR"/>
    <x v="3"/>
    <n v="8"/>
    <n v="0"/>
    <n v="8"/>
    <x v="6"/>
    <n v="147"/>
    <n v="147"/>
  </r>
  <r>
    <x v="132"/>
    <s v="MOHAMMED ANAS A.A"/>
    <s v="JARF"/>
    <s v="JUNIOR"/>
    <x v="3"/>
    <n v="0"/>
    <n v="0"/>
    <n v="0"/>
    <x v="0"/>
    <n v="255"/>
    <n v="255"/>
  </r>
  <r>
    <x v="133"/>
    <s v="MUHAMMED MIHRAZ"/>
    <s v="FANT"/>
    <s v="JUNIOR"/>
    <x v="3"/>
    <n v="14"/>
    <n v="0"/>
    <n v="14"/>
    <x v="2"/>
    <n v="104"/>
    <n v="104"/>
  </r>
  <r>
    <x v="134"/>
    <s v="FADIL MOHAMMED K M"/>
    <s v="DAHF"/>
    <s v="JUNIOR"/>
    <x v="3"/>
    <n v="24"/>
    <n v="0"/>
    <n v="24"/>
    <x v="19"/>
    <n v="64"/>
    <n v="64"/>
  </r>
  <r>
    <x v="135"/>
    <s v="AJMAL AHMED MT"/>
    <s v="DAHF"/>
    <s v="JUNIOR"/>
    <x v="3"/>
    <n v="12"/>
    <n v="0"/>
    <n v="12"/>
    <x v="40"/>
    <n v="119"/>
    <n v="119"/>
  </r>
  <r>
    <x v="136"/>
    <s v="MOHAMMED DAWOOD K"/>
    <s v="JARF"/>
    <s v="JUNIOR"/>
    <x v="3"/>
    <n v="9"/>
    <n v="0"/>
    <n v="9"/>
    <x v="9"/>
    <n v="139"/>
    <n v="139"/>
  </r>
  <r>
    <x v="137"/>
    <s v="MUHAMMED RAZI TM"/>
    <s v="DAHF"/>
    <s v="JUNIOR"/>
    <x v="3"/>
    <n v="8"/>
    <n v="0"/>
    <n v="8"/>
    <x v="6"/>
    <n v="147"/>
    <n v="147"/>
  </r>
  <r>
    <x v="138"/>
    <s v="RAYHAN PH"/>
    <s v="JARF"/>
    <s v="JUNIOR"/>
    <x v="3"/>
    <n v="17"/>
    <n v="0"/>
    <n v="17"/>
    <x v="12"/>
    <n v="87"/>
    <n v="87"/>
  </r>
  <r>
    <x v="139"/>
    <s v="MOHAMMED YOUNUS"/>
    <s v="JARF"/>
    <s v="JUNIOR"/>
    <x v="3"/>
    <n v="38"/>
    <n v="0"/>
    <n v="38"/>
    <x v="8"/>
    <n v="26"/>
    <n v="26"/>
  </r>
  <r>
    <x v="140"/>
    <s v="RASALUL AMEEN T"/>
    <s v="BADF"/>
    <s v="JUNIOR"/>
    <x v="3"/>
    <n v="33"/>
    <n v="0"/>
    <n v="33"/>
    <x v="43"/>
    <n v="37"/>
    <n v="37"/>
  </r>
  <r>
    <x v="141"/>
    <s v="IBRAHIM AFIL"/>
    <s v="DAHF"/>
    <s v="SENIOR"/>
    <x v="4"/>
    <n v="0"/>
    <n v="0"/>
    <n v="0"/>
    <x v="0"/>
    <n v="255"/>
    <n v="255"/>
  </r>
  <r>
    <x v="142"/>
    <s v="MUHAMMED KASHIF"/>
    <s v="FANT"/>
    <s v="SENIOR"/>
    <x v="4"/>
    <n v="2"/>
    <n v="0"/>
    <n v="2"/>
    <x v="41"/>
    <n v="224"/>
    <n v="224"/>
  </r>
  <r>
    <x v="143"/>
    <s v="AHAMMED MAHSHOOK M.B"/>
    <s v="DAHF"/>
    <s v="SENIOR"/>
    <x v="4"/>
    <n v="9"/>
    <n v="0"/>
    <n v="9"/>
    <x v="9"/>
    <n v="139"/>
    <n v="139"/>
  </r>
  <r>
    <x v="144"/>
    <s v="MUHAMMED ABDUL KADER"/>
    <s v="BADF"/>
    <s v="SENIOR"/>
    <x v="4"/>
    <n v="30"/>
    <n v="0"/>
    <n v="30"/>
    <x v="27"/>
    <n v="48"/>
    <n v="48"/>
  </r>
  <r>
    <x v="145"/>
    <s v="HADIL RIJAS"/>
    <s v="BADF"/>
    <s v="SENIOR"/>
    <x v="4"/>
    <n v="23"/>
    <n v="0"/>
    <n v="23"/>
    <x v="18"/>
    <n v="68"/>
    <n v="68"/>
  </r>
  <r>
    <x v="146"/>
    <s v="AHMAD MANAL KUDINGILA"/>
    <s v="JARF"/>
    <s v="SENIOR"/>
    <x v="4"/>
    <n v="0"/>
    <n v="0"/>
    <n v="0"/>
    <x v="0"/>
    <n v="255"/>
    <n v="255"/>
  </r>
  <r>
    <x v="147"/>
    <s v="ABDUL RAHMAN ANFHAL M I"/>
    <s v="BADF"/>
    <s v="SENIOR"/>
    <x v="4"/>
    <n v="5"/>
    <n v="0"/>
    <n v="5"/>
    <x v="14"/>
    <n v="190"/>
    <n v="190"/>
  </r>
  <r>
    <x v="148"/>
    <s v="ADIL ABDULLA A"/>
    <s v="DAHF"/>
    <s v="SENIOR"/>
    <x v="4"/>
    <n v="31"/>
    <n v="0"/>
    <n v="31"/>
    <x v="33"/>
    <n v="42"/>
    <n v="42"/>
  </r>
  <r>
    <x v="149"/>
    <s v="ABDULLA SALMAN FARIS M"/>
    <s v="FANT"/>
    <s v="SENIOR"/>
    <x v="4"/>
    <n v="5"/>
    <n v="0"/>
    <n v="5"/>
    <x v="14"/>
    <n v="190"/>
    <n v="190"/>
  </r>
  <r>
    <x v="150"/>
    <s v="ABDULLA FARHAN M"/>
    <s v="BADF"/>
    <s v="SENIOR"/>
    <x v="4"/>
    <n v="8"/>
    <n v="0"/>
    <n v="8"/>
    <x v="6"/>
    <n v="147"/>
    <n v="147"/>
  </r>
  <r>
    <x v="151"/>
    <s v="SHADIL AHAMED"/>
    <s v="DAHF"/>
    <s v="SENIOR"/>
    <x v="4"/>
    <n v="3"/>
    <n v="0"/>
    <n v="3"/>
    <x v="7"/>
    <n v="209"/>
    <n v="209"/>
  </r>
  <r>
    <x v="152"/>
    <s v="MUHAMMAD ISMAIL HAMDULLA V K"/>
    <s v="JARF"/>
    <s v="SENIOR"/>
    <x v="4"/>
    <n v="34"/>
    <n v="0"/>
    <n v="34"/>
    <x v="45"/>
    <n v="34"/>
    <n v="34"/>
  </r>
  <r>
    <x v="153"/>
    <s v="MOHAMMED SA'DUDDEEN K"/>
    <s v="FANT"/>
    <s v="SENIOR"/>
    <x v="4"/>
    <n v="31"/>
    <n v="0"/>
    <n v="31"/>
    <x v="33"/>
    <n v="42"/>
    <n v="42"/>
  </r>
  <r>
    <x v="154"/>
    <s v="SEYYAD MUHAMMED FAHMAN"/>
    <s v="JARF"/>
    <s v="SENIOR"/>
    <x v="4"/>
    <n v="4"/>
    <n v="0"/>
    <n v="4"/>
    <x v="26"/>
    <n v="197"/>
    <n v="197"/>
  </r>
  <r>
    <x v="155"/>
    <s v="AJMAL RUWAIS"/>
    <s v="BADF"/>
    <s v="SENIOR"/>
    <x v="4"/>
    <n v="10.5"/>
    <n v="0"/>
    <n v="10.5"/>
    <x v="48"/>
    <n v="130"/>
    <n v="130"/>
  </r>
  <r>
    <x v="156"/>
    <s v="MOHAMMED ABDUL KHADER K"/>
    <s v="FANT"/>
    <s v="SENIOR"/>
    <x v="4"/>
    <n v="0"/>
    <n v="0"/>
    <n v="0"/>
    <x v="0"/>
    <n v="255"/>
    <n v="255"/>
  </r>
  <r>
    <x v="157"/>
    <s v="MUAHMMED ANAS P A"/>
    <s v="JARF"/>
    <s v="SENIOR"/>
    <x v="4"/>
    <n v="1"/>
    <n v="0"/>
    <n v="1"/>
    <x v="17"/>
    <n v="231"/>
    <n v="231"/>
  </r>
  <r>
    <x v="158"/>
    <s v="Muhammed fahiz A K"/>
    <s v="DAHF"/>
    <s v="SENIOR"/>
    <x v="4"/>
    <n v="0"/>
    <n v="0"/>
    <n v="0"/>
    <x v="0"/>
    <n v="255"/>
    <n v="255"/>
  </r>
  <r>
    <x v="159"/>
    <s v="MUHAMMAD SHAMMAS"/>
    <s v="FANT"/>
    <s v="SENIOR"/>
    <x v="4"/>
    <n v="8"/>
    <n v="0"/>
    <n v="8"/>
    <x v="6"/>
    <n v="147"/>
    <n v="147"/>
  </r>
  <r>
    <x v="160"/>
    <s v="ARIFUDEEN ABBAS A"/>
    <s v="JARF"/>
    <s v="SENIOR"/>
    <x v="4"/>
    <n v="1"/>
    <n v="0"/>
    <n v="1"/>
    <x v="17"/>
    <n v="231"/>
    <n v="231"/>
  </r>
  <r>
    <x v="161"/>
    <s v="MAJID MUHAMMED M"/>
    <s v="DAHF"/>
    <s v="SENIOR"/>
    <x v="4"/>
    <n v="26"/>
    <n v="0"/>
    <n v="26"/>
    <x v="49"/>
    <n v="58"/>
    <n v="58"/>
  </r>
  <r>
    <x v="162"/>
    <s v="ABDUL SALAM ARIF"/>
    <s v="JARF"/>
    <s v="SENIOR"/>
    <x v="4"/>
    <n v="4"/>
    <n v="0"/>
    <n v="4"/>
    <x v="26"/>
    <n v="197"/>
    <n v="197"/>
  </r>
  <r>
    <x v="163"/>
    <s v="MOHAMMED K H"/>
    <s v="BADF"/>
    <s v="SENIOR"/>
    <x v="4"/>
    <n v="0"/>
    <n v="0"/>
    <n v="0"/>
    <x v="0"/>
    <n v="255"/>
    <n v="255"/>
  </r>
  <r>
    <x v="164"/>
    <s v="MOHAMMED FAQRUDDEEN RAZI"/>
    <s v="BADF"/>
    <s v="SENIOR"/>
    <x v="4"/>
    <n v="1"/>
    <n v="0"/>
    <n v="1"/>
    <x v="17"/>
    <n v="231"/>
    <n v="231"/>
  </r>
  <r>
    <x v="165"/>
    <s v="MOHAMMED MUBASHIR"/>
    <s v="BADF"/>
    <s v="SENIOR"/>
    <x v="4"/>
    <n v="2"/>
    <n v="0"/>
    <n v="2"/>
    <x v="41"/>
    <n v="224"/>
    <n v="224"/>
  </r>
  <r>
    <x v="166"/>
    <s v="AHAMMED MINHAJ E M"/>
    <s v="FANT"/>
    <s v="SENIOR"/>
    <x v="4"/>
    <n v="14"/>
    <n v="0"/>
    <n v="14"/>
    <x v="2"/>
    <n v="104"/>
    <n v="104"/>
  </r>
  <r>
    <x v="167"/>
    <s v="ADNAN ABDULLAH B A"/>
    <s v="JARF"/>
    <s v="SENIOR"/>
    <x v="4"/>
    <n v="1"/>
    <n v="0"/>
    <n v="1"/>
    <x v="17"/>
    <n v="231"/>
    <n v="231"/>
  </r>
  <r>
    <x v="168"/>
    <s v="SHAMMAZ P A"/>
    <s v="FANT"/>
    <s v="SENIOR"/>
    <x v="4"/>
    <n v="13"/>
    <n v="0"/>
    <n v="13"/>
    <x v="20"/>
    <n v="114"/>
    <n v="114"/>
  </r>
  <r>
    <x v="169"/>
    <s v="MAHIN SINAN"/>
    <s v="DAHF"/>
    <s v="SENIOR"/>
    <x v="4"/>
    <n v="0"/>
    <n v="0"/>
    <n v="0"/>
    <x v="0"/>
    <n v="255"/>
    <n v="255"/>
  </r>
  <r>
    <x v="170"/>
    <s v="P K ZAMEEL AHMED"/>
    <s v="BADF"/>
    <s v="SENIOR"/>
    <x v="4"/>
    <n v="6"/>
    <n v="0"/>
    <n v="6"/>
    <x v="1"/>
    <n v="171"/>
    <n v="171"/>
  </r>
  <r>
    <x v="171"/>
    <s v="MOHAMMED HISHAM"/>
    <s v="DAHF"/>
    <s v="SENIOR"/>
    <x v="4"/>
    <n v="0"/>
    <n v="0"/>
    <n v="0"/>
    <x v="0"/>
    <n v="255"/>
    <n v="255"/>
  </r>
  <r>
    <x v="172"/>
    <s v="IBRAHIM AHRAZ"/>
    <s v="FANT"/>
    <s v="SENIOR"/>
    <x v="5"/>
    <n v="6"/>
    <n v="0"/>
    <n v="6"/>
    <x v="1"/>
    <n v="171"/>
    <n v="171"/>
  </r>
  <r>
    <x v="173"/>
    <s v="MUHAMMAD SHAZIN"/>
    <s v="BADF"/>
    <s v="SENIOR"/>
    <x v="5"/>
    <n v="1"/>
    <n v="0"/>
    <n v="1"/>
    <x v="17"/>
    <n v="231"/>
    <n v="231"/>
  </r>
  <r>
    <x v="174"/>
    <s v="SALMANUL FARIS"/>
    <s v="DAHF"/>
    <s v="SENIOR"/>
    <x v="5"/>
    <n v="51"/>
    <n v="0"/>
    <n v="51"/>
    <x v="50"/>
    <n v="13"/>
    <n v="13"/>
  </r>
  <r>
    <x v="175"/>
    <s v="MUHAMMED ABDUL NASIF P.A"/>
    <s v="FANT"/>
    <s v="SENIOR"/>
    <x v="5"/>
    <n v="0"/>
    <n v="0"/>
    <n v="0"/>
    <x v="0"/>
    <n v="255"/>
    <n v="255"/>
  </r>
  <r>
    <x v="176"/>
    <s v="AHAMAD SHABAB P A"/>
    <s v="JARF"/>
    <s v="SENIOR"/>
    <x v="5"/>
    <n v="73"/>
    <n v="0"/>
    <n v="73"/>
    <x v="51"/>
    <n v="2"/>
    <n v="2"/>
  </r>
  <r>
    <x v="177"/>
    <s v="MOHAMMED SHAKIR HUSSAIN K.Y"/>
    <s v="DAHF"/>
    <s v="SENIOR"/>
    <x v="5"/>
    <n v="72"/>
    <n v="0"/>
    <n v="72"/>
    <x v="52"/>
    <n v="3"/>
    <n v="3"/>
  </r>
  <r>
    <x v="178"/>
    <s v="MUHAMMED SHUHAIB S"/>
    <s v="FANT"/>
    <s v="SENIOR"/>
    <x v="5"/>
    <n v="0"/>
    <n v="0"/>
    <n v="0"/>
    <x v="0"/>
    <n v="255"/>
    <n v="255"/>
  </r>
  <r>
    <x v="179"/>
    <s v="MOHAMMED MOINUDDEEN CHISTY"/>
    <s v="FANT"/>
    <s v="SENIOR"/>
    <x v="5"/>
    <n v="8"/>
    <n v="0"/>
    <n v="8"/>
    <x v="6"/>
    <n v="147"/>
    <n v="147"/>
  </r>
  <r>
    <x v="180"/>
    <s v="SULAIMAN FAHAD AP"/>
    <s v="BADF"/>
    <s v="SENIOR"/>
    <x v="5"/>
    <n v="1"/>
    <n v="0"/>
    <n v="1"/>
    <x v="17"/>
    <n v="231"/>
    <n v="231"/>
  </r>
  <r>
    <x v="181"/>
    <s v="IJAS EBRAHIM"/>
    <s v="JARF"/>
    <s v="SENIOR"/>
    <x v="5"/>
    <n v="7"/>
    <n v="0"/>
    <n v="7"/>
    <x v="42"/>
    <n v="167"/>
    <n v="167"/>
  </r>
  <r>
    <x v="182"/>
    <s v="AHMAD MINHAJ"/>
    <s v="BADF"/>
    <s v="SENIOR"/>
    <x v="5"/>
    <n v="8"/>
    <n v="0"/>
    <n v="8"/>
    <x v="6"/>
    <n v="147"/>
    <n v="147"/>
  </r>
  <r>
    <x v="183"/>
    <s v="AHMAD AMEEN T S"/>
    <s v="FANT"/>
    <s v="SENIOR"/>
    <x v="5"/>
    <n v="4"/>
    <n v="0"/>
    <n v="4"/>
    <x v="26"/>
    <n v="197"/>
    <n v="197"/>
  </r>
  <r>
    <x v="184"/>
    <s v="MUHAMMED SINAN M"/>
    <s v="JARF"/>
    <s v="SENIOR"/>
    <x v="5"/>
    <n v="10"/>
    <n v="0"/>
    <n v="10"/>
    <x v="10"/>
    <n v="131"/>
    <n v="131"/>
  </r>
  <r>
    <x v="185"/>
    <s v="MUHAMMED ASHKKAR ALI"/>
    <s v="DAHF"/>
    <s v="SENIOR"/>
    <x v="5"/>
    <n v="2"/>
    <n v="0"/>
    <n v="2"/>
    <x v="41"/>
    <n v="224"/>
    <n v="224"/>
  </r>
  <r>
    <x v="186"/>
    <s v="SHAMEEL AHAMMED P"/>
    <s v="BADF"/>
    <s v="SENIOR"/>
    <x v="5"/>
    <n v="38"/>
    <n v="0"/>
    <n v="38"/>
    <x v="8"/>
    <n v="26"/>
    <n v="26"/>
  </r>
  <r>
    <x v="187"/>
    <s v="IMRAN HUSSAIN TI"/>
    <s v="JARF"/>
    <s v="SENIOR"/>
    <x v="5"/>
    <n v="2"/>
    <n v="0"/>
    <n v="2"/>
    <x v="41"/>
    <n v="224"/>
    <n v="224"/>
  </r>
  <r>
    <x v="188"/>
    <s v="AHAMED ZAKI FOUZAN T.Z"/>
    <s v="JARF"/>
    <s v="SENIOR"/>
    <x v="5"/>
    <n v="11"/>
    <n v="0"/>
    <n v="11"/>
    <x v="16"/>
    <n v="123"/>
    <n v="123"/>
  </r>
  <r>
    <x v="189"/>
    <s v="MUHAMMED SHABEEB"/>
    <s v="BADF"/>
    <s v="SENIOR"/>
    <x v="5"/>
    <n v="20"/>
    <n v="0"/>
    <n v="20"/>
    <x v="11"/>
    <n v="74"/>
    <n v="74"/>
  </r>
  <r>
    <x v="190"/>
    <s v="ABDUL BAAIS N.A"/>
    <s v="FANT"/>
    <s v="SENIOR"/>
    <x v="5"/>
    <n v="6"/>
    <n v="0"/>
    <n v="6"/>
    <x v="1"/>
    <n v="171"/>
    <n v="171"/>
  </r>
  <r>
    <x v="191"/>
    <s v="MUHAMMED PK"/>
    <s v="DAHF"/>
    <s v="SENIOR"/>
    <x v="5"/>
    <n v="14"/>
    <n v="0"/>
    <n v="14"/>
    <x v="2"/>
    <n v="104"/>
    <n v="104"/>
  </r>
  <r>
    <x v="192"/>
    <s v="MOHAMMED ASHMIL K A"/>
    <s v="JARF"/>
    <s v="SENIOR"/>
    <x v="5"/>
    <n v="6"/>
    <n v="0"/>
    <n v="6"/>
    <x v="1"/>
    <n v="171"/>
    <n v="171"/>
  </r>
  <r>
    <x v="193"/>
    <s v="MUHAMMED SABITH ALI TM"/>
    <s v="JARF"/>
    <s v="SENIOR"/>
    <x v="5"/>
    <n v="6"/>
    <n v="0"/>
    <n v="6"/>
    <x v="1"/>
    <n v="171"/>
    <n v="171"/>
  </r>
  <r>
    <x v="194"/>
    <s v="MUHAMMED AHMASH K"/>
    <s v="DAHF"/>
    <s v="SENIOR"/>
    <x v="5"/>
    <n v="4"/>
    <n v="0"/>
    <n v="4"/>
    <x v="26"/>
    <n v="197"/>
    <n v="197"/>
  </r>
  <r>
    <x v="195"/>
    <s v="MOHAMMED RAZEEN S.P"/>
    <s v="DAHF"/>
    <s v="SENIOR"/>
    <x v="5"/>
    <n v="26.5"/>
    <n v="0"/>
    <n v="26.5"/>
    <x v="3"/>
    <n v="56"/>
    <n v="56"/>
  </r>
  <r>
    <x v="196"/>
    <s v="HASSAN ZARKASH"/>
    <s v="FANT"/>
    <s v="SENIOR"/>
    <x v="5"/>
    <n v="33"/>
    <n v="0"/>
    <n v="33"/>
    <x v="43"/>
    <n v="37"/>
    <n v="37"/>
  </r>
  <r>
    <x v="197"/>
    <s v="ABDULLA RAMSHAD"/>
    <s v="FANT"/>
    <s v="SENIOR"/>
    <x v="5"/>
    <n v="14"/>
    <n v="0"/>
    <n v="14"/>
    <x v="2"/>
    <n v="104"/>
    <n v="104"/>
  </r>
  <r>
    <x v="198"/>
    <s v="HASAN YASIR"/>
    <s v="BADF"/>
    <s v="SENIOR"/>
    <x v="5"/>
    <n v="1"/>
    <n v="0"/>
    <n v="1"/>
    <x v="17"/>
    <n v="231"/>
    <n v="231"/>
  </r>
  <r>
    <x v="199"/>
    <s v="ABDUL FATHAH AHAMMED C"/>
    <s v="DAHF"/>
    <s v="SENIOR"/>
    <x v="5"/>
    <n v="6"/>
    <n v="0"/>
    <n v="6"/>
    <x v="1"/>
    <n v="171"/>
    <n v="171"/>
  </r>
  <r>
    <x v="200"/>
    <s v="MUHAMMED KAIF BS"/>
    <s v="BADF"/>
    <s v="SENIOR"/>
    <x v="5"/>
    <n v="12"/>
    <n v="0"/>
    <n v="12"/>
    <x v="40"/>
    <n v="119"/>
    <n v="119"/>
  </r>
  <r>
    <x v="201"/>
    <s v="AJMAL AM"/>
    <s v="BADF"/>
    <s v="SENIOR"/>
    <x v="6"/>
    <n v="3"/>
    <n v="0"/>
    <n v="3"/>
    <x v="7"/>
    <n v="209"/>
    <n v="209"/>
  </r>
  <r>
    <x v="202"/>
    <s v="MOHAMMED ABDUL KHADER NABAVI E A"/>
    <s v="DAHF"/>
    <s v="SENIOR"/>
    <x v="6"/>
    <n v="0"/>
    <n v="0"/>
    <n v="0"/>
    <x v="0"/>
    <n v="255"/>
    <n v="255"/>
  </r>
  <r>
    <x v="203"/>
    <s v="MUHAMMAD K.A"/>
    <s v="FANT"/>
    <s v="SENIOR"/>
    <x v="6"/>
    <n v="11"/>
    <n v="0"/>
    <n v="11"/>
    <x v="16"/>
    <n v="123"/>
    <n v="123"/>
  </r>
  <r>
    <x v="204"/>
    <s v="MOHAMMED SAHEED A.K"/>
    <s v="JARF"/>
    <s v="SENIOR"/>
    <x v="6"/>
    <n v="12"/>
    <n v="0"/>
    <n v="12"/>
    <x v="40"/>
    <n v="119"/>
    <n v="119"/>
  </r>
  <r>
    <x v="205"/>
    <s v="AHMED FAHEEM MA"/>
    <s v="FANT"/>
    <s v="SENIOR"/>
    <x v="6"/>
    <n v="9"/>
    <n v="0"/>
    <n v="9"/>
    <x v="9"/>
    <n v="139"/>
    <n v="139"/>
  </r>
  <r>
    <x v="206"/>
    <s v="MUHAMMAD IBN AHMAD"/>
    <s v="JARF"/>
    <s v="SENIOR"/>
    <x v="6"/>
    <n v="52"/>
    <n v="0"/>
    <n v="52"/>
    <x v="53"/>
    <n v="11"/>
    <n v="11"/>
  </r>
  <r>
    <x v="207"/>
    <s v="RESWAN"/>
    <s v="DAHF"/>
    <s v="SENIOR"/>
    <x v="6"/>
    <n v="14"/>
    <n v="0"/>
    <n v="14"/>
    <x v="2"/>
    <n v="104"/>
    <n v="104"/>
  </r>
  <r>
    <x v="208"/>
    <s v="MUHAMMED MUJTHABA MK"/>
    <s v="JARF"/>
    <s v="SENIOR"/>
    <x v="6"/>
    <n v="18"/>
    <n v="0"/>
    <n v="18"/>
    <x v="34"/>
    <n v="81"/>
    <n v="81"/>
  </r>
  <r>
    <x v="209"/>
    <s v="MUHAMMED SHAHAN P.S"/>
    <s v="FANT"/>
    <s v="SENIOR"/>
    <x v="6"/>
    <n v="41"/>
    <n v="0"/>
    <n v="41"/>
    <x v="38"/>
    <n v="21"/>
    <n v="21"/>
  </r>
  <r>
    <x v="210"/>
    <s v="MOHAMMED THAJUDDEEN A R P"/>
    <s v="BADF"/>
    <s v="SENIOR"/>
    <x v="6"/>
    <n v="0"/>
    <n v="0"/>
    <n v="0"/>
    <x v="0"/>
    <n v="255"/>
    <n v="255"/>
  </r>
  <r>
    <x v="211"/>
    <s v="RUMAIZALI R IBRAHIM"/>
    <s v="BADF"/>
    <s v="SENIOR"/>
    <x v="6"/>
    <n v="52"/>
    <n v="0"/>
    <n v="52"/>
    <x v="53"/>
    <n v="11"/>
    <n v="11"/>
  </r>
  <r>
    <x v="212"/>
    <s v="MUHAMMED THASLEEM"/>
    <s v="BADF"/>
    <s v="SENIOR"/>
    <x v="6"/>
    <n v="23"/>
    <n v="0"/>
    <n v="23"/>
    <x v="18"/>
    <n v="68"/>
    <n v="68"/>
  </r>
  <r>
    <x v="213"/>
    <s v="AHAMED SHAMMAS C.M"/>
    <s v="DAHF"/>
    <s v="SENIOR"/>
    <x v="6"/>
    <n v="11"/>
    <n v="0"/>
    <n v="11"/>
    <x v="16"/>
    <n v="123"/>
    <n v="123"/>
  </r>
  <r>
    <x v="214"/>
    <s v="ABDUL HADIL P.M"/>
    <s v="FANT"/>
    <s v="SENIOR"/>
    <x v="6"/>
    <n v="32"/>
    <n v="0"/>
    <n v="32"/>
    <x v="54"/>
    <n v="40"/>
    <n v="40"/>
  </r>
  <r>
    <x v="215"/>
    <s v="MUHAMMAD MUSTHAFA K.M"/>
    <s v="BADF"/>
    <s v="SENIOR"/>
    <x v="6"/>
    <n v="34"/>
    <n v="0"/>
    <n v="34"/>
    <x v="45"/>
    <n v="34"/>
    <n v="34"/>
  </r>
  <r>
    <x v="216"/>
    <s v="ABDULLAH MAZIN"/>
    <s v="JARF"/>
    <s v="SENIOR"/>
    <x v="6"/>
    <n v="8"/>
    <n v="0"/>
    <n v="8"/>
    <x v="6"/>
    <n v="147"/>
    <n v="147"/>
  </r>
  <r>
    <x v="217"/>
    <s v="MUHAMMED T A"/>
    <s v="FANT"/>
    <s v="SENIOR"/>
    <x v="6"/>
    <n v="17"/>
    <n v="0"/>
    <n v="17"/>
    <x v="12"/>
    <n v="87"/>
    <n v="87"/>
  </r>
  <r>
    <x v="218"/>
    <s v="MOHAMMED HUSSAIN"/>
    <s v="DAHF"/>
    <s v="SENIOR"/>
    <x v="6"/>
    <n v="0"/>
    <n v="0"/>
    <n v="0"/>
    <x v="0"/>
    <n v="255"/>
    <n v="255"/>
  </r>
  <r>
    <x v="219"/>
    <s v="MUHAMMED ZAYAN N.S"/>
    <s v="JARF"/>
    <s v="SENIOR"/>
    <x v="6"/>
    <n v="8"/>
    <n v="0"/>
    <n v="8"/>
    <x v="6"/>
    <n v="147"/>
    <n v="147"/>
  </r>
  <r>
    <x v="220"/>
    <s v="MUHAMMED FARHAN"/>
    <s v="DAHF"/>
    <s v="SENIOR"/>
    <x v="6"/>
    <n v="16"/>
    <n v="0"/>
    <n v="16"/>
    <x v="35"/>
    <n v="94"/>
    <n v="94"/>
  </r>
  <r>
    <x v="221"/>
    <s v="MOHAMMED RAZI"/>
    <s v="JARF"/>
    <s v="SUPER SENIOR"/>
    <x v="7"/>
    <n v="4"/>
    <n v="0"/>
    <n v="4"/>
    <x v="26"/>
    <n v="197"/>
    <n v="197"/>
  </r>
  <r>
    <x v="222"/>
    <s v="MOHAMMED AFSAL"/>
    <s v="JARF"/>
    <s v="SUPER SENIOR"/>
    <x v="7"/>
    <n v="8"/>
    <n v="0"/>
    <n v="8"/>
    <x v="6"/>
    <n v="147"/>
    <n v="147"/>
  </r>
  <r>
    <x v="223"/>
    <s v="JALALUDHEEN K"/>
    <s v="DAHF"/>
    <s v="SUPER SENIOR"/>
    <x v="7"/>
    <n v="4"/>
    <n v="0"/>
    <n v="4"/>
    <x v="26"/>
    <n v="197"/>
    <n v="197"/>
  </r>
  <r>
    <x v="224"/>
    <s v="MUHAMMAD RAZI"/>
    <s v="DAHF"/>
    <s v="SUPER SENIOR"/>
    <x v="7"/>
    <n v="0"/>
    <n v="0"/>
    <n v="0"/>
    <x v="0"/>
    <n v="255"/>
    <n v="255"/>
  </r>
  <r>
    <x v="225"/>
    <s v="MUHAMMAD SHANEED."/>
    <s v="JARF"/>
    <s v="SUPER SENIOR"/>
    <x v="7"/>
    <n v="3"/>
    <n v="0"/>
    <n v="3"/>
    <x v="7"/>
    <n v="209"/>
    <n v="209"/>
  </r>
  <r>
    <x v="226"/>
    <s v="ABDUL WADHOOD"/>
    <s v="FANT"/>
    <s v="SUPER SENIOR"/>
    <x v="7"/>
    <n v="8"/>
    <n v="0"/>
    <n v="8"/>
    <x v="6"/>
    <n v="147"/>
    <n v="147"/>
  </r>
  <r>
    <x v="227"/>
    <s v="MOHAMMED SHAMMAS S.I"/>
    <s v="DAHF"/>
    <s v="SUPER SENIOR"/>
    <x v="7"/>
    <n v="0"/>
    <n v="0"/>
    <n v="0"/>
    <x v="0"/>
    <n v="255"/>
    <n v="255"/>
  </r>
  <r>
    <x v="228"/>
    <s v="AHMMED HASHIM M"/>
    <s v="DAHF"/>
    <s v="SUPER SENIOR"/>
    <x v="7"/>
    <n v="1"/>
    <n v="0"/>
    <n v="1"/>
    <x v="17"/>
    <n v="231"/>
    <n v="231"/>
  </r>
  <r>
    <x v="229"/>
    <s v="MOHAMMED HASHIR"/>
    <s v="DAHF"/>
    <s v="SUPER SENIOR"/>
    <x v="7"/>
    <n v="46"/>
    <n v="0"/>
    <n v="46"/>
    <x v="55"/>
    <n v="17"/>
    <n v="17"/>
  </r>
  <r>
    <x v="230"/>
    <s v="AHAMMED AJEER"/>
    <s v="BADF"/>
    <s v="SUPER SENIOR"/>
    <x v="7"/>
    <n v="0"/>
    <n v="0"/>
    <n v="0"/>
    <x v="0"/>
    <n v="255"/>
    <n v="255"/>
  </r>
  <r>
    <x v="231"/>
    <s v="ABBAS AZNAB M.A"/>
    <s v="BADF"/>
    <s v="SUPER SENIOR"/>
    <x v="7"/>
    <n v="8"/>
    <n v="0"/>
    <n v="8"/>
    <x v="6"/>
    <n v="147"/>
    <n v="147"/>
  </r>
  <r>
    <x v="232"/>
    <s v="MAHAMMED SHAMEEL"/>
    <s v="JARF"/>
    <s v="SUPER SENIOR"/>
    <x v="7"/>
    <n v="70.5"/>
    <n v="0"/>
    <n v="70.5"/>
    <x v="56"/>
    <n v="4"/>
    <n v="4"/>
  </r>
  <r>
    <x v="233"/>
    <s v="AMEEN ABDULLA"/>
    <s v="FANT"/>
    <s v="SUPER SENIOR"/>
    <x v="7"/>
    <n v="16"/>
    <n v="0"/>
    <n v="16"/>
    <x v="35"/>
    <n v="94"/>
    <n v="94"/>
  </r>
  <r>
    <x v="234"/>
    <s v="ZULFIKARALI"/>
    <s v="JARF"/>
    <s v="SUPER SENIOR"/>
    <x v="7"/>
    <n v="4"/>
    <n v="0"/>
    <n v="4"/>
    <x v="26"/>
    <n v="197"/>
    <n v="197"/>
  </r>
  <r>
    <x v="235"/>
    <s v="MUHAMMED ANAS M.N"/>
    <s v="FANT"/>
    <s v="SUPER SENIOR"/>
    <x v="7"/>
    <n v="1"/>
    <n v="0"/>
    <n v="1"/>
    <x v="17"/>
    <n v="231"/>
    <n v="231"/>
  </r>
  <r>
    <x v="236"/>
    <s v="ABDULLA M HAKEEM"/>
    <s v="DAHF"/>
    <s v="SUPER SENIOR"/>
    <x v="7"/>
    <n v="4"/>
    <n v="0"/>
    <n v="4"/>
    <x v="26"/>
    <n v="197"/>
    <n v="197"/>
  </r>
  <r>
    <x v="237"/>
    <s v="HASSAN SHADDAD UM"/>
    <s v="JARF"/>
    <s v="SUPER SENIOR"/>
    <x v="7"/>
    <n v="1"/>
    <n v="0"/>
    <n v="1"/>
    <x v="17"/>
    <n v="231"/>
    <n v="231"/>
  </r>
  <r>
    <x v="238"/>
    <s v="MOHAMMED SAHL CS"/>
    <s v="FANT"/>
    <s v="SUPER SENIOR"/>
    <x v="7"/>
    <n v="16"/>
    <n v="0"/>
    <n v="16"/>
    <x v="35"/>
    <n v="94"/>
    <n v="94"/>
  </r>
  <r>
    <x v="239"/>
    <s v="MOHAMMAD KHALANDAR ZIYAD"/>
    <s v="BADF"/>
    <s v="SUPER SENIOR"/>
    <x v="7"/>
    <n v="31"/>
    <n v="0"/>
    <n v="31"/>
    <x v="33"/>
    <n v="42"/>
    <n v="42"/>
  </r>
  <r>
    <x v="240"/>
    <s v="ABU THAHIR"/>
    <s v="BADF"/>
    <s v="SUPER SENIOR"/>
    <x v="7"/>
    <n v="10"/>
    <n v="0"/>
    <n v="10"/>
    <x v="10"/>
    <n v="131"/>
    <n v="131"/>
  </r>
  <r>
    <x v="241"/>
    <s v="MUHAMMAD SINAN NP"/>
    <s v="FANT"/>
    <s v="SUPER SENIOR"/>
    <x v="7"/>
    <n v="0"/>
    <n v="0"/>
    <n v="0"/>
    <x v="0"/>
    <n v="255"/>
    <n v="255"/>
  </r>
  <r>
    <x v="242"/>
    <s v="ABDUL RAHMAN MUNZIR"/>
    <s v="DAHF"/>
    <s v="SUPER SENIOR"/>
    <x v="7"/>
    <n v="0"/>
    <n v="0"/>
    <n v="0"/>
    <x v="0"/>
    <n v="255"/>
    <n v="255"/>
  </r>
  <r>
    <x v="243"/>
    <s v="MUHAMMED MUZAMMIL P.M"/>
    <n v="0"/>
    <s v="SUPER SENIOR"/>
    <x v="7"/>
    <n v="0"/>
    <n v="0"/>
    <n v="0"/>
    <x v="0"/>
    <n v="255"/>
    <n v="255"/>
  </r>
  <r>
    <x v="244"/>
    <s v="MOHAMMED SALIH"/>
    <s v="JARF"/>
    <s v="SUPER SENIOR"/>
    <x v="7"/>
    <n v="8"/>
    <n v="0"/>
    <n v="8"/>
    <x v="6"/>
    <n v="147"/>
    <n v="147"/>
  </r>
  <r>
    <x v="245"/>
    <s v="MUHAMMED SUFAZ P"/>
    <s v="BADF"/>
    <s v="SUPER SENIOR"/>
    <x v="7"/>
    <n v="0"/>
    <n v="0"/>
    <n v="0"/>
    <x v="0"/>
    <n v="255"/>
    <n v="255"/>
  </r>
  <r>
    <x v="246"/>
    <s v="SAYYAD MOHAMMED VASIL"/>
    <s v="DAHF"/>
    <s v="SUPER SENIOR"/>
    <x v="7"/>
    <n v="0"/>
    <n v="0"/>
    <n v="0"/>
    <x v="0"/>
    <n v="255"/>
    <n v="255"/>
  </r>
  <r>
    <x v="247"/>
    <s v="MUHAMMED MIDHLAJ KK"/>
    <s v="BADF"/>
    <s v="SUPER SENIOR"/>
    <x v="7"/>
    <n v="10"/>
    <n v="0"/>
    <n v="10"/>
    <x v="10"/>
    <n v="131"/>
    <n v="131"/>
  </r>
  <r>
    <x v="248"/>
    <s v="SHADIN G"/>
    <s v="FANT"/>
    <s v="SUPER SENIOR"/>
    <x v="7"/>
    <n v="50"/>
    <n v="0"/>
    <n v="50"/>
    <x v="57"/>
    <n v="15"/>
    <n v="15"/>
  </r>
  <r>
    <x v="249"/>
    <s v="MEHAZIN AMAN T"/>
    <s v="FANT"/>
    <s v="SUPER SENIOR"/>
    <x v="7"/>
    <n v="28"/>
    <n v="0"/>
    <n v="28"/>
    <x v="31"/>
    <n v="51"/>
    <n v="51"/>
  </r>
  <r>
    <x v="250"/>
    <s v="MUHAMMED UNAIS CK"/>
    <s v="BADF"/>
    <s v="SUPER SENIOR"/>
    <x v="7"/>
    <n v="25"/>
    <n v="0"/>
    <n v="25"/>
    <x v="32"/>
    <n v="60"/>
    <n v="60"/>
  </r>
  <r>
    <x v="251"/>
    <s v="ZAINUDEEN"/>
    <s v="DAHF"/>
    <s v="SUPER SENIOR"/>
    <x v="8"/>
    <n v="0"/>
    <n v="0"/>
    <n v="0"/>
    <x v="0"/>
    <n v="255"/>
    <n v="255"/>
  </r>
  <r>
    <x v="252"/>
    <s v="MAHAMMAD RIYAZ"/>
    <s v="DAHF"/>
    <s v="SUPER SENIOR"/>
    <x v="8"/>
    <n v="6"/>
    <n v="0"/>
    <n v="6"/>
    <x v="1"/>
    <n v="171"/>
    <n v="171"/>
  </r>
  <r>
    <x v="253"/>
    <s v="ABOOBAKR MA'ROOF"/>
    <s v="FANT"/>
    <s v="SUPER SENIOR"/>
    <x v="8"/>
    <n v="7"/>
    <n v="0"/>
    <n v="7"/>
    <x v="42"/>
    <n v="167"/>
    <n v="167"/>
  </r>
  <r>
    <x v="254"/>
    <s v="MOHAMMED SHAMSHEER"/>
    <s v="FANT"/>
    <s v="SUPER SENIOR"/>
    <x v="8"/>
    <n v="25"/>
    <n v="0"/>
    <n v="25"/>
    <x v="32"/>
    <n v="60"/>
    <n v="60"/>
  </r>
  <r>
    <x v="255"/>
    <s v="AJMAL ANEES"/>
    <s v="FANT"/>
    <s v="SUPER SENIOR"/>
    <x v="8"/>
    <n v="0"/>
    <n v="0"/>
    <n v="0"/>
    <x v="0"/>
    <n v="255"/>
    <n v="255"/>
  </r>
  <r>
    <x v="256"/>
    <s v="HASHIR HUSSAIN IK"/>
    <s v="DAHF"/>
    <s v="SUPER SENIOR"/>
    <x v="8"/>
    <n v="10"/>
    <n v="0"/>
    <n v="10"/>
    <x v="10"/>
    <n v="131"/>
    <n v="131"/>
  </r>
  <r>
    <x v="257"/>
    <s v="MUHAMMED ASBAQUE"/>
    <s v="JARF"/>
    <s v="SUPER SENIOR"/>
    <x v="8"/>
    <n v="0"/>
    <n v="0"/>
    <n v="0"/>
    <x v="0"/>
    <n v="255"/>
    <n v="255"/>
  </r>
  <r>
    <x v="258"/>
    <s v="AYYOOB V.N"/>
    <s v="BADF"/>
    <s v="SUPER SENIOR"/>
    <x v="8"/>
    <n v="9"/>
    <n v="0"/>
    <n v="9"/>
    <x v="9"/>
    <n v="139"/>
    <n v="139"/>
  </r>
  <r>
    <x v="259"/>
    <s v="MOHAMMED JAWAD A"/>
    <s v="FANT"/>
    <s v="SUPER SENIOR"/>
    <x v="8"/>
    <n v="0"/>
    <n v="0"/>
    <n v="0"/>
    <x v="0"/>
    <n v="255"/>
    <n v="255"/>
  </r>
  <r>
    <x v="260"/>
    <s v="AHAMMED MUBARAK KA"/>
    <s v="JARF"/>
    <s v="SUPER SENIOR"/>
    <x v="8"/>
    <n v="0"/>
    <n v="0"/>
    <n v="0"/>
    <x v="0"/>
    <n v="255"/>
    <n v="255"/>
  </r>
  <r>
    <x v="261"/>
    <s v="MUHAMMED FAISAL A K"/>
    <s v="DAHF"/>
    <s v="SUPER SENIOR"/>
    <x v="8"/>
    <n v="75"/>
    <n v="0"/>
    <n v="75"/>
    <x v="58"/>
    <n v="1"/>
    <n v="1"/>
  </r>
  <r>
    <x v="262"/>
    <s v="MUHAMMAD MUSTHAFA P.K"/>
    <s v="BADF"/>
    <s v="SUPER SENIOR"/>
    <x v="8"/>
    <n v="14"/>
    <n v="0"/>
    <n v="14"/>
    <x v="2"/>
    <n v="104"/>
    <n v="104"/>
  </r>
  <r>
    <x v="263"/>
    <s v="ISHAM V.K"/>
    <s v="FANT"/>
    <s v="SUPER SENIOR"/>
    <x v="8"/>
    <n v="0"/>
    <n v="0"/>
    <n v="0"/>
    <x v="0"/>
    <n v="255"/>
    <n v="255"/>
  </r>
  <r>
    <x v="264"/>
    <s v="MUHAMMED MA"/>
    <s v="BADF"/>
    <s v="SUPER SENIOR"/>
    <x v="8"/>
    <n v="6"/>
    <n v="0"/>
    <n v="6"/>
    <x v="1"/>
    <n v="171"/>
    <n v="171"/>
  </r>
  <r>
    <x v="265"/>
    <s v="MUHAMMED RASHAD KA"/>
    <s v="JARF"/>
    <s v="SUPER SENIOR"/>
    <x v="8"/>
    <n v="0"/>
    <n v="0"/>
    <n v="0"/>
    <x v="0"/>
    <n v="255"/>
    <n v="255"/>
  </r>
  <r>
    <x v="266"/>
    <s v="ABBAS ARFAS O.R"/>
    <s v="BADF"/>
    <s v="SUPER SENIOR"/>
    <x v="8"/>
    <n v="10"/>
    <n v="0"/>
    <n v="10"/>
    <x v="10"/>
    <n v="131"/>
    <n v="131"/>
  </r>
  <r>
    <x v="267"/>
    <s v="ABDUL YOUNUS"/>
    <s v="DAHF"/>
    <s v="SUPER SENIOR"/>
    <x v="8"/>
    <n v="6"/>
    <n v="0"/>
    <n v="6"/>
    <x v="1"/>
    <n v="171"/>
    <n v="171"/>
  </r>
  <r>
    <x v="268"/>
    <s v="MOHAMMED SHAHZAN T.K"/>
    <s v="FANT"/>
    <s v="SUPER SENIOR"/>
    <x v="8"/>
    <n v="54"/>
    <n v="0"/>
    <n v="54"/>
    <x v="59"/>
    <n v="9"/>
    <n v="9"/>
  </r>
  <r>
    <x v="269"/>
    <s v="UMARUL FAROOK K .K"/>
    <s v="DAHF"/>
    <s v="SUPER SENIOR"/>
    <x v="8"/>
    <n v="0"/>
    <n v="0"/>
    <n v="0"/>
    <x v="0"/>
    <n v="255"/>
    <n v="255"/>
  </r>
  <r>
    <x v="270"/>
    <s v="MOHAMMED MARZOOK AM"/>
    <s v="JARF"/>
    <s v="SUPER SENIOR"/>
    <x v="8"/>
    <n v="8"/>
    <n v="0"/>
    <n v="8"/>
    <x v="6"/>
    <n v="147"/>
    <n v="147"/>
  </r>
  <r>
    <x v="271"/>
    <s v="ABDUL KHADER"/>
    <s v="DAHF"/>
    <s v="SUPER SENIOR"/>
    <x v="8"/>
    <n v="44"/>
    <n v="0"/>
    <n v="44"/>
    <x v="60"/>
    <n v="19"/>
    <n v="19"/>
  </r>
  <r>
    <x v="272"/>
    <s v="MUHAMMED SHANAVAS M.A"/>
    <s v="JARF"/>
    <s v="SUPER SENIOR"/>
    <x v="8"/>
    <n v="3"/>
    <n v="0"/>
    <n v="3"/>
    <x v="7"/>
    <n v="209"/>
    <n v="209"/>
  </r>
  <r>
    <x v="273"/>
    <s v="MOHAMMAD ISMAIL SINAN KM"/>
    <s v="DAHF"/>
    <s v="SUPER SENIOR"/>
    <x v="8"/>
    <n v="4"/>
    <n v="0"/>
    <n v="4"/>
    <x v="26"/>
    <n v="197"/>
    <n v="197"/>
  </r>
  <r>
    <x v="274"/>
    <s v="MUHAMMED UNAIS PT"/>
    <s v="JARF"/>
    <s v="SUPER SENIOR"/>
    <x v="8"/>
    <n v="11"/>
    <n v="0"/>
    <n v="11"/>
    <x v="16"/>
    <n v="123"/>
    <n v="123"/>
  </r>
  <r>
    <x v="275"/>
    <s v="ASHIKK.I"/>
    <s v="JARF"/>
    <s v="SUPER SENIOR"/>
    <x v="8"/>
    <n v="0"/>
    <n v="0"/>
    <n v="0"/>
    <x v="0"/>
    <n v="255"/>
    <n v="255"/>
  </r>
  <r>
    <x v="276"/>
    <s v="MUHAMMED YASIR K"/>
    <s v="BADF"/>
    <s v="SUPER SENIOR"/>
    <x v="8"/>
    <n v="24"/>
    <n v="0"/>
    <n v="24"/>
    <x v="19"/>
    <n v="64"/>
    <n v="64"/>
  </r>
  <r>
    <x v="277"/>
    <s v="MUHAMMED BIN ABDUL KADHAR"/>
    <n v="0"/>
    <s v="SUPER SENIOR"/>
    <x v="8"/>
    <n v="0"/>
    <n v="0"/>
    <n v="0"/>
    <x v="0"/>
    <n v="255"/>
    <n v="255"/>
  </r>
  <r>
    <x v="278"/>
    <s v="MUHAMMAD MUZAMMIL E.A"/>
    <s v="BADF"/>
    <s v="SUPER SENIOR"/>
    <x v="8"/>
    <n v="8"/>
    <n v="0"/>
    <n v="8"/>
    <x v="6"/>
    <n v="147"/>
    <n v="147"/>
  </r>
  <r>
    <x v="279"/>
    <s v="MUHAMMED UNAIS"/>
    <n v="0"/>
    <s v="SUPER SENIOR"/>
    <x v="8"/>
    <n v="0"/>
    <n v="0"/>
    <n v="0"/>
    <x v="0"/>
    <n v="255"/>
    <n v="255"/>
  </r>
  <r>
    <x v="280"/>
    <s v="MUHAMMED MUZAMMIL"/>
    <s v="FANT"/>
    <s v="SUPER SENIOR"/>
    <x v="8"/>
    <n v="1"/>
    <n v="0"/>
    <n v="1"/>
    <x v="17"/>
    <n v="231"/>
    <n v="231"/>
  </r>
  <r>
    <x v="281"/>
    <s v="SALMAN FARIS"/>
    <s v="JARF"/>
    <s v="SUPER SENIOR"/>
    <x v="8"/>
    <n v="1"/>
    <n v="0"/>
    <n v="1"/>
    <x v="17"/>
    <n v="231"/>
    <n v="231"/>
  </r>
  <r>
    <x v="282"/>
    <s v="MOHAMMED ATHHAR THAYYIB MS"/>
    <s v="BADF"/>
    <s v="SUPER SENIOR"/>
    <x v="8"/>
    <n v="3"/>
    <n v="0"/>
    <n v="3"/>
    <x v="7"/>
    <n v="209"/>
    <n v="209"/>
  </r>
  <r>
    <x v="283"/>
    <s v="ABDURAHMAN P.H"/>
    <s v="BADF"/>
    <s v="SUPER SENIOR"/>
    <x v="8"/>
    <n v="38"/>
    <n v="0"/>
    <n v="38"/>
    <x v="8"/>
    <n v="26"/>
    <n v="26"/>
  </r>
  <r>
    <x v="284"/>
    <s v="ABDUL JANIS"/>
    <s v="FANT"/>
    <s v="SUPER SENIOR"/>
    <x v="8"/>
    <n v="0"/>
    <n v="0"/>
    <n v="0"/>
    <x v="0"/>
    <n v="255"/>
    <n v="255"/>
  </r>
  <r>
    <x v="285"/>
    <s v="AHMED SULTHAN"/>
    <s v="JARF"/>
    <s v="SUPER SENIOR"/>
    <x v="8"/>
    <n v="37"/>
    <n v="0"/>
    <n v="37"/>
    <x v="61"/>
    <n v="30"/>
    <n v="30"/>
  </r>
  <r>
    <x v="286"/>
    <s v="AJMAL KI"/>
    <s v="FANT"/>
    <s v="SUPER SENIOR"/>
    <x v="8"/>
    <n v="42.5"/>
    <n v="0"/>
    <n v="42.5"/>
    <x v="62"/>
    <n v="20"/>
    <n v="20"/>
  </r>
  <r>
    <x v="287"/>
    <s v="MOHAMMED IRFAN C"/>
    <s v="DAHF"/>
    <s v="SUPER SENIOR"/>
    <x v="8"/>
    <n v="32"/>
    <n v="0"/>
    <n v="32"/>
    <x v="54"/>
    <n v="40"/>
    <n v="40"/>
  </r>
  <r>
    <x v="288"/>
    <s v="AHMAD BINYAMUL ASHIQUE"/>
    <s v="JARF"/>
    <s v="SUPER SENIOR"/>
    <x v="9"/>
    <n v="0"/>
    <n v="0"/>
    <n v="0"/>
    <x v="0"/>
    <n v="255"/>
    <n v="255"/>
  </r>
  <r>
    <x v="289"/>
    <s v="MOHAMMED NAFIH KA"/>
    <s v="FANT"/>
    <s v="SUPER SENIOR"/>
    <x v="9"/>
    <n v="0"/>
    <n v="0"/>
    <n v="0"/>
    <x v="0"/>
    <n v="255"/>
    <n v="255"/>
  </r>
  <r>
    <x v="290"/>
    <s v="MUHAMMED AYIZ"/>
    <s v="BADF"/>
    <s v="SUPER SENIOR"/>
    <x v="9"/>
    <n v="0"/>
    <n v="0"/>
    <n v="0"/>
    <x v="0"/>
    <n v="255"/>
    <n v="255"/>
  </r>
  <r>
    <x v="291"/>
    <s v="AHMED ADIL B.K"/>
    <s v="JARF"/>
    <s v="SUPER SENIOR"/>
    <x v="9"/>
    <n v="18"/>
    <n v="0"/>
    <n v="18"/>
    <x v="34"/>
    <n v="81"/>
    <n v="81"/>
  </r>
  <r>
    <x v="292"/>
    <s v="MOHAMMED ANFAHUDEEN T.A"/>
    <s v="FANT"/>
    <s v="SUPER SENIOR"/>
    <x v="9"/>
    <n v="2"/>
    <n v="0"/>
    <n v="2"/>
    <x v="41"/>
    <n v="224"/>
    <n v="224"/>
  </r>
  <r>
    <x v="293"/>
    <s v="MUHAMMED MUFEED"/>
    <s v="DAHF"/>
    <s v="SUPER SENIOR"/>
    <x v="9"/>
    <n v="2"/>
    <n v="0"/>
    <n v="2"/>
    <x v="41"/>
    <n v="224"/>
    <n v="224"/>
  </r>
  <r>
    <x v="294"/>
    <s v="ABOOBACKER SIDDIK"/>
    <s v="BADF"/>
    <s v="SUPER SENIOR"/>
    <x v="9"/>
    <n v="5"/>
    <n v="0"/>
    <n v="5"/>
    <x v="14"/>
    <n v="190"/>
    <n v="190"/>
  </r>
  <r>
    <x v="295"/>
    <s v="BADRUDHIN A"/>
    <s v="BADF"/>
    <s v="SUPER SENIOR"/>
    <x v="9"/>
    <n v="0"/>
    <n v="0"/>
    <n v="0"/>
    <x v="0"/>
    <n v="255"/>
    <n v="255"/>
  </r>
  <r>
    <x v="296"/>
    <s v="AKBAR P"/>
    <s v="FANT"/>
    <s v="SUPER SENIOR"/>
    <x v="9"/>
    <n v="18"/>
    <n v="0"/>
    <n v="18"/>
    <x v="34"/>
    <n v="81"/>
    <n v="81"/>
  </r>
  <r>
    <x v="297"/>
    <s v="MOHAMMED NASFAR AFNAN H"/>
    <s v="JARF"/>
    <s v="SUPER SENIOR"/>
    <x v="9"/>
    <n v="0"/>
    <n v="0"/>
    <n v="0"/>
    <x v="0"/>
    <n v="255"/>
    <n v="255"/>
  </r>
  <r>
    <x v="298"/>
    <s v="SHAMEEM ABDULLA P.S"/>
    <s v="FANT"/>
    <s v="SUPER SENIOR"/>
    <x v="9"/>
    <n v="51"/>
    <n v="0"/>
    <n v="51"/>
    <x v="50"/>
    <n v="13"/>
    <n v="13"/>
  </r>
  <r>
    <x v="299"/>
    <s v="AHMED BK"/>
    <s v="BADF"/>
    <s v="SUPER SENIOR"/>
    <x v="9"/>
    <n v="31"/>
    <n v="0"/>
    <n v="31"/>
    <x v="33"/>
    <n v="42"/>
    <n v="42"/>
  </r>
  <r>
    <x v="300"/>
    <s v="MUHAMMED AKBAR NP"/>
    <s v="DAHF"/>
    <s v="SUPER SENIOR"/>
    <x v="9"/>
    <n v="0"/>
    <n v="0"/>
    <n v="0"/>
    <x v="0"/>
    <n v="255"/>
    <n v="255"/>
  </r>
  <r>
    <x v="301"/>
    <s v="ATHIF ABDULKHADER"/>
    <s v="FANT"/>
    <s v="SUPER SENIOR"/>
    <x v="9"/>
    <n v="0"/>
    <n v="0"/>
    <n v="0"/>
    <x v="0"/>
    <n v="255"/>
    <n v="255"/>
  </r>
  <r>
    <x v="302"/>
    <s v="MUHAMMED SAJJAD"/>
    <s v="DAHF"/>
    <s v="SUPER SENIOR"/>
    <x v="9"/>
    <n v="1"/>
    <n v="0"/>
    <n v="1"/>
    <x v="17"/>
    <n v="231"/>
    <n v="231"/>
  </r>
  <r>
    <x v="303"/>
    <s v="AHAMED ASIF M"/>
    <s v="JARF"/>
    <s v="SUPER SENIOR"/>
    <x v="9"/>
    <n v="0"/>
    <n v="0"/>
    <n v="0"/>
    <x v="0"/>
    <n v="255"/>
    <n v="255"/>
  </r>
  <r>
    <x v="304"/>
    <s v="MOHAMMAD SWALIH K"/>
    <s v="DAHF"/>
    <s v="SUPER SENIOR"/>
    <x v="9"/>
    <n v="16"/>
    <n v="0"/>
    <n v="16"/>
    <x v="35"/>
    <n v="94"/>
    <n v="94"/>
  </r>
  <r>
    <x v="305"/>
    <s v="YASEEN"/>
    <s v="FANT"/>
    <s v="SUPER SENIOR"/>
    <x v="9"/>
    <n v="0"/>
    <n v="0"/>
    <n v="0"/>
    <x v="0"/>
    <n v="255"/>
    <n v="255"/>
  </r>
  <r>
    <x v="306"/>
    <s v="MAHAMMED ASHIK"/>
    <n v="0"/>
    <s v="SUPER SENIOR"/>
    <x v="9"/>
    <n v="0"/>
    <n v="0"/>
    <n v="0"/>
    <x v="0"/>
    <n v="255"/>
    <n v="255"/>
  </r>
  <r>
    <x v="307"/>
    <s v="SALAHUDDEEN AYYOOBI KM"/>
    <s v="FANT"/>
    <s v="SUPER SENIOR"/>
    <x v="9"/>
    <n v="8"/>
    <n v="0"/>
    <n v="8"/>
    <x v="6"/>
    <n v="147"/>
    <n v="147"/>
  </r>
  <r>
    <x v="308"/>
    <s v="ABDUL RAHMAN"/>
    <s v="DAHF"/>
    <s v="SUPER SENIOR"/>
    <x v="9"/>
    <n v="0"/>
    <n v="0"/>
    <n v="0"/>
    <x v="0"/>
    <n v="255"/>
    <n v="255"/>
  </r>
  <r>
    <x v="309"/>
    <s v="AHMED MANHAL HUSSAIN"/>
    <s v="FANT"/>
    <s v="SUPER SENIOR"/>
    <x v="9"/>
    <n v="0"/>
    <n v="0"/>
    <n v="0"/>
    <x v="0"/>
    <n v="255"/>
    <n v="255"/>
  </r>
  <r>
    <x v="310"/>
    <s v="ASGAR ALI"/>
    <s v="BADF"/>
    <s v="SUPER SENIOR"/>
    <x v="9"/>
    <n v="4"/>
    <n v="0"/>
    <n v="4"/>
    <x v="26"/>
    <n v="197"/>
    <n v="197"/>
  </r>
  <r>
    <x v="311"/>
    <s v="MOHAMMED AMEEN B.A"/>
    <s v="BADF"/>
    <s v="SUPER SENIOR"/>
    <x v="9"/>
    <n v="0"/>
    <n v="0"/>
    <n v="0"/>
    <x v="0"/>
    <n v="255"/>
    <n v="255"/>
  </r>
  <r>
    <x v="312"/>
    <s v="THAMJEED TM"/>
    <s v="JARF"/>
    <s v="SUPER SENIOR"/>
    <x v="9"/>
    <n v="6"/>
    <n v="0"/>
    <n v="6"/>
    <x v="1"/>
    <n v="171"/>
    <n v="171"/>
  </r>
  <r>
    <x v="313"/>
    <s v="MUHAMMED SIFARATH T A"/>
    <s v="DAHF"/>
    <s v="SUPER SENIOR"/>
    <x v="9"/>
    <n v="3"/>
    <n v="0"/>
    <n v="3"/>
    <x v="7"/>
    <n v="209"/>
    <n v="209"/>
  </r>
  <r>
    <x v="314"/>
    <s v="MUHAMMED ABDUL GHANI M.A"/>
    <s v="JARF"/>
    <s v="SUPER SENIOR"/>
    <x v="9"/>
    <n v="0"/>
    <n v="0"/>
    <n v="0"/>
    <x v="0"/>
    <n v="255"/>
    <n v="255"/>
  </r>
  <r>
    <x v="315"/>
    <s v="AYAZ RAHMAN T"/>
    <s v="JARF"/>
    <s v="SUPER SENIOR"/>
    <x v="9"/>
    <n v="58"/>
    <n v="0"/>
    <n v="58"/>
    <x v="63"/>
    <n v="6"/>
    <n v="6"/>
  </r>
  <r>
    <x v="316"/>
    <s v="AHMED SWALAHUDHEEN PI"/>
    <s v="BADF"/>
    <s v="SUPER SENIOR"/>
    <x v="9"/>
    <n v="36"/>
    <n v="0"/>
    <n v="36"/>
    <x v="64"/>
    <n v="31"/>
    <n v="31"/>
  </r>
  <r>
    <x v="317"/>
    <s v="ABDUL VAJID K"/>
    <s v="DAHF"/>
    <s v="SUPER SENIOR"/>
    <x v="9"/>
    <n v="18"/>
    <n v="0"/>
    <n v="18"/>
    <x v="34"/>
    <n v="81"/>
    <n v="81"/>
  </r>
  <r>
    <x v="318"/>
    <s v="MUHAMMED ASHFAK K"/>
    <s v="DAHF"/>
    <s v="SUPER SENIOR"/>
    <x v="9"/>
    <n v="0"/>
    <n v="0"/>
    <n v="0"/>
    <x v="0"/>
    <n v="255"/>
    <n v="255"/>
  </r>
  <r>
    <x v="319"/>
    <s v="MUHAMMED SAFWAN"/>
    <s v="FANT"/>
    <s v="SUPER SENIOR"/>
    <x v="9"/>
    <n v="7"/>
    <n v="0"/>
    <n v="7"/>
    <x v="42"/>
    <n v="167"/>
    <n v="167"/>
  </r>
  <r>
    <x v="320"/>
    <s v="Simsarul Haq VPM"/>
    <s v="BADF"/>
    <s v="SUPER SENIOR"/>
    <x v="9"/>
    <n v="0"/>
    <n v="0"/>
    <n v="0"/>
    <x v="0"/>
    <n v="255"/>
    <n v="255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  <r>
    <x v="321"/>
    <n v="0"/>
    <n v="0"/>
    <n v="0"/>
    <x v="10"/>
    <n v="0"/>
    <n v="0"/>
    <n v="0"/>
    <x v="65"/>
    <n v="255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CE886-A5FB-46EB-A7D1-FD2DDB499EE8}" name="PivotTable2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Chest no.">
  <location ref="G4:H14" firstHeaderRow="1" firstDataRow="1" firstDataCol="1"/>
  <pivotFields count="11">
    <pivotField axis="axisRow" showAll="0" measureFilter="1">
      <items count="323">
        <item x="3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10">
    <i>
      <x v="51"/>
    </i>
    <i>
      <x v="59"/>
    </i>
    <i>
      <x v="62"/>
    </i>
    <i>
      <x v="65"/>
    </i>
    <i>
      <x v="177"/>
    </i>
    <i>
      <x v="178"/>
    </i>
    <i>
      <x v="233"/>
    </i>
    <i>
      <x v="262"/>
    </i>
    <i>
      <x v="269"/>
    </i>
    <i>
      <x v="316"/>
    </i>
  </rowItems>
  <colItems count="1">
    <i/>
  </colItems>
  <dataFields count="1">
    <dataField name="Total score" fld="7" baseField="0" baseItem="51"/>
  </dataFields>
  <formats count="7">
    <format dxfId="67">
      <pivotArea outline="0" collapsedLevelsAreSubtotals="1" fieldPosition="0"/>
    </format>
    <format dxfId="66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65">
      <pivotArea dataOnly="0" labelOnly="1" outline="0" axis="axisValues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62">
      <pivotArea outline="0" collapsedLevelsAreSubtotals="1" fieldPosition="0"/>
    </format>
    <format dxfId="61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</formats>
  <pivotTableStyleInfo name="PivotStyleMedium2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F3C42-F382-4A92-88D8-6FC227B08F4B}" name="PivotTable4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Chest no.">
  <location ref="P4:Q326" firstHeaderRow="1" firstDataRow="1" firstDataCol="1"/>
  <pivotFields count="11">
    <pivotField axis="axisRow" showAll="0" sortType="descending">
      <items count="323">
        <item x="3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322">
    <i>
      <x v="262"/>
    </i>
    <i>
      <x v="177"/>
    </i>
    <i>
      <x v="178"/>
    </i>
    <i>
      <x v="233"/>
    </i>
    <i>
      <x v="51"/>
    </i>
    <i>
      <x v="316"/>
    </i>
    <i>
      <x v="65"/>
    </i>
    <i>
      <x v="62"/>
    </i>
    <i>
      <x v="269"/>
    </i>
    <i>
      <x v="59"/>
    </i>
    <i>
      <x v="212"/>
    </i>
    <i>
      <x v="207"/>
    </i>
    <i>
      <x v="299"/>
    </i>
    <i>
      <x v="175"/>
    </i>
    <i>
      <x v="249"/>
    </i>
    <i>
      <x v="106"/>
    </i>
    <i>
      <x v="230"/>
    </i>
    <i>
      <x v="55"/>
    </i>
    <i>
      <x v="272"/>
    </i>
    <i>
      <x v="287"/>
    </i>
    <i>
      <x v="86"/>
    </i>
    <i>
      <x v="210"/>
    </i>
    <i>
      <x v="95"/>
    </i>
    <i>
      <x v="45"/>
    </i>
    <i>
      <x v="68"/>
    </i>
    <i>
      <x v="187"/>
    </i>
    <i>
      <x v="284"/>
    </i>
    <i>
      <x v="10"/>
    </i>
    <i>
      <x v="140"/>
    </i>
    <i>
      <x v="286"/>
    </i>
    <i>
      <x v="317"/>
    </i>
    <i>
      <x v="111"/>
    </i>
    <i>
      <x v="47"/>
    </i>
    <i>
      <x v="153"/>
    </i>
    <i>
      <x v="216"/>
    </i>
    <i>
      <x v="123"/>
    </i>
    <i>
      <x v="119"/>
    </i>
    <i>
      <x v="197"/>
    </i>
    <i>
      <x v="141"/>
    </i>
    <i>
      <x v="288"/>
    </i>
    <i>
      <x v="215"/>
    </i>
    <i>
      <x v="67"/>
    </i>
    <i>
      <x v="154"/>
    </i>
    <i>
      <x v="240"/>
    </i>
    <i>
      <x v="149"/>
    </i>
    <i>
      <x v="131"/>
    </i>
    <i>
      <x v="300"/>
    </i>
    <i>
      <x v="54"/>
    </i>
    <i>
      <x v="145"/>
    </i>
    <i>
      <x v="120"/>
    </i>
    <i>
      <x v="112"/>
    </i>
    <i>
      <x v="250"/>
    </i>
    <i>
      <x v="64"/>
    </i>
    <i>
      <x v="121"/>
    </i>
    <i>
      <x v="83"/>
    </i>
    <i>
      <x v="4"/>
    </i>
    <i>
      <x v="196"/>
    </i>
    <i>
      <x v="162"/>
    </i>
    <i>
      <x v="5"/>
    </i>
    <i>
      <x v="255"/>
    </i>
    <i>
      <x v="251"/>
    </i>
    <i>
      <x v="84"/>
    </i>
    <i>
      <x v="66"/>
    </i>
    <i>
      <x v="50"/>
    </i>
    <i>
      <x v="43"/>
    </i>
    <i>
      <x v="277"/>
    </i>
    <i>
      <x v="135"/>
    </i>
    <i>
      <x v="42"/>
    </i>
    <i>
      <x v="213"/>
    </i>
    <i>
      <x v="146"/>
    </i>
    <i>
      <x v="126"/>
    </i>
    <i>
      <x v="48"/>
    </i>
    <i>
      <x v="75"/>
    </i>
    <i>
      <x v="107"/>
    </i>
    <i>
      <x v="57"/>
    </i>
    <i>
      <x v="190"/>
    </i>
    <i>
      <x v="63"/>
    </i>
    <i>
      <x v="13"/>
    </i>
    <i>
      <x v="22"/>
    </i>
    <i>
      <x v="129"/>
    </i>
    <i>
      <x v="318"/>
    </i>
    <i>
      <x v="209"/>
    </i>
    <i>
      <x v="292"/>
    </i>
    <i>
      <x v="90"/>
    </i>
    <i>
      <x v="297"/>
    </i>
    <i>
      <x v="70"/>
    </i>
    <i>
      <x v="73"/>
    </i>
    <i>
      <x v="60"/>
    </i>
    <i>
      <x v="122"/>
    </i>
    <i>
      <x v="14"/>
    </i>
    <i>
      <x v="218"/>
    </i>
    <i>
      <x v="87"/>
    </i>
    <i>
      <x v="139"/>
    </i>
    <i>
      <x v="234"/>
    </i>
    <i>
      <x v="100"/>
    </i>
    <i>
      <x v="71"/>
    </i>
    <i>
      <x v="239"/>
    </i>
    <i>
      <x v="221"/>
    </i>
    <i>
      <x v="305"/>
    </i>
    <i>
      <x v="85"/>
    </i>
    <i>
      <x v="6"/>
    </i>
    <i>
      <x v="99"/>
    </i>
    <i>
      <x v="98"/>
    </i>
    <i>
      <x v="167"/>
    </i>
    <i>
      <x v="109"/>
    </i>
    <i>
      <x v="3"/>
    </i>
    <i>
      <x v="192"/>
    </i>
    <i>
      <x v="198"/>
    </i>
    <i>
      <x v="82"/>
    </i>
    <i>
      <x v="263"/>
    </i>
    <i>
      <x v="208"/>
    </i>
    <i>
      <x v="130"/>
    </i>
    <i>
      <x v="134"/>
    </i>
    <i>
      <x v="94"/>
    </i>
    <i>
      <x v="169"/>
    </i>
    <i>
      <x v="53"/>
    </i>
    <i>
      <x v="44"/>
    </i>
    <i>
      <x v="49"/>
    </i>
    <i>
      <x v="113"/>
    </i>
    <i>
      <x v="205"/>
    </i>
    <i>
      <x v="201"/>
    </i>
    <i>
      <x v="136"/>
    </i>
    <i>
      <x v="204"/>
    </i>
    <i>
      <x v="214"/>
    </i>
    <i>
      <x v="275"/>
    </i>
    <i>
      <x v="23"/>
    </i>
    <i>
      <x v="105"/>
    </i>
    <i>
      <x v="189"/>
    </i>
    <i>
      <x v="41"/>
    </i>
    <i>
      <x v="156"/>
    </i>
    <i>
      <x v="12"/>
    </i>
    <i>
      <x v="248"/>
    </i>
    <i>
      <x v="267"/>
    </i>
    <i>
      <x v="185"/>
    </i>
    <i>
      <x v="97"/>
    </i>
    <i>
      <x v="61"/>
    </i>
    <i>
      <x v="241"/>
    </i>
    <i>
      <x v="257"/>
    </i>
    <i>
      <x v="144"/>
    </i>
    <i>
      <x v="92"/>
    </i>
    <i>
      <x v="11"/>
    </i>
    <i>
      <x v="26"/>
    </i>
    <i>
      <x v="206"/>
    </i>
    <i>
      <x v="80"/>
    </i>
    <i>
      <x v="259"/>
    </i>
    <i>
      <x v="137"/>
    </i>
    <i>
      <x v="124"/>
    </i>
    <i>
      <x v="220"/>
    </i>
    <i>
      <x v="217"/>
    </i>
    <i>
      <x v="180"/>
    </i>
    <i>
      <x v="223"/>
    </i>
    <i>
      <x v="271"/>
    </i>
    <i>
      <x v="232"/>
    </i>
    <i>
      <x v="183"/>
    </i>
    <i>
      <x v="132"/>
    </i>
    <i>
      <x v="7"/>
    </i>
    <i>
      <x v="151"/>
    </i>
    <i>
      <x v="116"/>
    </i>
    <i>
      <x v="227"/>
    </i>
    <i>
      <x v="279"/>
    </i>
    <i>
      <x v="308"/>
    </i>
    <i>
      <x v="245"/>
    </i>
    <i>
      <x v="15"/>
    </i>
    <i>
      <x v="35"/>
    </i>
    <i>
      <x v="138"/>
    </i>
    <i>
      <x v="160"/>
    </i>
    <i>
      <x v="320"/>
    </i>
    <i>
      <x v="117"/>
    </i>
    <i>
      <x v="182"/>
    </i>
    <i>
      <x v="254"/>
    </i>
    <i>
      <x v="173"/>
    </i>
    <i>
      <x v="103"/>
    </i>
    <i>
      <x v="171"/>
    </i>
    <i>
      <x v="191"/>
    </i>
    <i>
      <x v="2"/>
    </i>
    <i>
      <x v="193"/>
    </i>
    <i>
      <x v="72"/>
    </i>
    <i>
      <x v="253"/>
    </i>
    <i>
      <x v="76"/>
    </i>
    <i>
      <x v="24"/>
    </i>
    <i>
      <x v="268"/>
    </i>
    <i>
      <x v="194"/>
    </i>
    <i>
      <x v="265"/>
    </i>
    <i>
      <x v="200"/>
    </i>
    <i>
      <x v="91"/>
    </i>
    <i>
      <x v="110"/>
    </i>
    <i>
      <x v="313"/>
    </i>
    <i>
      <x v="114"/>
    </i>
    <i>
      <x v="74"/>
    </i>
    <i>
      <x v="148"/>
    </i>
    <i>
      <x v="295"/>
    </i>
    <i>
      <x v="150"/>
    </i>
    <i>
      <x v="77"/>
    </i>
    <i>
      <x v="31"/>
    </i>
    <i>
      <x v="79"/>
    </i>
    <i>
      <x v="21"/>
    </i>
    <i>
      <x v="52"/>
    </i>
    <i>
      <x v="224"/>
    </i>
    <i>
      <x v="235"/>
    </i>
    <i>
      <x v="311"/>
    </i>
    <i>
      <x v="222"/>
    </i>
    <i>
      <x v="163"/>
    </i>
    <i>
      <x v="155"/>
    </i>
    <i>
      <x v="184"/>
    </i>
    <i>
      <x v="237"/>
    </i>
    <i>
      <x v="195"/>
    </i>
    <i>
      <x v="274"/>
    </i>
    <i>
      <x v="16"/>
    </i>
    <i>
      <x v="127"/>
    </i>
    <i>
      <x v="226"/>
    </i>
    <i>
      <x v="125"/>
    </i>
    <i>
      <x v="273"/>
    </i>
    <i>
      <x v="314"/>
    </i>
    <i>
      <x v="58"/>
    </i>
    <i>
      <x v="30"/>
    </i>
    <i>
      <x v="46"/>
    </i>
    <i>
      <x v="202"/>
    </i>
    <i>
      <x v="152"/>
    </i>
    <i>
      <x v="40"/>
    </i>
    <i>
      <x v="283"/>
    </i>
    <i>
      <x v="128"/>
    </i>
    <i>
      <x v="37"/>
    </i>
    <i>
      <x v="9"/>
    </i>
    <i>
      <x v="188"/>
    </i>
    <i>
      <x v="294"/>
    </i>
    <i>
      <x v="293"/>
    </i>
    <i>
      <x v="143"/>
    </i>
    <i>
      <x v="186"/>
    </i>
    <i>
      <x v="115"/>
    </i>
    <i>
      <x v="166"/>
    </i>
    <i>
      <x v="104"/>
    </i>
    <i>
      <x v="165"/>
    </i>
    <i>
      <x v="303"/>
    </i>
    <i>
      <x v="199"/>
    </i>
    <i>
      <x v="281"/>
    </i>
    <i>
      <x v="181"/>
    </i>
    <i>
      <x v="93"/>
    </i>
    <i>
      <x v="236"/>
    </i>
    <i>
      <x v="96"/>
    </i>
    <i>
      <x v="238"/>
    </i>
    <i>
      <x v="174"/>
    </i>
    <i>
      <x v="101"/>
    </i>
    <i>
      <x v="282"/>
    </i>
    <i>
      <x v="36"/>
    </i>
    <i>
      <x v="28"/>
    </i>
    <i>
      <x v="168"/>
    </i>
    <i>
      <x v="158"/>
    </i>
    <i>
      <x v="88"/>
    </i>
    <i>
      <x v="161"/>
    </i>
    <i>
      <x v="118"/>
    </i>
    <i>
      <x v="32"/>
    </i>
    <i>
      <x v="38"/>
    </i>
    <i>
      <x v="108"/>
    </i>
    <i>
      <x v="229"/>
    </i>
    <i>
      <x v="164"/>
    </i>
    <i>
      <x v="301"/>
    </i>
    <i>
      <x v="17"/>
    </i>
    <i>
      <x v="8"/>
    </i>
    <i>
      <x v="309"/>
    </i>
    <i>
      <x v="256"/>
    </i>
    <i>
      <x v="289"/>
    </i>
    <i>
      <x v="142"/>
    </i>
    <i>
      <x v="81"/>
    </i>
    <i>
      <x v="258"/>
    </i>
    <i>
      <x v="203"/>
    </i>
    <i>
      <x v="27"/>
    </i>
    <i>
      <x v="34"/>
    </i>
    <i>
      <x v="260"/>
    </i>
    <i>
      <x v="176"/>
    </i>
    <i>
      <x v="261"/>
    </i>
    <i>
      <x v="291"/>
    </i>
    <i>
      <x v="102"/>
    </i>
    <i>
      <x v="29"/>
    </i>
    <i>
      <x v="172"/>
    </i>
    <i>
      <x v="159"/>
    </i>
    <i>
      <x v="264"/>
    </i>
    <i>
      <x v="20"/>
    </i>
    <i>
      <x v="170"/>
    </i>
    <i>
      <x v="307"/>
    </i>
    <i>
      <x v="266"/>
    </i>
    <i>
      <x v="225"/>
    </i>
    <i>
      <x v="231"/>
    </i>
    <i>
      <x v="315"/>
    </i>
    <i>
      <x v="211"/>
    </i>
    <i>
      <x v="33"/>
    </i>
    <i>
      <x v="147"/>
    </i>
    <i>
      <x v="247"/>
    </i>
    <i>
      <x v="270"/>
    </i>
    <i>
      <x v="290"/>
    </i>
    <i>
      <x v="133"/>
    </i>
    <i>
      <x v="157"/>
    </i>
    <i>
      <x v="89"/>
    </i>
    <i>
      <x v="56"/>
    </i>
    <i>
      <x v="78"/>
    </i>
    <i>
      <x v="296"/>
    </i>
    <i>
      <x v="319"/>
    </i>
    <i>
      <x v="298"/>
    </i>
    <i>
      <x v="18"/>
    </i>
    <i>
      <x/>
    </i>
    <i>
      <x v="276"/>
    </i>
    <i>
      <x v="302"/>
    </i>
    <i>
      <x v="25"/>
    </i>
    <i>
      <x v="304"/>
    </i>
    <i>
      <x v="278"/>
    </i>
    <i>
      <x v="306"/>
    </i>
    <i>
      <x v="242"/>
    </i>
    <i>
      <x v="179"/>
    </i>
    <i>
      <x v="280"/>
    </i>
    <i>
      <x v="310"/>
    </i>
    <i>
      <x v="321"/>
    </i>
    <i>
      <x v="312"/>
    </i>
    <i>
      <x v="244"/>
    </i>
    <i>
      <x v="252"/>
    </i>
    <i>
      <x v="19"/>
    </i>
    <i>
      <x v="228"/>
    </i>
    <i>
      <x v="246"/>
    </i>
    <i>
      <x v="1"/>
    </i>
    <i>
      <x v="285"/>
    </i>
    <i>
      <x v="219"/>
    </i>
    <i>
      <x v="39"/>
    </i>
    <i>
      <x v="69"/>
    </i>
    <i>
      <x v="243"/>
    </i>
  </rowItems>
  <colItems count="1">
    <i/>
  </colItems>
  <dataFields count="1">
    <dataField name="Total score" fld="8" baseField="0" baseItem="59"/>
  </dataFields>
  <formats count="7">
    <format dxfId="74">
      <pivotArea outline="0" collapsedLevelsAreSubtotals="1" fieldPosition="0"/>
    </format>
    <format dxfId="73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72">
      <pivotArea dataOnly="0" labelOnly="1" outline="0" axis="axisValues" fieldPosition="0"/>
    </format>
    <format dxfId="71">
      <pivotArea outline="0" collapsedLevelsAreSubtotals="1" fieldPosition="0"/>
    </format>
    <format dxfId="70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69">
      <pivotArea outline="0" collapsedLevelsAreSubtotals="1" fieldPosition="0"/>
    </format>
    <format dxfId="68">
      <pivotArea dataOnly="0" labelOnly="1" fieldPosition="0">
        <references count="1">
          <reference field="0" count="10">
            <x v="59"/>
            <x v="65"/>
            <x v="140"/>
            <x v="145"/>
            <x v="175"/>
            <x v="177"/>
            <x v="178"/>
            <x v="207"/>
            <x v="210"/>
            <x v="215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1F87C-386B-4FE8-8896-0C0FE2891526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B2:C13" firstHeaderRow="1" firstDataRow="1" firstDataCol="1"/>
  <pivotFields count="11">
    <pivotField showAll="0"/>
    <pivotField showAll="0"/>
    <pivotField showAll="0"/>
    <pivotField showAll="0"/>
    <pivotField axis="axisRow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dataField="1" showAll="0">
      <items count="67">
        <item x="0"/>
        <item x="17"/>
        <item x="41"/>
        <item x="7"/>
        <item x="13"/>
        <item x="26"/>
        <item x="14"/>
        <item x="1"/>
        <item x="42"/>
        <item x="6"/>
        <item x="9"/>
        <item x="10"/>
        <item x="48"/>
        <item x="16"/>
        <item x="40"/>
        <item x="24"/>
        <item x="20"/>
        <item x="2"/>
        <item x="5"/>
        <item x="35"/>
        <item x="12"/>
        <item x="34"/>
        <item x="47"/>
        <item x="15"/>
        <item x="11"/>
        <item x="36"/>
        <item x="23"/>
        <item x="46"/>
        <item x="18"/>
        <item x="19"/>
        <item x="32"/>
        <item x="4"/>
        <item x="49"/>
        <item x="3"/>
        <item x="37"/>
        <item x="31"/>
        <item x="44"/>
        <item x="27"/>
        <item x="33"/>
        <item x="54"/>
        <item x="43"/>
        <item x="45"/>
        <item x="22"/>
        <item x="64"/>
        <item x="61"/>
        <item x="8"/>
        <item x="21"/>
        <item x="38"/>
        <item x="62"/>
        <item x="60"/>
        <item x="28"/>
        <item x="55"/>
        <item x="39"/>
        <item x="57"/>
        <item x="50"/>
        <item x="53"/>
        <item x="29"/>
        <item x="59"/>
        <item x="30"/>
        <item x="63"/>
        <item x="25"/>
        <item x="56"/>
        <item x="52"/>
        <item x="51"/>
        <item x="58"/>
        <item x="65"/>
        <item t="default"/>
      </items>
    </pivotField>
    <pivotField showAll="0"/>
    <pivotField showAll="0"/>
  </pivotFields>
  <rowFields count="1">
    <field x="4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Entered" fld="8" baseField="4" baseItem="0"/>
  </dataFields>
  <chartFormats count="2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8EC9E-D210-4BDC-9FC0-1EE96AF9C83A}" name="PivotTable5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Chest no.">
  <location ref="P4:Q326" firstHeaderRow="1" firstDataRow="1" firstDataCol="1"/>
  <pivotFields count="11">
    <pivotField axis="axisRow" showAll="0" sortType="descending">
      <items count="323">
        <item x="3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322">
    <i>
      <x v="306"/>
    </i>
    <i>
      <x v="296"/>
    </i>
    <i>
      <x v="141"/>
    </i>
    <i>
      <x v="125"/>
    </i>
    <i>
      <x v="189"/>
    </i>
    <i>
      <x v="258"/>
    </i>
    <i>
      <x v="221"/>
    </i>
    <i>
      <x v="213"/>
    </i>
    <i>
      <x v="239"/>
    </i>
    <i>
      <x v="142"/>
    </i>
    <i>
      <x v="181"/>
    </i>
    <i>
      <x v="52"/>
    </i>
    <i>
      <x v="145"/>
    </i>
    <i>
      <x v="251"/>
    </i>
    <i>
      <x v="204"/>
    </i>
    <i>
      <x v="47"/>
    </i>
    <i>
      <x v="64"/>
    </i>
    <i>
      <x v="176"/>
    </i>
    <i>
      <x v="294"/>
    </i>
    <i>
      <x v="314"/>
    </i>
    <i>
      <x v="46"/>
    </i>
    <i>
      <x v="24"/>
    </i>
    <i>
      <x v="243"/>
    </i>
    <i>
      <x v="12"/>
    </i>
    <i>
      <x v="193"/>
    </i>
    <i>
      <x v="285"/>
    </i>
    <i>
      <x v="30"/>
    </i>
    <i>
      <x v="298"/>
    </i>
    <i>
      <x v="129"/>
    </i>
    <i>
      <x v="272"/>
    </i>
    <i>
      <x v="224"/>
    </i>
    <i>
      <x v="293"/>
    </i>
    <i>
      <x v="84"/>
    </i>
    <i>
      <x v="65"/>
    </i>
    <i>
      <x v="75"/>
    </i>
    <i>
      <x v="115"/>
    </i>
    <i>
      <x v="9"/>
    </i>
    <i>
      <x v="155"/>
    </i>
    <i>
      <x v="157"/>
    </i>
    <i>
      <x v="203"/>
    </i>
    <i>
      <x v="214"/>
    </i>
    <i>
      <x v="211"/>
    </i>
    <i>
      <x v="118"/>
    </i>
    <i>
      <x v="288"/>
    </i>
    <i>
      <x v="241"/>
    </i>
    <i>
      <x v="91"/>
    </i>
    <i>
      <x v="8"/>
    </i>
    <i>
      <x v="190"/>
    </i>
    <i>
      <x v="2"/>
    </i>
    <i>
      <x v="79"/>
    </i>
    <i>
      <x v="43"/>
    </i>
    <i>
      <x v="185"/>
    </i>
    <i>
      <x v="14"/>
    </i>
    <i>
      <x v="194"/>
    </i>
    <i>
      <x v="226"/>
    </i>
    <i>
      <x v="67"/>
    </i>
    <i>
      <x v="28"/>
    </i>
    <i>
      <x v="222"/>
    </i>
    <i>
      <x v="261"/>
    </i>
    <i>
      <x v="6"/>
    </i>
    <i>
      <x v="133"/>
    </i>
    <i>
      <x v="245"/>
    </i>
    <i>
      <x v="135"/>
    </i>
    <i>
      <x v="269"/>
    </i>
    <i>
      <x v="151"/>
    </i>
    <i>
      <x v="305"/>
    </i>
    <i>
      <x v="310"/>
    </i>
    <i>
      <x v="173"/>
    </i>
    <i>
      <x v="22"/>
    </i>
    <i>
      <x v="254"/>
    </i>
    <i>
      <x v="231"/>
    </i>
    <i>
      <x v="44"/>
    </i>
    <i>
      <x v="299"/>
    </i>
    <i>
      <x v="80"/>
    </i>
    <i>
      <x v="208"/>
    </i>
    <i>
      <x v="11"/>
    </i>
    <i>
      <x v="238"/>
    </i>
    <i>
      <x v="85"/>
    </i>
    <i>
      <x v="263"/>
    </i>
    <i>
      <x v="98"/>
    </i>
    <i>
      <x v="54"/>
    </i>
    <i>
      <x v="108"/>
    </i>
    <i>
      <x v="23"/>
    </i>
    <i>
      <x v="41"/>
    </i>
    <i>
      <x v="212"/>
    </i>
    <i>
      <x v="132"/>
    </i>
    <i>
      <x v="237"/>
    </i>
    <i>
      <x v="144"/>
    </i>
    <i>
      <x v="29"/>
    </i>
    <i>
      <x v="146"/>
    </i>
    <i>
      <x v="256"/>
    </i>
    <i>
      <x v="147"/>
    </i>
    <i>
      <x v="265"/>
    </i>
    <i>
      <x v="150"/>
    </i>
    <i>
      <x v="292"/>
    </i>
    <i>
      <x v="59"/>
    </i>
    <i>
      <x v="286"/>
    </i>
    <i>
      <x v="45"/>
    </i>
    <i>
      <x v="96"/>
    </i>
    <i>
      <x v="206"/>
    </i>
    <i>
      <x v="97"/>
    </i>
    <i>
      <x v="89"/>
    </i>
    <i>
      <x v="73"/>
    </i>
    <i>
      <x v="270"/>
    </i>
    <i>
      <x v="99"/>
    </i>
    <i>
      <x v="198"/>
    </i>
    <i>
      <x v="100"/>
    </i>
    <i>
      <x v="58"/>
    </i>
    <i>
      <x v="101"/>
    </i>
    <i>
      <x v="230"/>
    </i>
    <i>
      <x v="102"/>
    </i>
    <i>
      <x v="246"/>
    </i>
    <i>
      <x v="103"/>
    </i>
    <i>
      <x v="262"/>
    </i>
    <i>
      <x v="104"/>
    </i>
    <i>
      <x v="278"/>
    </i>
    <i>
      <x v="105"/>
    </i>
    <i>
      <x v="55"/>
    </i>
    <i>
      <x v="106"/>
    </i>
    <i>
      <x v="202"/>
    </i>
    <i>
      <x v="107"/>
    </i>
    <i>
      <x v="210"/>
    </i>
    <i>
      <x v="74"/>
    </i>
    <i>
      <x v="218"/>
    </i>
    <i>
      <x v="109"/>
    </i>
    <i>
      <x v="60"/>
    </i>
    <i>
      <x v="110"/>
    </i>
    <i>
      <x v="234"/>
    </i>
    <i>
      <x v="111"/>
    </i>
    <i>
      <x v="242"/>
    </i>
    <i>
      <x v="112"/>
    </i>
    <i>
      <x v="250"/>
    </i>
    <i>
      <x v="113"/>
    </i>
    <i>
      <x v="4"/>
    </i>
    <i>
      <x v="114"/>
    </i>
    <i>
      <x v="266"/>
    </i>
    <i>
      <x v="5"/>
    </i>
    <i>
      <x v="274"/>
    </i>
    <i>
      <x v="116"/>
    </i>
    <i>
      <x v="282"/>
    </i>
    <i>
      <x v="117"/>
    </i>
    <i>
      <x v="290"/>
    </i>
    <i>
      <x v="10"/>
    </i>
    <i>
      <x v="196"/>
    </i>
    <i>
      <x v="119"/>
    </i>
    <i>
      <x v="200"/>
    </i>
    <i>
      <x v="120"/>
    </i>
    <i>
      <x v="71"/>
    </i>
    <i>
      <x v="121"/>
    </i>
    <i>
      <x v="72"/>
    </i>
    <i>
      <x v="122"/>
    </i>
    <i>
      <x v="86"/>
    </i>
    <i>
      <x v="123"/>
    </i>
    <i>
      <x v="216"/>
    </i>
    <i>
      <x v="124"/>
    </i>
    <i>
      <x v="220"/>
    </i>
    <i>
      <x v="13"/>
    </i>
    <i>
      <x v="26"/>
    </i>
    <i>
      <x v="126"/>
    </i>
    <i>
      <x v="228"/>
    </i>
    <i>
      <x v="127"/>
    </i>
    <i>
      <x v="232"/>
    </i>
    <i>
      <x v="128"/>
    </i>
    <i>
      <x v="236"/>
    </i>
    <i>
      <x v="48"/>
    </i>
    <i>
      <x v="240"/>
    </i>
    <i>
      <x v="130"/>
    </i>
    <i>
      <x v="244"/>
    </i>
    <i>
      <x v="131"/>
    </i>
    <i>
      <x v="248"/>
    </i>
    <i>
      <x v="76"/>
    </i>
    <i>
      <x v="252"/>
    </i>
    <i>
      <x v="49"/>
    </i>
    <i>
      <x v="92"/>
    </i>
    <i>
      <x v="134"/>
    </i>
    <i>
      <x v="260"/>
    </i>
    <i>
      <x v="50"/>
    </i>
    <i>
      <x v="264"/>
    </i>
    <i>
      <x v="136"/>
    </i>
    <i>
      <x v="268"/>
    </i>
    <i>
      <x v="137"/>
    </i>
    <i>
      <x v="31"/>
    </i>
    <i>
      <x v="138"/>
    </i>
    <i>
      <x v="276"/>
    </i>
    <i>
      <x v="139"/>
    </i>
    <i>
      <x v="280"/>
    </i>
    <i>
      <x v="140"/>
    </i>
    <i>
      <x v="284"/>
    </i>
    <i>
      <x v="15"/>
    </i>
    <i>
      <x v="66"/>
    </i>
    <i>
      <x v="16"/>
    </i>
    <i>
      <x v="83"/>
    </i>
    <i>
      <x v="143"/>
    </i>
    <i>
      <x v="195"/>
    </i>
    <i>
      <x v="77"/>
    </i>
    <i>
      <x v="197"/>
    </i>
    <i>
      <x v="17"/>
    </i>
    <i>
      <x v="199"/>
    </i>
    <i>
      <x v="78"/>
    </i>
    <i>
      <x v="201"/>
    </i>
    <i>
      <x v="69"/>
    </i>
    <i>
      <x v="56"/>
    </i>
    <i>
      <x v="148"/>
    </i>
    <i>
      <x v="205"/>
    </i>
    <i>
      <x v="149"/>
    </i>
    <i>
      <x v="207"/>
    </i>
    <i>
      <x v="70"/>
    </i>
    <i>
      <x v="209"/>
    </i>
    <i>
      <x v="51"/>
    </i>
    <i>
      <x v="57"/>
    </i>
    <i>
      <x v="152"/>
    </i>
    <i>
      <x v="3"/>
    </i>
    <i>
      <x v="153"/>
    </i>
    <i>
      <x v="215"/>
    </i>
    <i>
      <x v="154"/>
    </i>
    <i>
      <x v="217"/>
    </i>
    <i>
      <x v="18"/>
    </i>
    <i>
      <x v="219"/>
    </i>
    <i>
      <x v="156"/>
    </i>
    <i>
      <x v="25"/>
    </i>
    <i>
      <x v="316"/>
    </i>
    <i>
      <x v="223"/>
    </i>
    <i>
      <x v="317"/>
    </i>
    <i>
      <x v="225"/>
    </i>
    <i>
      <x v="319"/>
    </i>
    <i>
      <x v="227"/>
    </i>
    <i>
      <x v="321"/>
    </i>
    <i>
      <x v="229"/>
    </i>
    <i>
      <x v="161"/>
    </i>
    <i>
      <x v="87"/>
    </i>
    <i>
      <x v="162"/>
    </i>
    <i>
      <x v="233"/>
    </i>
    <i>
      <x v="163"/>
    </i>
    <i>
      <x v="235"/>
    </i>
    <i>
      <x v="164"/>
    </i>
    <i>
      <x v="88"/>
    </i>
    <i>
      <x v="165"/>
    </i>
    <i>
      <x v="27"/>
    </i>
    <i>
      <x v="166"/>
    </i>
    <i>
      <x v="61"/>
    </i>
    <i>
      <x v="167"/>
    </i>
    <i>
      <x v="62"/>
    </i>
    <i>
      <x v="168"/>
    </i>
    <i>
      <x v="63"/>
    </i>
    <i>
      <x v="169"/>
    </i>
    <i>
      <x v="247"/>
    </i>
    <i>
      <x v="170"/>
    </i>
    <i>
      <x v="249"/>
    </i>
    <i>
      <x v="171"/>
    </i>
    <i>
      <x v="90"/>
    </i>
    <i>
      <x v="172"/>
    </i>
    <i>
      <x v="253"/>
    </i>
    <i>
      <x v="309"/>
    </i>
    <i>
      <x v="255"/>
    </i>
    <i>
      <x v="7"/>
    </i>
    <i>
      <x v="257"/>
    </i>
    <i>
      <x v="312"/>
    </i>
    <i>
      <x v="259"/>
    </i>
    <i>
      <x v="38"/>
    </i>
    <i>
      <x v="42"/>
    </i>
    <i>
      <x v="39"/>
    </i>
    <i>
      <x v="93"/>
    </i>
    <i>
      <x v="178"/>
    </i>
    <i>
      <x v="94"/>
    </i>
    <i>
      <x v="291"/>
    </i>
    <i>
      <x v="267"/>
    </i>
    <i>
      <x v="33"/>
    </i>
    <i>
      <x v="1"/>
    </i>
    <i>
      <x v="295"/>
    </i>
    <i>
      <x v="271"/>
    </i>
    <i>
      <x v="297"/>
    </i>
    <i>
      <x v="273"/>
    </i>
    <i>
      <x v="81"/>
    </i>
    <i>
      <x v="275"/>
    </i>
    <i>
      <x v="301"/>
    </i>
    <i>
      <x v="277"/>
    </i>
    <i>
      <x v="303"/>
    </i>
    <i>
      <x v="279"/>
    </i>
    <i>
      <x v="40"/>
    </i>
    <i>
      <x v="281"/>
    </i>
    <i>
      <x v="307"/>
    </i>
    <i>
      <x v="283"/>
    </i>
    <i>
      <x v="68"/>
    </i>
    <i>
      <x v="32"/>
    </i>
    <i>
      <x v="21"/>
    </i>
    <i>
      <x v="287"/>
    </i>
    <i>
      <x v="82"/>
    </i>
    <i>
      <x v="289"/>
    </i>
    <i>
      <x v="191"/>
    </i>
    <i>
      <x v="95"/>
    </i>
    <i>
      <x v="192"/>
    </i>
    <i>
      <x v="179"/>
    </i>
    <i>
      <x v="34"/>
    </i>
    <i>
      <x v="180"/>
    </i>
    <i>
      <x v="35"/>
    </i>
    <i>
      <x v="20"/>
    </i>
    <i>
      <x v="36"/>
    </i>
    <i>
      <x v="182"/>
    </i>
    <i>
      <x v="300"/>
    </i>
    <i>
      <x v="183"/>
    </i>
    <i>
      <x v="302"/>
    </i>
    <i>
      <x v="184"/>
    </i>
    <i>
      <x v="304"/>
    </i>
    <i>
      <x v="53"/>
    </i>
    <i>
      <x v="37"/>
    </i>
    <i>
      <x v="186"/>
    </i>
    <i>
      <x v="308"/>
    </i>
    <i>
      <x v="187"/>
    </i>
    <i>
      <x v="188"/>
    </i>
    <i>
      <x v="311"/>
    </i>
    <i>
      <x v="174"/>
    </i>
    <i>
      <x v="313"/>
    </i>
    <i>
      <x v="175"/>
    </i>
    <i>
      <x v="315"/>
    </i>
    <i>
      <x v="19"/>
    </i>
    <i>
      <x v="177"/>
    </i>
    <i>
      <x v="318"/>
    </i>
    <i>
      <x v="158"/>
    </i>
    <i>
      <x v="320"/>
    </i>
    <i>
      <x v="159"/>
    </i>
    <i>
      <x/>
    </i>
    <i>
      <x v="160"/>
    </i>
  </rowItems>
  <colItems count="1">
    <i/>
  </colItems>
  <dataFields count="1">
    <dataField name="Total score" fld="8" baseField="0" baseItem="181"/>
  </dataFields>
  <formats count="7">
    <format dxfId="36">
      <pivotArea outline="0" collapsedLevelsAreSubtotals="1" fieldPosition="0"/>
    </format>
    <format dxfId="35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34">
      <pivotArea dataOnly="0" labelOnly="1" outline="0" axis="axisValues" fieldPosition="0"/>
    </format>
    <format dxfId="33">
      <pivotArea outline="0" collapsedLevelsAreSubtotals="1" fieldPosition="0"/>
    </format>
    <format dxfId="32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0" count="10">
            <x v="59"/>
            <x v="65"/>
            <x v="140"/>
            <x v="145"/>
            <x v="175"/>
            <x v="177"/>
            <x v="178"/>
            <x v="207"/>
            <x v="210"/>
            <x v="215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0053F-6955-4EF7-A9CD-9CB39F34BA42}" name="PivotTable6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Chest no.">
  <location ref="G4:H16" firstHeaderRow="1" firstDataRow="1" firstDataCol="1"/>
  <pivotFields count="11">
    <pivotField axis="axisRow" showAll="0" measureFilter="1" sortType="descending">
      <items count="323">
        <item x="3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12">
    <i>
      <x v="306"/>
    </i>
    <i>
      <x v="221"/>
    </i>
    <i>
      <x v="142"/>
    </i>
    <i>
      <x v="125"/>
    </i>
    <i>
      <x v="52"/>
    </i>
    <i>
      <x v="47"/>
    </i>
    <i>
      <x v="64"/>
    </i>
    <i>
      <x v="176"/>
    </i>
    <i>
      <x v="294"/>
    </i>
    <i>
      <x v="46"/>
    </i>
    <i>
      <x v="314"/>
    </i>
    <i>
      <x v="24"/>
    </i>
  </rowItems>
  <colItems count="1">
    <i/>
  </colItems>
  <dataFields count="1">
    <dataField name="Total score" fld="7" baseField="0" baseItem="9"/>
  </dataFields>
  <formats count="7">
    <format dxfId="43">
      <pivotArea outline="0" collapsedLevelsAreSubtotals="1" fieldPosition="0"/>
    </format>
    <format dxfId="42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41">
      <pivotArea dataOnly="0" labelOnly="1" outline="0" axis="axisValues" fieldPosition="0"/>
    </format>
    <format dxfId="40">
      <pivotArea outline="0" collapsedLevelsAreSubtotals="1" fieldPosition="0"/>
    </format>
    <format dxfId="39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38">
      <pivotArea outline="0" collapsedLevelsAreSubtotals="1" fieldPosition="0"/>
    </format>
    <format dxfId="37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</formats>
  <pivotTableStyleInfo name="PivotStyleMedium2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B6535-CE99-432F-AE55-0CDEE7031248}" name="PivotTable2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" rowHeaderCaption="Chest no.">
  <location ref="L4:N37" firstHeaderRow="0" firstDataRow="1" firstDataCol="1"/>
  <pivotFields count="11">
    <pivotField axis="axisRow" showAll="0" measureFilter="1" sortType="descending">
      <items count="323">
        <item x="3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33">
    <i>
      <x v="316"/>
    </i>
    <i>
      <x v="299"/>
    </i>
    <i>
      <x v="317"/>
    </i>
    <i>
      <x v="300"/>
    </i>
    <i>
      <x v="297"/>
    </i>
    <i>
      <x v="318"/>
    </i>
    <i>
      <x v="292"/>
    </i>
    <i>
      <x v="305"/>
    </i>
    <i>
      <x v="308"/>
    </i>
    <i>
      <x v="320"/>
    </i>
    <i>
      <x v="313"/>
    </i>
    <i>
      <x v="295"/>
    </i>
    <i>
      <x v="311"/>
    </i>
    <i>
      <x v="314"/>
    </i>
    <i>
      <x v="293"/>
    </i>
    <i>
      <x v="294"/>
    </i>
    <i>
      <x v="303"/>
    </i>
    <i>
      <x v="304"/>
    </i>
    <i>
      <x v="302"/>
    </i>
    <i>
      <x v="310"/>
    </i>
    <i>
      <x v="315"/>
    </i>
    <i>
      <x v="306"/>
    </i>
    <i>
      <x v="312"/>
    </i>
    <i>
      <x v="301"/>
    </i>
    <i>
      <x v="289"/>
    </i>
    <i>
      <x v="298"/>
    </i>
    <i>
      <x v="296"/>
    </i>
    <i>
      <x v="307"/>
    </i>
    <i>
      <x v="290"/>
    </i>
    <i>
      <x v="319"/>
    </i>
    <i>
      <x v="321"/>
    </i>
    <i>
      <x v="291"/>
    </i>
    <i>
      <x v="309"/>
    </i>
  </rowItems>
  <colFields count="1">
    <field x="-2"/>
  </colFields>
  <colItems count="2">
    <i>
      <x/>
    </i>
    <i i="1">
      <x v="1"/>
    </i>
  </colItems>
  <dataFields count="2">
    <dataField name="Sum of Entered" fld="8" baseField="0" baseItem="3"/>
    <dataField name="Sum of Class" fld="4" baseField="0" baseItem="0"/>
  </dataFields>
  <formats count="7">
    <format dxfId="22">
      <pivotArea outline="0" collapsedLevelsAreSubtotals="1" fieldPosition="0"/>
    </format>
    <format dxfId="21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20">
      <pivotArea dataOnly="0" labelOnly="1" outline="0" axis="axisValues" fieldPosition="0"/>
    </format>
    <format dxfId="19">
      <pivotArea outline="0" collapsedLevelsAreSubtotals="1" fieldPosition="0"/>
    </format>
    <format dxfId="18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0" count="14">
            <x v="51"/>
            <x v="59"/>
            <x v="65"/>
            <x v="84"/>
            <x v="106"/>
            <x v="121"/>
            <x v="140"/>
            <x v="141"/>
            <x v="177"/>
            <x v="190"/>
            <x v="210"/>
            <x v="215"/>
            <x v="216"/>
            <x v="286"/>
          </reference>
        </references>
      </pivotArea>
    </format>
  </formats>
  <pivotTableStyleInfo name="PivotStyleMedium2" showRowHeaders="1" showColHeaders="1" showRowStripes="0" showColStripes="0" showLastColumn="1"/>
  <filters count="1">
    <filter fld="0" type="valueEqual" evalOrder="-1" id="11" iMeasureFld="1">
      <autoFilter ref="A1">
        <filterColumn colId="0">
          <customFilters>
            <customFilter val="1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3F1FA4-6EB5-4561-8DCF-67BF7F0CF6B6}" name="Table1" displayName="Table1" ref="B5:D16" totalsRowCount="1" headerRowDxfId="15" dataDxfId="14">
  <autoFilter ref="B5:D15" xr:uid="{593F1FA4-6EB5-4561-8DCF-67BF7F0CF6B6}">
    <filterColumn colId="0" hiddenButton="1"/>
    <filterColumn colId="1" hiddenButton="1"/>
    <filterColumn colId="2" hiddenButton="1"/>
  </autoFilter>
  <tableColumns count="3">
    <tableColumn id="1" xr3:uid="{2AFB40B6-8D0A-4FF6-A19A-8C46A9905957}" name="From" dataDxfId="13" totalsRowDxfId="12"/>
    <tableColumn id="3" xr3:uid="{6E924079-BF93-4023-B9BE-C5935A67D0AE}" name="To" dataDxfId="11" totalsRowDxfId="10"/>
    <tableColumn id="4" xr3:uid="{321B15A1-5C19-4403-B01E-35DA350BE048}" name="Count" totalsRowFunction="sum" dataDxfId="9" totalsRowDxfId="8">
      <calculatedColumnFormula>COUNTIFS(M:M,"&gt;="&amp;B6,M:M,"&lt;"&amp;C6+1)</calculatedColumnFormula>
    </tableColumn>
  </tableColumns>
  <tableStyleInfo name="TableStyleLight13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F1AC33-AD2B-48A4-9FDC-786CBF6EA13C}" name="Table3" displayName="Table3" ref="A1:H322" totalsRowShown="0">
  <autoFilter ref="A1:H322" xr:uid="{D7F1AC33-AD2B-48A4-9FDC-786CBF6EA13C}">
    <filterColumn colId="6">
      <filters>
        <filter val="1"/>
      </filters>
    </filterColumn>
  </autoFilter>
  <tableColumns count="8">
    <tableColumn id="1" xr3:uid="{B9125477-E26D-4038-9534-E6171572352A}" name="Sl. No."/>
    <tableColumn id="2" xr3:uid="{CD347958-1A4B-48FC-B19A-B6F4F9AA33CA}" name="Chest No."/>
    <tableColumn id="3" xr3:uid="{4D831486-883D-46B3-9B13-E26BEB564E73}" name="Name"/>
    <tableColumn id="4" xr3:uid="{1DB953A5-401D-414E-9E08-C0CFADB894AA}" name="Team Code"/>
    <tableColumn id="5" xr3:uid="{F8CC1CAE-A553-438E-AC24-E175809FDB0D}" name="Section"/>
    <tableColumn id="6" xr3:uid="{6A83A205-E49A-44B0-AE78-471DF60D0D60}" name="Class"/>
    <tableColumn id="7" xr3:uid="{7766439A-9294-42B6-BA65-B5FC6BF287E5}" name="Program count"/>
    <tableColumn id="8" xr3:uid="{2F5DFC3E-937D-4651-823E-D4DD69525882}" name="S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EE657C-AF63-4AD1-9214-BA18E82EF78F}" name="Table2" displayName="Table2" ref="B1:G322" totalsRowShown="0" tableBorderDxfId="5">
  <autoFilter ref="B1:G322" xr:uid="{FCEE657C-AF63-4AD1-9214-BA18E82EF78F}"/>
  <tableColumns count="6">
    <tableColumn id="1" xr3:uid="{B7F74176-EF8E-4F26-B5A0-9880E500F358}" name="Chest No." dataDxfId="4"/>
    <tableColumn id="2" xr3:uid="{C1091536-ED96-4822-8CFC-13F668E95942}" name="Name" dataDxfId="3"/>
    <tableColumn id="3" xr3:uid="{20B8F7CB-3A78-4669-BA57-82E834C752B7}" name="Team Code"/>
    <tableColumn id="4" xr3:uid="{C83529BC-049A-4F4E-9C5E-A36AFBD2F66E}" name="Section" dataDxfId="2"/>
    <tableColumn id="5" xr3:uid="{199F9F22-7274-41C6-BC46-2AB0FB55A879}" name="Class _x000a_(Optional)" dataDxfId="1"/>
    <tableColumn id="6" xr3:uid="{4FFC1AB9-24D5-40C4-A165-5400E1C59F32}" name="Class _x000a_(Optional)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3DE4-27A3-4422-AD07-F472005CBB90}">
  <sheetPr codeName="Sheet1"/>
  <dimension ref="B3:X504"/>
  <sheetViews>
    <sheetView topLeftCell="A463" zoomScale="95" workbookViewId="0">
      <selection activeCell="F5" sqref="F5"/>
    </sheetView>
  </sheetViews>
  <sheetFormatPr defaultRowHeight="14.25" x14ac:dyDescent="0.45"/>
  <cols>
    <col min="3" max="3" width="34.3984375" bestFit="1" customWidth="1"/>
    <col min="5" max="5" width="12.3984375" bestFit="1" customWidth="1"/>
    <col min="15" max="15" width="34.3984375" bestFit="1" customWidth="1"/>
    <col min="24" max="24" width="13.6640625" bestFit="1" customWidth="1"/>
  </cols>
  <sheetData>
    <row r="3" spans="2:24" ht="21" x14ac:dyDescent="0.65">
      <c r="B3" s="3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N3" s="3" t="s">
        <v>1</v>
      </c>
      <c r="O3" s="2"/>
      <c r="P3" s="2"/>
      <c r="Q3" s="2"/>
      <c r="R3" s="2"/>
      <c r="S3" s="2"/>
      <c r="T3" s="2"/>
      <c r="U3" s="2"/>
      <c r="V3" s="2"/>
      <c r="W3" s="2"/>
      <c r="X3" s="2"/>
    </row>
    <row r="4" spans="2:24" x14ac:dyDescent="0.45">
      <c r="B4" t="s">
        <v>2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10</v>
      </c>
      <c r="I4" t="s">
        <v>8</v>
      </c>
      <c r="J4" t="s">
        <v>9</v>
      </c>
      <c r="K4" t="s">
        <v>11</v>
      </c>
      <c r="L4" t="s">
        <v>12</v>
      </c>
      <c r="N4" t="s">
        <v>2</v>
      </c>
      <c r="O4" t="s">
        <v>3</v>
      </c>
      <c r="P4" t="s">
        <v>4</v>
      </c>
      <c r="Q4" t="s">
        <v>5</v>
      </c>
      <c r="R4" t="s">
        <v>6</v>
      </c>
      <c r="S4" t="s">
        <v>7</v>
      </c>
      <c r="T4" t="s">
        <v>10</v>
      </c>
      <c r="U4" t="s">
        <v>8</v>
      </c>
      <c r="V4" t="s">
        <v>9</v>
      </c>
      <c r="W4" t="s">
        <v>11</v>
      </c>
      <c r="X4" t="s">
        <v>12</v>
      </c>
    </row>
    <row r="5" spans="2:24" x14ac:dyDescent="0.45">
      <c r="B5" t="str" cm="1">
        <f t="array" ref="B5:L504">[1]CANDIDATES!$C$7:$M$506</f>
        <v>A100</v>
      </c>
      <c r="C5" t="str">
        <v>ADINAN ABOOBACKER K</v>
      </c>
      <c r="D5" t="str">
        <v>FANT</v>
      </c>
      <c r="E5" t="str">
        <v>SUB JUNIOR</v>
      </c>
      <c r="F5">
        <v>1</v>
      </c>
      <c r="G5">
        <v>0</v>
      </c>
      <c r="H5">
        <v>0</v>
      </c>
      <c r="I5">
        <v>0</v>
      </c>
      <c r="J5">
        <v>0</v>
      </c>
      <c r="K5">
        <v>255</v>
      </c>
      <c r="L5">
        <v>255</v>
      </c>
      <c r="N5" t="str" cm="1">
        <f t="array" ref="N5:X504">[2]!detailsof_candidates</f>
        <v>A100</v>
      </c>
      <c r="O5" t="str">
        <v>ADINAN ABOOBACKER K</v>
      </c>
      <c r="P5" t="str">
        <v>FANT</v>
      </c>
      <c r="Q5" t="str">
        <v>SUB JUNIOR</v>
      </c>
      <c r="R5">
        <v>1</v>
      </c>
      <c r="S5">
        <v>0</v>
      </c>
      <c r="T5">
        <v>0</v>
      </c>
      <c r="U5">
        <v>0</v>
      </c>
      <c r="V5">
        <v>0</v>
      </c>
      <c r="W5">
        <v>76</v>
      </c>
      <c r="X5">
        <v>96</v>
      </c>
    </row>
    <row r="6" spans="2:24" x14ac:dyDescent="0.45">
      <c r="B6" t="str">
        <v>A101</v>
      </c>
      <c r="C6" t="str">
        <v>MUHAMMED TAMEEM</v>
      </c>
      <c r="D6" t="str">
        <v>JARF</v>
      </c>
      <c r="E6" t="str">
        <v>SUB JUNIOR</v>
      </c>
      <c r="F6">
        <v>1</v>
      </c>
      <c r="G6">
        <v>6</v>
      </c>
      <c r="H6">
        <v>0</v>
      </c>
      <c r="I6">
        <v>6</v>
      </c>
      <c r="J6">
        <v>6</v>
      </c>
      <c r="K6">
        <v>171</v>
      </c>
      <c r="L6">
        <v>171</v>
      </c>
      <c r="N6" t="str">
        <v>A101</v>
      </c>
      <c r="O6" t="str">
        <v>MUHAMMED TAMEEM</v>
      </c>
      <c r="P6" t="str">
        <v>JARF</v>
      </c>
      <c r="Q6" t="str">
        <v>SUB JUNIOR</v>
      </c>
      <c r="R6">
        <v>1</v>
      </c>
      <c r="S6">
        <v>3</v>
      </c>
      <c r="T6">
        <v>0</v>
      </c>
      <c r="U6">
        <v>3</v>
      </c>
      <c r="V6">
        <v>3</v>
      </c>
      <c r="W6">
        <v>30</v>
      </c>
      <c r="X6">
        <v>46</v>
      </c>
    </row>
    <row r="7" spans="2:24" x14ac:dyDescent="0.45">
      <c r="B7" t="str">
        <v>A102</v>
      </c>
      <c r="C7" t="str">
        <v>AJZAL ASHRAF OV</v>
      </c>
      <c r="D7" t="str">
        <v>JARF</v>
      </c>
      <c r="E7" t="str">
        <v>SUB JUNIOR</v>
      </c>
      <c r="F7">
        <v>1</v>
      </c>
      <c r="G7">
        <v>14</v>
      </c>
      <c r="H7">
        <v>0</v>
      </c>
      <c r="I7">
        <v>14</v>
      </c>
      <c r="J7">
        <v>14</v>
      </c>
      <c r="K7">
        <v>104</v>
      </c>
      <c r="L7">
        <v>104</v>
      </c>
      <c r="N7" t="str">
        <v>A102</v>
      </c>
      <c r="O7" t="str">
        <v>AJZAL ASHRAF OV</v>
      </c>
      <c r="P7" t="str">
        <v>JARF</v>
      </c>
      <c r="Q7" t="str">
        <v>SUB JUNIOR</v>
      </c>
      <c r="R7">
        <v>1</v>
      </c>
      <c r="S7">
        <v>0</v>
      </c>
      <c r="T7">
        <v>0</v>
      </c>
      <c r="U7">
        <v>0</v>
      </c>
      <c r="V7">
        <v>0</v>
      </c>
      <c r="W7">
        <v>76</v>
      </c>
      <c r="X7">
        <v>96</v>
      </c>
    </row>
    <row r="8" spans="2:24" x14ac:dyDescent="0.45">
      <c r="B8" t="str">
        <v>A103</v>
      </c>
      <c r="C8" t="str">
        <v>MUHAMMED RIZIN AMAN</v>
      </c>
      <c r="D8" t="str">
        <v>JARF</v>
      </c>
      <c r="E8" t="str">
        <v>SUB JUNIOR</v>
      </c>
      <c r="F8">
        <v>1</v>
      </c>
      <c r="G8">
        <v>26.5</v>
      </c>
      <c r="H8">
        <v>0</v>
      </c>
      <c r="I8">
        <v>26.5</v>
      </c>
      <c r="J8">
        <v>26.5</v>
      </c>
      <c r="K8">
        <v>56</v>
      </c>
      <c r="L8">
        <v>56</v>
      </c>
      <c r="N8" t="str">
        <v>A103</v>
      </c>
      <c r="O8" t="str">
        <v>MUHAMMED RIZIN AMAN</v>
      </c>
      <c r="P8" t="str">
        <v>JARF</v>
      </c>
      <c r="Q8" t="str">
        <v>SUB JUNIOR</v>
      </c>
      <c r="R8">
        <v>1</v>
      </c>
      <c r="S8">
        <v>0</v>
      </c>
      <c r="T8">
        <v>0</v>
      </c>
      <c r="U8">
        <v>0</v>
      </c>
      <c r="V8">
        <v>0</v>
      </c>
      <c r="W8">
        <v>76</v>
      </c>
      <c r="X8">
        <v>96</v>
      </c>
    </row>
    <row r="9" spans="2:24" x14ac:dyDescent="0.45">
      <c r="B9" t="str">
        <v>A104</v>
      </c>
      <c r="C9" t="str">
        <v>MUHAMMAD AZEEM</v>
      </c>
      <c r="D9" t="str">
        <v>BADF</v>
      </c>
      <c r="E9" t="str">
        <v>SUB JUNIOR</v>
      </c>
      <c r="F9">
        <v>1</v>
      </c>
      <c r="G9">
        <v>25.5</v>
      </c>
      <c r="H9">
        <v>0</v>
      </c>
      <c r="I9">
        <v>25.5</v>
      </c>
      <c r="J9">
        <v>25.5</v>
      </c>
      <c r="K9">
        <v>59</v>
      </c>
      <c r="L9">
        <v>59</v>
      </c>
      <c r="N9" t="str">
        <v>A104</v>
      </c>
      <c r="O9" t="str">
        <v>MUHAMMAD AZEEM</v>
      </c>
      <c r="P9" t="str">
        <v>BADF</v>
      </c>
      <c r="Q9" t="str">
        <v>SUB JUNIOR</v>
      </c>
      <c r="R9">
        <v>1</v>
      </c>
      <c r="S9">
        <v>0</v>
      </c>
      <c r="T9">
        <v>0</v>
      </c>
      <c r="U9">
        <v>0</v>
      </c>
      <c r="V9">
        <v>0</v>
      </c>
      <c r="W9">
        <v>76</v>
      </c>
      <c r="X9">
        <v>96</v>
      </c>
    </row>
    <row r="10" spans="2:24" x14ac:dyDescent="0.45">
      <c r="B10" t="str">
        <v>A105</v>
      </c>
      <c r="C10" t="str">
        <v>MUHAMMED HAFIZ S T</v>
      </c>
      <c r="D10" t="str">
        <v>FANT</v>
      </c>
      <c r="E10" t="str">
        <v>SUB JUNIOR</v>
      </c>
      <c r="F10">
        <v>1</v>
      </c>
      <c r="G10">
        <v>15</v>
      </c>
      <c r="H10">
        <v>0</v>
      </c>
      <c r="I10">
        <v>15</v>
      </c>
      <c r="J10">
        <v>15</v>
      </c>
      <c r="K10">
        <v>100</v>
      </c>
      <c r="L10">
        <v>100</v>
      </c>
      <c r="N10" t="str">
        <v>A105</v>
      </c>
      <c r="O10" t="str">
        <v>MUHAMMED HAFIZ S T</v>
      </c>
      <c r="P10" t="str">
        <v>FANT</v>
      </c>
      <c r="Q10" t="str">
        <v>SUB JUNIOR</v>
      </c>
      <c r="R10">
        <v>1</v>
      </c>
      <c r="S10">
        <v>3</v>
      </c>
      <c r="T10">
        <v>0</v>
      </c>
      <c r="U10">
        <v>3</v>
      </c>
      <c r="V10">
        <v>3</v>
      </c>
      <c r="W10">
        <v>30</v>
      </c>
      <c r="X10">
        <v>46</v>
      </c>
    </row>
    <row r="11" spans="2:24" x14ac:dyDescent="0.45">
      <c r="B11" t="str">
        <v>A106</v>
      </c>
      <c r="C11" t="str">
        <v>Abdul Khader Uvais K A</v>
      </c>
      <c r="D11" t="str">
        <v>BADF</v>
      </c>
      <c r="E11" t="str">
        <v>SUB JUNIOR</v>
      </c>
      <c r="F11">
        <v>1</v>
      </c>
      <c r="G11">
        <v>8</v>
      </c>
      <c r="H11">
        <v>0</v>
      </c>
      <c r="I11">
        <v>8</v>
      </c>
      <c r="J11">
        <v>8</v>
      </c>
      <c r="K11">
        <v>147</v>
      </c>
      <c r="L11">
        <v>147</v>
      </c>
      <c r="N11" t="str">
        <v>A106</v>
      </c>
      <c r="O11" t="str">
        <v>Abdul Khader Uvais K A</v>
      </c>
      <c r="P11" t="str">
        <v>BADF</v>
      </c>
      <c r="Q11" t="str">
        <v>SUB JUNIOR</v>
      </c>
      <c r="R11">
        <v>1</v>
      </c>
      <c r="S11">
        <v>0</v>
      </c>
      <c r="T11">
        <v>0</v>
      </c>
      <c r="U11">
        <v>0</v>
      </c>
      <c r="V11">
        <v>0</v>
      </c>
      <c r="W11">
        <v>76</v>
      </c>
      <c r="X11">
        <v>96</v>
      </c>
    </row>
    <row r="12" spans="2:24" x14ac:dyDescent="0.45">
      <c r="B12" t="str">
        <v>A107</v>
      </c>
      <c r="C12" t="str">
        <v>MUHAMMED ADHIL C H</v>
      </c>
      <c r="D12" t="str">
        <v>FANT</v>
      </c>
      <c r="E12" t="str">
        <v>SUB JUNIOR</v>
      </c>
      <c r="F12">
        <v>1</v>
      </c>
      <c r="G12">
        <v>0</v>
      </c>
      <c r="H12">
        <v>0</v>
      </c>
      <c r="I12">
        <v>0</v>
      </c>
      <c r="J12">
        <v>0</v>
      </c>
      <c r="K12">
        <v>255</v>
      </c>
      <c r="L12">
        <v>255</v>
      </c>
      <c r="N12" t="str">
        <v>A107</v>
      </c>
      <c r="O12" t="str">
        <v>MUHAMMED ADHIL C H</v>
      </c>
      <c r="P12" t="str">
        <v>FANT</v>
      </c>
      <c r="Q12" t="str">
        <v>SUB JUNIOR</v>
      </c>
      <c r="R12">
        <v>1</v>
      </c>
      <c r="S12">
        <v>0</v>
      </c>
      <c r="T12">
        <v>3</v>
      </c>
      <c r="U12">
        <v>3</v>
      </c>
      <c r="V12">
        <v>3</v>
      </c>
      <c r="W12">
        <v>30</v>
      </c>
      <c r="X12">
        <v>46</v>
      </c>
    </row>
    <row r="13" spans="2:24" x14ac:dyDescent="0.45">
      <c r="B13" t="str">
        <v>A108</v>
      </c>
      <c r="C13" t="str">
        <v>Mohammed Sinan N.A</v>
      </c>
      <c r="D13" t="str">
        <v>BADF</v>
      </c>
      <c r="E13" t="str">
        <v>SUB JUNIOR</v>
      </c>
      <c r="F13">
        <v>1</v>
      </c>
      <c r="G13">
        <v>3</v>
      </c>
      <c r="H13">
        <v>0</v>
      </c>
      <c r="I13">
        <v>3</v>
      </c>
      <c r="J13">
        <v>3</v>
      </c>
      <c r="K13">
        <v>209</v>
      </c>
      <c r="L13">
        <v>209</v>
      </c>
      <c r="N13" t="str">
        <v>A108</v>
      </c>
      <c r="O13" t="str">
        <v>Mohammed Sinan N.A</v>
      </c>
      <c r="P13" t="str">
        <v>BADF</v>
      </c>
      <c r="Q13" t="str">
        <v>SUB JUNIOR</v>
      </c>
      <c r="R13">
        <v>1</v>
      </c>
      <c r="S13">
        <v>5</v>
      </c>
      <c r="T13">
        <v>0</v>
      </c>
      <c r="U13">
        <v>5</v>
      </c>
      <c r="V13">
        <v>5</v>
      </c>
      <c r="W13">
        <v>13</v>
      </c>
      <c r="X13">
        <v>24</v>
      </c>
    </row>
    <row r="14" spans="2:24" x14ac:dyDescent="0.45">
      <c r="B14" t="str">
        <v>A109</v>
      </c>
      <c r="C14" t="str">
        <v>AHMED RAZI MR</v>
      </c>
      <c r="D14" t="str">
        <v>BADF</v>
      </c>
      <c r="E14" t="str">
        <v>SUB JUNIOR</v>
      </c>
      <c r="F14">
        <v>1</v>
      </c>
      <c r="G14">
        <v>38</v>
      </c>
      <c r="H14">
        <v>0</v>
      </c>
      <c r="I14">
        <v>38</v>
      </c>
      <c r="J14">
        <v>38</v>
      </c>
      <c r="K14">
        <v>26</v>
      </c>
      <c r="L14">
        <v>26</v>
      </c>
      <c r="N14" t="str">
        <v>A109</v>
      </c>
      <c r="O14" t="str">
        <v>AHMED RAZI MR</v>
      </c>
      <c r="P14" t="str">
        <v>BADF</v>
      </c>
      <c r="Q14" t="str">
        <v>SUB JUNIOR</v>
      </c>
      <c r="R14">
        <v>1</v>
      </c>
      <c r="S14">
        <v>0</v>
      </c>
      <c r="T14">
        <v>0</v>
      </c>
      <c r="U14">
        <v>0</v>
      </c>
      <c r="V14">
        <v>0</v>
      </c>
      <c r="W14">
        <v>76</v>
      </c>
      <c r="X14">
        <v>96</v>
      </c>
    </row>
    <row r="15" spans="2:24" x14ac:dyDescent="0.45">
      <c r="B15" t="str">
        <v>A110</v>
      </c>
      <c r="C15" t="str">
        <v>Muhammed Hisham K M</v>
      </c>
      <c r="D15" t="str">
        <v>FANT</v>
      </c>
      <c r="E15" t="str">
        <v>SUB JUNIOR</v>
      </c>
      <c r="F15">
        <v>1</v>
      </c>
      <c r="G15">
        <v>9</v>
      </c>
      <c r="H15">
        <v>0</v>
      </c>
      <c r="I15">
        <v>9</v>
      </c>
      <c r="J15">
        <v>9</v>
      </c>
      <c r="K15">
        <v>139</v>
      </c>
      <c r="L15">
        <v>139</v>
      </c>
      <c r="N15" t="str">
        <v>A110</v>
      </c>
      <c r="O15" t="str">
        <v>Muhammed Hisham K M</v>
      </c>
      <c r="P15" t="str">
        <v>FANT</v>
      </c>
      <c r="Q15" t="str">
        <v>SUB JUNIOR</v>
      </c>
      <c r="R15">
        <v>1</v>
      </c>
      <c r="S15">
        <v>1</v>
      </c>
      <c r="T15">
        <v>0</v>
      </c>
      <c r="U15">
        <v>1</v>
      </c>
      <c r="V15">
        <v>1</v>
      </c>
      <c r="W15">
        <v>54</v>
      </c>
      <c r="X15">
        <v>69</v>
      </c>
    </row>
    <row r="16" spans="2:24" x14ac:dyDescent="0.45">
      <c r="B16" t="str">
        <v>A111</v>
      </c>
      <c r="C16" t="str">
        <v>HUSSAIN MUHAVIZ B A</v>
      </c>
      <c r="D16" t="str">
        <v>FANT</v>
      </c>
      <c r="E16" t="str">
        <v>SUB JUNIOR</v>
      </c>
      <c r="F16">
        <v>1</v>
      </c>
      <c r="G16">
        <v>10</v>
      </c>
      <c r="H16">
        <v>0</v>
      </c>
      <c r="I16">
        <v>10</v>
      </c>
      <c r="J16">
        <v>10</v>
      </c>
      <c r="K16">
        <v>131</v>
      </c>
      <c r="L16">
        <v>131</v>
      </c>
      <c r="N16" t="str">
        <v>A111</v>
      </c>
      <c r="O16" t="str">
        <v>HUSSAIN MUHAVIZ B A</v>
      </c>
      <c r="P16" t="str">
        <v>FANT</v>
      </c>
      <c r="Q16" t="str">
        <v>SUB JUNIOR</v>
      </c>
      <c r="R16">
        <v>1</v>
      </c>
      <c r="S16">
        <v>5</v>
      </c>
      <c r="T16">
        <v>0</v>
      </c>
      <c r="U16">
        <v>5</v>
      </c>
      <c r="V16">
        <v>5</v>
      </c>
      <c r="W16">
        <v>13</v>
      </c>
      <c r="X16">
        <v>24</v>
      </c>
    </row>
    <row r="17" spans="2:24" x14ac:dyDescent="0.45">
      <c r="B17" t="str">
        <v>A112</v>
      </c>
      <c r="C17" t="str">
        <v>HILAL ABDULLA C H</v>
      </c>
      <c r="D17" t="str">
        <v>DAHF</v>
      </c>
      <c r="E17" t="str">
        <v>SUB JUNIOR</v>
      </c>
      <c r="F17">
        <v>1</v>
      </c>
      <c r="G17">
        <v>20</v>
      </c>
      <c r="H17">
        <v>0</v>
      </c>
      <c r="I17">
        <v>20</v>
      </c>
      <c r="J17">
        <v>20</v>
      </c>
      <c r="K17">
        <v>74</v>
      </c>
      <c r="L17">
        <v>74</v>
      </c>
      <c r="N17" t="str">
        <v>A112</v>
      </c>
      <c r="O17" t="str">
        <v>HILAL ABDULLA C H</v>
      </c>
      <c r="P17" t="str">
        <v>DAHF</v>
      </c>
      <c r="Q17" t="str">
        <v>SUB JUNIOR</v>
      </c>
      <c r="R17">
        <v>1</v>
      </c>
      <c r="S17">
        <v>0</v>
      </c>
      <c r="T17">
        <v>0</v>
      </c>
      <c r="U17">
        <v>0</v>
      </c>
      <c r="V17">
        <v>0</v>
      </c>
      <c r="W17">
        <v>76</v>
      </c>
      <c r="X17">
        <v>96</v>
      </c>
    </row>
    <row r="18" spans="2:24" x14ac:dyDescent="0.45">
      <c r="B18" t="str">
        <v>A113</v>
      </c>
      <c r="C18" t="str">
        <v>MOIDEEN KAIS</v>
      </c>
      <c r="D18" t="str">
        <v>DAHF</v>
      </c>
      <c r="E18" t="str">
        <v>SUB JUNIOR</v>
      </c>
      <c r="F18">
        <v>1</v>
      </c>
      <c r="G18">
        <v>17</v>
      </c>
      <c r="H18">
        <v>0</v>
      </c>
      <c r="I18">
        <v>17</v>
      </c>
      <c r="J18">
        <v>17</v>
      </c>
      <c r="K18">
        <v>87</v>
      </c>
      <c r="L18">
        <v>87</v>
      </c>
      <c r="N18" t="str">
        <v>A113</v>
      </c>
      <c r="O18" t="str">
        <v>MOIDEEN KAIS</v>
      </c>
      <c r="P18" t="str">
        <v>DAHF</v>
      </c>
      <c r="Q18" t="str">
        <v>SUB JUNIOR</v>
      </c>
      <c r="R18">
        <v>1</v>
      </c>
      <c r="S18">
        <v>0</v>
      </c>
      <c r="T18">
        <v>3</v>
      </c>
      <c r="U18">
        <v>3</v>
      </c>
      <c r="V18">
        <v>3</v>
      </c>
      <c r="W18">
        <v>30</v>
      </c>
      <c r="X18">
        <v>46</v>
      </c>
    </row>
    <row r="19" spans="2:24" x14ac:dyDescent="0.45">
      <c r="B19" t="str">
        <v>A114</v>
      </c>
      <c r="C19" t="str">
        <v>MUHAMMED SHAHID K A</v>
      </c>
      <c r="D19" t="str">
        <v>BADF</v>
      </c>
      <c r="E19" t="str">
        <v>SUB JUNIOR</v>
      </c>
      <c r="F19">
        <v>1</v>
      </c>
      <c r="G19">
        <v>8</v>
      </c>
      <c r="H19">
        <v>0</v>
      </c>
      <c r="I19">
        <v>8</v>
      </c>
      <c r="J19">
        <v>8</v>
      </c>
      <c r="K19">
        <v>147</v>
      </c>
      <c r="L19">
        <v>147</v>
      </c>
      <c r="N19" t="str">
        <v>A114</v>
      </c>
      <c r="O19" t="str">
        <v>MUHAMMED SHAHID K A</v>
      </c>
      <c r="P19" t="str">
        <v>BADF</v>
      </c>
      <c r="Q19" t="str">
        <v>SUB JUNIOR</v>
      </c>
      <c r="R19">
        <v>1</v>
      </c>
      <c r="S19">
        <v>0</v>
      </c>
      <c r="T19">
        <v>0</v>
      </c>
      <c r="U19">
        <v>0</v>
      </c>
      <c r="V19">
        <v>0</v>
      </c>
      <c r="W19">
        <v>76</v>
      </c>
      <c r="X19">
        <v>96</v>
      </c>
    </row>
    <row r="20" spans="2:24" x14ac:dyDescent="0.45">
      <c r="B20" t="str">
        <v>A115</v>
      </c>
      <c r="C20" t="str">
        <v>K MUHAMMAD JALAL</v>
      </c>
      <c r="D20" t="str">
        <v>DAHF</v>
      </c>
      <c r="E20" t="str">
        <v>SUB JUNIOR</v>
      </c>
      <c r="F20">
        <v>1</v>
      </c>
      <c r="G20">
        <v>3.5</v>
      </c>
      <c r="H20">
        <v>0</v>
      </c>
      <c r="I20">
        <v>3.5</v>
      </c>
      <c r="J20">
        <v>3.5</v>
      </c>
      <c r="K20">
        <v>208</v>
      </c>
      <c r="L20">
        <v>208</v>
      </c>
      <c r="N20" t="str">
        <v>A115</v>
      </c>
      <c r="O20" t="str">
        <v>K MUHAMMAD JALAL</v>
      </c>
      <c r="P20" t="str">
        <v>DAHF</v>
      </c>
      <c r="Q20" t="str">
        <v>SUB JUNIOR</v>
      </c>
      <c r="R20">
        <v>1</v>
      </c>
      <c r="S20">
        <v>0</v>
      </c>
      <c r="T20">
        <v>0</v>
      </c>
      <c r="U20">
        <v>0</v>
      </c>
      <c r="V20">
        <v>0</v>
      </c>
      <c r="W20">
        <v>76</v>
      </c>
      <c r="X20">
        <v>96</v>
      </c>
    </row>
    <row r="21" spans="2:24" x14ac:dyDescent="0.45">
      <c r="B21" t="str">
        <v>A116</v>
      </c>
      <c r="C21" t="str">
        <v>MUHAMMED T K</v>
      </c>
      <c r="D21">
        <v>0</v>
      </c>
      <c r="E21" t="str">
        <v>SUB JUNIOR</v>
      </c>
      <c r="F21">
        <v>1</v>
      </c>
      <c r="G21">
        <v>0</v>
      </c>
      <c r="H21">
        <v>0</v>
      </c>
      <c r="I21">
        <v>0</v>
      </c>
      <c r="J21">
        <v>0</v>
      </c>
      <c r="K21">
        <v>255</v>
      </c>
      <c r="L21">
        <v>255</v>
      </c>
      <c r="N21" t="str">
        <v>A116</v>
      </c>
      <c r="O21" t="str">
        <v>MUHAMMED T K</v>
      </c>
      <c r="P21">
        <v>0</v>
      </c>
      <c r="Q21" t="str">
        <v>SUB JUNIOR</v>
      </c>
      <c r="R21">
        <v>1</v>
      </c>
      <c r="S21">
        <v>0</v>
      </c>
      <c r="T21">
        <v>0</v>
      </c>
      <c r="U21">
        <v>0</v>
      </c>
      <c r="V21">
        <v>0</v>
      </c>
      <c r="W21">
        <v>76</v>
      </c>
      <c r="X21">
        <v>96</v>
      </c>
    </row>
    <row r="22" spans="2:24" x14ac:dyDescent="0.45">
      <c r="B22" t="str">
        <v>A117</v>
      </c>
      <c r="C22" t="str">
        <v>Muhammed Waheed R K</v>
      </c>
      <c r="D22" t="str">
        <v>JARF</v>
      </c>
      <c r="E22" t="str">
        <v>SUB JUNIOR</v>
      </c>
      <c r="F22">
        <v>1</v>
      </c>
      <c r="G22">
        <v>0</v>
      </c>
      <c r="H22">
        <v>0</v>
      </c>
      <c r="I22">
        <v>0</v>
      </c>
      <c r="J22">
        <v>0</v>
      </c>
      <c r="K22">
        <v>255</v>
      </c>
      <c r="L22">
        <v>255</v>
      </c>
      <c r="N22" t="str">
        <v>A117</v>
      </c>
      <c r="O22" t="str">
        <v>Muhammed Waheed R K</v>
      </c>
      <c r="P22" t="str">
        <v>JARF</v>
      </c>
      <c r="Q22" t="str">
        <v>SUB JUNIOR</v>
      </c>
      <c r="R22">
        <v>1</v>
      </c>
      <c r="S22">
        <v>0</v>
      </c>
      <c r="T22">
        <v>0</v>
      </c>
      <c r="U22">
        <v>0</v>
      </c>
      <c r="V22">
        <v>0</v>
      </c>
      <c r="W22">
        <v>76</v>
      </c>
      <c r="X22">
        <v>96</v>
      </c>
    </row>
    <row r="23" spans="2:24" x14ac:dyDescent="0.45">
      <c r="B23" t="str">
        <v>A118</v>
      </c>
      <c r="C23" t="str">
        <v>ABOOBACKER SAFWAN C B</v>
      </c>
      <c r="D23">
        <v>0</v>
      </c>
      <c r="E23" t="str">
        <v>SUB JUNIOR</v>
      </c>
      <c r="F23">
        <v>1</v>
      </c>
      <c r="G23">
        <v>0</v>
      </c>
      <c r="H23">
        <v>0</v>
      </c>
      <c r="I23">
        <v>0</v>
      </c>
      <c r="J23">
        <v>0</v>
      </c>
      <c r="K23">
        <v>255</v>
      </c>
      <c r="L23">
        <v>255</v>
      </c>
      <c r="N23" t="str">
        <v>A118</v>
      </c>
      <c r="O23" t="str">
        <v>ABOOBACKER SAFWAN C B</v>
      </c>
      <c r="P23">
        <v>0</v>
      </c>
      <c r="Q23" t="str">
        <v>SUB JUNIOR</v>
      </c>
      <c r="R23">
        <v>1</v>
      </c>
      <c r="S23">
        <v>0</v>
      </c>
      <c r="T23">
        <v>0</v>
      </c>
      <c r="U23">
        <v>0</v>
      </c>
      <c r="V23">
        <v>0</v>
      </c>
      <c r="W23">
        <v>76</v>
      </c>
      <c r="X23">
        <v>96</v>
      </c>
    </row>
    <row r="24" spans="2:24" x14ac:dyDescent="0.45">
      <c r="B24" t="str">
        <v>A119</v>
      </c>
      <c r="C24" t="str">
        <v>MUHAMMED HASHIR A K</v>
      </c>
      <c r="D24" t="str">
        <v>JARF</v>
      </c>
      <c r="E24" t="str">
        <v>SUB JUNIOR</v>
      </c>
      <c r="F24">
        <v>1</v>
      </c>
      <c r="G24">
        <v>0</v>
      </c>
      <c r="H24">
        <v>0</v>
      </c>
      <c r="I24">
        <v>0</v>
      </c>
      <c r="J24">
        <v>0</v>
      </c>
      <c r="K24">
        <v>255</v>
      </c>
      <c r="L24">
        <v>255</v>
      </c>
      <c r="N24" t="str">
        <v>A119</v>
      </c>
      <c r="O24" t="str">
        <v>MUHAMMED HASHIR A K</v>
      </c>
      <c r="P24" t="str">
        <v>JARF</v>
      </c>
      <c r="Q24" t="str">
        <v>SUB JUNIOR</v>
      </c>
      <c r="R24">
        <v>1</v>
      </c>
      <c r="S24">
        <v>0</v>
      </c>
      <c r="T24">
        <v>0</v>
      </c>
      <c r="U24">
        <v>0</v>
      </c>
      <c r="V24">
        <v>0</v>
      </c>
      <c r="W24">
        <v>76</v>
      </c>
      <c r="X24">
        <v>96</v>
      </c>
    </row>
    <row r="25" spans="2:24" x14ac:dyDescent="0.45">
      <c r="B25" t="str">
        <v>A120</v>
      </c>
      <c r="C25" t="str">
        <v>MOHAMMED NAFIH</v>
      </c>
      <c r="D25" t="str">
        <v>DAHF</v>
      </c>
      <c r="E25" t="str">
        <v>SUB JUNIOR</v>
      </c>
      <c r="F25">
        <v>1</v>
      </c>
      <c r="G25">
        <v>5</v>
      </c>
      <c r="H25">
        <v>0</v>
      </c>
      <c r="I25">
        <v>5</v>
      </c>
      <c r="J25">
        <v>5</v>
      </c>
      <c r="K25">
        <v>190</v>
      </c>
      <c r="L25">
        <v>190</v>
      </c>
      <c r="N25" t="str">
        <v>A120</v>
      </c>
      <c r="O25" t="str">
        <v>MOHAMMED NAFIH</v>
      </c>
      <c r="P25" t="str">
        <v>DAHF</v>
      </c>
      <c r="Q25" t="str">
        <v>SUB JUNIOR</v>
      </c>
      <c r="R25">
        <v>1</v>
      </c>
      <c r="S25">
        <v>0</v>
      </c>
      <c r="T25">
        <v>0</v>
      </c>
      <c r="U25">
        <v>0</v>
      </c>
      <c r="V25">
        <v>0</v>
      </c>
      <c r="W25">
        <v>76</v>
      </c>
      <c r="X25">
        <v>96</v>
      </c>
    </row>
    <row r="26" spans="2:24" x14ac:dyDescent="0.45">
      <c r="B26" t="str">
        <v>A121</v>
      </c>
      <c r="C26" t="str">
        <v>BEERAN MUEENUDHEEN MH</v>
      </c>
      <c r="D26" t="str">
        <v>JARF</v>
      </c>
      <c r="E26" t="str">
        <v>SUB JUNIOR</v>
      </c>
      <c r="F26">
        <v>1</v>
      </c>
      <c r="G26">
        <v>19</v>
      </c>
      <c r="H26">
        <v>0</v>
      </c>
      <c r="I26">
        <v>19</v>
      </c>
      <c r="J26">
        <v>19</v>
      </c>
      <c r="K26">
        <v>79</v>
      </c>
      <c r="L26">
        <v>79</v>
      </c>
      <c r="N26" t="str">
        <v>A121</v>
      </c>
      <c r="O26" t="str">
        <v>BEERAN MUEENUDHEEN MH</v>
      </c>
      <c r="P26" t="str">
        <v>JARF</v>
      </c>
      <c r="Q26" t="str">
        <v>SUB JUNIOR</v>
      </c>
      <c r="R26">
        <v>1</v>
      </c>
      <c r="S26">
        <v>0</v>
      </c>
      <c r="T26">
        <v>1</v>
      </c>
      <c r="U26">
        <v>1</v>
      </c>
      <c r="V26">
        <v>1</v>
      </c>
      <c r="W26">
        <v>54</v>
      </c>
      <c r="X26">
        <v>69</v>
      </c>
    </row>
    <row r="27" spans="2:24" x14ac:dyDescent="0.45">
      <c r="B27" t="str">
        <v>A122</v>
      </c>
      <c r="C27" t="str">
        <v>MOHAMMAD K A</v>
      </c>
      <c r="D27" t="str">
        <v>FANT</v>
      </c>
      <c r="E27" t="str">
        <v>SUB JUNIOR</v>
      </c>
      <c r="F27">
        <v>1</v>
      </c>
      <c r="G27">
        <v>11</v>
      </c>
      <c r="H27">
        <v>0</v>
      </c>
      <c r="I27">
        <v>11</v>
      </c>
      <c r="J27">
        <v>11</v>
      </c>
      <c r="K27">
        <v>123</v>
      </c>
      <c r="L27">
        <v>123</v>
      </c>
      <c r="N27" t="str">
        <v>A122</v>
      </c>
      <c r="O27" t="str">
        <v>MOHAMMAD K A</v>
      </c>
      <c r="P27" t="str">
        <v>FANT</v>
      </c>
      <c r="Q27" t="str">
        <v>SUB JUNIOR</v>
      </c>
      <c r="R27">
        <v>1</v>
      </c>
      <c r="S27">
        <v>0</v>
      </c>
      <c r="T27">
        <v>1</v>
      </c>
      <c r="U27">
        <v>1</v>
      </c>
      <c r="V27">
        <v>1</v>
      </c>
      <c r="W27">
        <v>54</v>
      </c>
      <c r="X27">
        <v>69</v>
      </c>
    </row>
    <row r="28" spans="2:24" x14ac:dyDescent="0.45">
      <c r="B28" t="str">
        <v>A123</v>
      </c>
      <c r="C28" t="str">
        <v>IBRAHIM KALEEL</v>
      </c>
      <c r="D28" t="str">
        <v>JARF</v>
      </c>
      <c r="E28" t="str">
        <v>SUB JUNIOR</v>
      </c>
      <c r="F28">
        <v>1</v>
      </c>
      <c r="G28">
        <v>6</v>
      </c>
      <c r="H28">
        <v>0</v>
      </c>
      <c r="I28">
        <v>6</v>
      </c>
      <c r="J28">
        <v>6</v>
      </c>
      <c r="K28">
        <v>171</v>
      </c>
      <c r="L28">
        <v>171</v>
      </c>
      <c r="N28" t="str">
        <v>A123</v>
      </c>
      <c r="O28" t="str">
        <v>IBRAHIM KALEEL</v>
      </c>
      <c r="P28" t="str">
        <v>JARF</v>
      </c>
      <c r="Q28" t="str">
        <v>SUB JUNIOR</v>
      </c>
      <c r="R28">
        <v>1</v>
      </c>
      <c r="S28">
        <v>6</v>
      </c>
      <c r="T28">
        <v>0</v>
      </c>
      <c r="U28">
        <v>6</v>
      </c>
      <c r="V28">
        <v>6</v>
      </c>
      <c r="W28">
        <v>10</v>
      </c>
      <c r="X28">
        <v>21</v>
      </c>
    </row>
    <row r="29" spans="2:24" x14ac:dyDescent="0.45">
      <c r="B29" t="str">
        <v>A124</v>
      </c>
      <c r="C29" t="str">
        <v>MOHAMMED JASEEM</v>
      </c>
      <c r="D29" t="str">
        <v>BADF</v>
      </c>
      <c r="E29" t="str">
        <v>SUB JUNIOR</v>
      </c>
      <c r="F29">
        <v>1</v>
      </c>
      <c r="G29">
        <v>0</v>
      </c>
      <c r="H29">
        <v>0</v>
      </c>
      <c r="I29">
        <v>0</v>
      </c>
      <c r="J29">
        <v>0</v>
      </c>
      <c r="K29">
        <v>255</v>
      </c>
      <c r="L29">
        <v>255</v>
      </c>
      <c r="N29" t="str">
        <v>A124</v>
      </c>
      <c r="O29" t="str">
        <v>MOHAMMED JASEEM</v>
      </c>
      <c r="P29" t="str">
        <v>BADF</v>
      </c>
      <c r="Q29" t="str">
        <v>SUB JUNIOR</v>
      </c>
      <c r="R29">
        <v>1</v>
      </c>
      <c r="S29">
        <v>0</v>
      </c>
      <c r="T29">
        <v>0</v>
      </c>
      <c r="U29">
        <v>0</v>
      </c>
      <c r="V29">
        <v>0</v>
      </c>
      <c r="W29">
        <v>76</v>
      </c>
      <c r="X29">
        <v>96</v>
      </c>
    </row>
    <row r="30" spans="2:24" x14ac:dyDescent="0.45">
      <c r="B30" t="str">
        <v>A125</v>
      </c>
      <c r="C30" t="str">
        <v>MUHAMMED RAZI A T</v>
      </c>
      <c r="D30" t="str">
        <v>DAHF</v>
      </c>
      <c r="E30" t="str">
        <v>SUB JUNIOR</v>
      </c>
      <c r="F30">
        <v>1</v>
      </c>
      <c r="G30">
        <v>9</v>
      </c>
      <c r="H30">
        <v>0</v>
      </c>
      <c r="I30">
        <v>9</v>
      </c>
      <c r="J30">
        <v>9</v>
      </c>
      <c r="K30">
        <v>139</v>
      </c>
      <c r="L30">
        <v>139</v>
      </c>
      <c r="N30" t="str">
        <v>A125</v>
      </c>
      <c r="O30" t="str">
        <v>MUHAMMED RAZI A T</v>
      </c>
      <c r="P30" t="str">
        <v>DAHF</v>
      </c>
      <c r="Q30" t="str">
        <v>SUB JUNIOR</v>
      </c>
      <c r="R30">
        <v>1</v>
      </c>
      <c r="S30">
        <v>0</v>
      </c>
      <c r="T30">
        <v>0</v>
      </c>
      <c r="U30">
        <v>0</v>
      </c>
      <c r="V30">
        <v>0</v>
      </c>
      <c r="W30">
        <v>76</v>
      </c>
      <c r="X30">
        <v>96</v>
      </c>
    </row>
    <row r="31" spans="2:24" x14ac:dyDescent="0.45">
      <c r="B31" t="str">
        <v>A126</v>
      </c>
      <c r="C31" t="str">
        <v>MUHAMMED ZAID</v>
      </c>
      <c r="D31" t="str">
        <v>JARF</v>
      </c>
      <c r="E31" t="str">
        <v>SUB JUNIOR</v>
      </c>
      <c r="F31">
        <v>1</v>
      </c>
      <c r="G31">
        <v>0</v>
      </c>
      <c r="H31">
        <v>0</v>
      </c>
      <c r="I31">
        <v>0</v>
      </c>
      <c r="J31">
        <v>0</v>
      </c>
      <c r="K31">
        <v>255</v>
      </c>
      <c r="L31">
        <v>255</v>
      </c>
      <c r="N31" t="str">
        <v>A126</v>
      </c>
      <c r="O31" t="str">
        <v>MUHAMMED ZAID</v>
      </c>
      <c r="P31" t="str">
        <v>JARF</v>
      </c>
      <c r="Q31" t="str">
        <v>SUB JUNIOR</v>
      </c>
      <c r="R31">
        <v>1</v>
      </c>
      <c r="S31">
        <v>0</v>
      </c>
      <c r="T31">
        <v>0</v>
      </c>
      <c r="U31">
        <v>0</v>
      </c>
      <c r="V31">
        <v>0</v>
      </c>
      <c r="W31">
        <v>76</v>
      </c>
      <c r="X31">
        <v>96</v>
      </c>
    </row>
    <row r="32" spans="2:24" x14ac:dyDescent="0.45">
      <c r="B32" t="str">
        <v>A127</v>
      </c>
      <c r="C32" t="str">
        <v>MUHAMMED HAFEEZ P</v>
      </c>
      <c r="D32" t="str">
        <v>BADF</v>
      </c>
      <c r="E32" t="str">
        <v>SUB JUNIOR</v>
      </c>
      <c r="F32">
        <v>1</v>
      </c>
      <c r="G32">
        <v>1</v>
      </c>
      <c r="H32">
        <v>0</v>
      </c>
      <c r="I32">
        <v>1</v>
      </c>
      <c r="J32">
        <v>1</v>
      </c>
      <c r="K32">
        <v>231</v>
      </c>
      <c r="L32">
        <v>231</v>
      </c>
      <c r="N32" t="str">
        <v>A127</v>
      </c>
      <c r="O32" t="str">
        <v>MUHAMMED HAFEEZ P</v>
      </c>
      <c r="P32" t="str">
        <v>BADF</v>
      </c>
      <c r="Q32" t="str">
        <v>SUB JUNIOR</v>
      </c>
      <c r="R32">
        <v>1</v>
      </c>
      <c r="S32">
        <v>3</v>
      </c>
      <c r="T32">
        <v>0</v>
      </c>
      <c r="U32">
        <v>3</v>
      </c>
      <c r="V32">
        <v>3</v>
      </c>
      <c r="W32">
        <v>30</v>
      </c>
      <c r="X32">
        <v>46</v>
      </c>
    </row>
    <row r="33" spans="2:24" x14ac:dyDescent="0.45">
      <c r="B33" t="str">
        <v>A128</v>
      </c>
      <c r="C33" t="str">
        <v>MOHAMMED HAFEEZ B</v>
      </c>
      <c r="D33" t="str">
        <v>DAHF</v>
      </c>
      <c r="E33" t="str">
        <v>SUB JUNIOR</v>
      </c>
      <c r="F33">
        <v>1</v>
      </c>
      <c r="G33">
        <v>0</v>
      </c>
      <c r="H33">
        <v>0</v>
      </c>
      <c r="I33">
        <v>0</v>
      </c>
      <c r="J33">
        <v>0</v>
      </c>
      <c r="K33">
        <v>255</v>
      </c>
      <c r="L33">
        <v>255</v>
      </c>
      <c r="N33" t="str">
        <v>A128</v>
      </c>
      <c r="O33" t="str">
        <v>MOHAMMED HAFEEZ B</v>
      </c>
      <c r="P33" t="str">
        <v>DAHF</v>
      </c>
      <c r="Q33" t="str">
        <v>SUB JUNIOR</v>
      </c>
      <c r="R33">
        <v>1</v>
      </c>
      <c r="S33">
        <v>1</v>
      </c>
      <c r="T33">
        <v>0</v>
      </c>
      <c r="U33">
        <v>1</v>
      </c>
      <c r="V33">
        <v>1</v>
      </c>
      <c r="W33">
        <v>54</v>
      </c>
      <c r="X33">
        <v>69</v>
      </c>
    </row>
    <row r="34" spans="2:24" x14ac:dyDescent="0.45">
      <c r="B34" t="str">
        <v>A129</v>
      </c>
      <c r="C34" t="str">
        <v>MUHAMMED BIN JAFAR</v>
      </c>
      <c r="D34" t="str">
        <v>FANT</v>
      </c>
      <c r="E34" t="str">
        <v>SUB JUNIOR</v>
      </c>
      <c r="F34">
        <v>1</v>
      </c>
      <c r="G34">
        <v>3</v>
      </c>
      <c r="H34">
        <v>0</v>
      </c>
      <c r="I34">
        <v>3</v>
      </c>
      <c r="J34">
        <v>3</v>
      </c>
      <c r="K34">
        <v>209</v>
      </c>
      <c r="L34">
        <v>209</v>
      </c>
      <c r="N34" t="str">
        <v>A129</v>
      </c>
      <c r="O34" t="str">
        <v>MUHAMMED BIN JAFAR</v>
      </c>
      <c r="P34" t="str">
        <v>FANT</v>
      </c>
      <c r="Q34" t="str">
        <v>SUB JUNIOR</v>
      </c>
      <c r="R34">
        <v>1</v>
      </c>
      <c r="S34">
        <v>5</v>
      </c>
      <c r="T34">
        <v>0</v>
      </c>
      <c r="U34">
        <v>5</v>
      </c>
      <c r="V34">
        <v>5</v>
      </c>
      <c r="W34">
        <v>13</v>
      </c>
      <c r="X34">
        <v>24</v>
      </c>
    </row>
    <row r="35" spans="2:24" x14ac:dyDescent="0.45">
      <c r="B35" t="str">
        <v>A130</v>
      </c>
      <c r="C35" t="str">
        <v>MOHAMMAD AJWAD</v>
      </c>
      <c r="D35" t="str">
        <v>JARF</v>
      </c>
      <c r="E35" t="str">
        <v>SUB JUNIOR</v>
      </c>
      <c r="F35">
        <v>1</v>
      </c>
      <c r="G35">
        <v>5</v>
      </c>
      <c r="H35">
        <v>0</v>
      </c>
      <c r="I35">
        <v>5</v>
      </c>
      <c r="J35">
        <v>5</v>
      </c>
      <c r="K35">
        <v>190</v>
      </c>
      <c r="L35">
        <v>190</v>
      </c>
      <c r="N35" t="str">
        <v>A130</v>
      </c>
      <c r="O35" t="str">
        <v>MOHAMMAD AJWAD</v>
      </c>
      <c r="P35" t="str">
        <v>JARF</v>
      </c>
      <c r="Q35" t="str">
        <v>SUB JUNIOR</v>
      </c>
      <c r="R35">
        <v>1</v>
      </c>
      <c r="S35">
        <v>0</v>
      </c>
      <c r="T35">
        <v>0</v>
      </c>
      <c r="U35">
        <v>0</v>
      </c>
      <c r="V35">
        <v>0</v>
      </c>
      <c r="W35">
        <v>76</v>
      </c>
      <c r="X35">
        <v>96</v>
      </c>
    </row>
    <row r="36" spans="2:24" x14ac:dyDescent="0.45">
      <c r="B36" t="str">
        <v>A131</v>
      </c>
      <c r="C36" t="str">
        <v>FAZIL ABDULLA</v>
      </c>
      <c r="D36" t="str">
        <v>DAHF</v>
      </c>
      <c r="E36" t="str">
        <v>SUB JUNIOR</v>
      </c>
      <c r="F36">
        <v>1</v>
      </c>
      <c r="G36">
        <v>1</v>
      </c>
      <c r="H36">
        <v>0</v>
      </c>
      <c r="I36">
        <v>1</v>
      </c>
      <c r="J36">
        <v>1</v>
      </c>
      <c r="K36">
        <v>231</v>
      </c>
      <c r="L36">
        <v>231</v>
      </c>
      <c r="N36" t="str">
        <v>A131</v>
      </c>
      <c r="O36" t="str">
        <v>FAZIL ABDULLA</v>
      </c>
      <c r="P36" t="str">
        <v>DAHF</v>
      </c>
      <c r="Q36" t="str">
        <v>SUB JUNIOR</v>
      </c>
      <c r="R36">
        <v>1</v>
      </c>
      <c r="S36">
        <v>0</v>
      </c>
      <c r="T36">
        <v>0</v>
      </c>
      <c r="U36">
        <v>0</v>
      </c>
      <c r="V36">
        <v>0</v>
      </c>
      <c r="W36">
        <v>76</v>
      </c>
      <c r="X36">
        <v>96</v>
      </c>
    </row>
    <row r="37" spans="2:24" x14ac:dyDescent="0.45">
      <c r="B37" t="str">
        <v>A132</v>
      </c>
      <c r="C37" t="str">
        <v>MUHAMMED SHIRAZ ISHAQUE</v>
      </c>
      <c r="D37" t="str">
        <v>FANT</v>
      </c>
      <c r="E37" t="str">
        <v>SUB JUNIOR</v>
      </c>
      <c r="F37">
        <v>1</v>
      </c>
      <c r="G37">
        <v>0</v>
      </c>
      <c r="H37">
        <v>0</v>
      </c>
      <c r="I37">
        <v>0</v>
      </c>
      <c r="J37">
        <v>0</v>
      </c>
      <c r="K37">
        <v>255</v>
      </c>
      <c r="L37">
        <v>255</v>
      </c>
      <c r="N37" t="str">
        <v>A132</v>
      </c>
      <c r="O37" t="str">
        <v>MUHAMMED SHIRAZ ISHAQUE</v>
      </c>
      <c r="P37" t="str">
        <v>FANT</v>
      </c>
      <c r="Q37" t="str">
        <v>SUB JUNIOR</v>
      </c>
      <c r="R37">
        <v>1</v>
      </c>
      <c r="S37">
        <v>0</v>
      </c>
      <c r="T37">
        <v>0</v>
      </c>
      <c r="U37">
        <v>0</v>
      </c>
      <c r="V37">
        <v>0</v>
      </c>
      <c r="W37">
        <v>76</v>
      </c>
      <c r="X37">
        <v>96</v>
      </c>
    </row>
    <row r="38" spans="2:24" x14ac:dyDescent="0.45">
      <c r="B38" t="str">
        <v>A133</v>
      </c>
      <c r="C38" t="str">
        <v>JAUHAR ASHFAQUE MUHSIN</v>
      </c>
      <c r="D38" t="str">
        <v>JARF</v>
      </c>
      <c r="E38" t="str">
        <v>SUB JUNIOR</v>
      </c>
      <c r="F38">
        <v>1</v>
      </c>
      <c r="G38">
        <v>0</v>
      </c>
      <c r="H38">
        <v>0</v>
      </c>
      <c r="I38">
        <v>0</v>
      </c>
      <c r="J38">
        <v>0</v>
      </c>
      <c r="K38">
        <v>255</v>
      </c>
      <c r="L38">
        <v>255</v>
      </c>
      <c r="N38" t="str">
        <v>A133</v>
      </c>
      <c r="O38" t="str">
        <v>JAUHAR ASHFAQUE MUHSIN</v>
      </c>
      <c r="P38" t="str">
        <v>JARF</v>
      </c>
      <c r="Q38" t="str">
        <v>SUB JUNIOR</v>
      </c>
      <c r="R38">
        <v>1</v>
      </c>
      <c r="S38">
        <v>0</v>
      </c>
      <c r="T38">
        <v>0</v>
      </c>
      <c r="U38">
        <v>0</v>
      </c>
      <c r="V38">
        <v>0</v>
      </c>
      <c r="W38">
        <v>76</v>
      </c>
      <c r="X38">
        <v>96</v>
      </c>
    </row>
    <row r="39" spans="2:24" x14ac:dyDescent="0.45">
      <c r="B39" t="str">
        <v>A134</v>
      </c>
      <c r="C39" t="str">
        <v>YASEEN MUHAMMED</v>
      </c>
      <c r="D39" t="str">
        <v>DAHF</v>
      </c>
      <c r="E39" t="str">
        <v>SUB JUNIOR</v>
      </c>
      <c r="F39">
        <v>1</v>
      </c>
      <c r="G39">
        <v>8</v>
      </c>
      <c r="H39">
        <v>0</v>
      </c>
      <c r="I39">
        <v>8</v>
      </c>
      <c r="J39">
        <v>8</v>
      </c>
      <c r="K39">
        <v>147</v>
      </c>
      <c r="L39">
        <v>147</v>
      </c>
      <c r="N39" t="str">
        <v>A134</v>
      </c>
      <c r="O39" t="str">
        <v>YASEEN MUHAMMED</v>
      </c>
      <c r="P39" t="str">
        <v>DAHF</v>
      </c>
      <c r="Q39" t="str">
        <v>SUB JUNIOR</v>
      </c>
      <c r="R39">
        <v>1</v>
      </c>
      <c r="S39">
        <v>0</v>
      </c>
      <c r="T39">
        <v>0</v>
      </c>
      <c r="U39">
        <v>0</v>
      </c>
      <c r="V39">
        <v>0</v>
      </c>
      <c r="W39">
        <v>76</v>
      </c>
      <c r="X39">
        <v>96</v>
      </c>
    </row>
    <row r="40" spans="2:24" x14ac:dyDescent="0.45">
      <c r="B40" t="str">
        <v>A135</v>
      </c>
      <c r="C40" t="str">
        <v>MOHAMMED RAFAN A</v>
      </c>
      <c r="D40" t="str">
        <v>BADF</v>
      </c>
      <c r="E40" t="str">
        <v>SUB JUNIOR</v>
      </c>
      <c r="F40">
        <v>1</v>
      </c>
      <c r="G40">
        <v>1</v>
      </c>
      <c r="H40">
        <v>0</v>
      </c>
      <c r="I40">
        <v>1</v>
      </c>
      <c r="J40">
        <v>1</v>
      </c>
      <c r="K40">
        <v>231</v>
      </c>
      <c r="L40">
        <v>231</v>
      </c>
      <c r="N40" t="str">
        <v>A135</v>
      </c>
      <c r="O40" t="str">
        <v>MOHAMMED RAFAN A</v>
      </c>
      <c r="P40" t="str">
        <v>BADF</v>
      </c>
      <c r="Q40" t="str">
        <v>SUB JUNIOR</v>
      </c>
      <c r="R40">
        <v>1</v>
      </c>
      <c r="S40">
        <v>0</v>
      </c>
      <c r="T40">
        <v>0</v>
      </c>
      <c r="U40">
        <v>0</v>
      </c>
      <c r="V40">
        <v>0</v>
      </c>
      <c r="W40">
        <v>76</v>
      </c>
      <c r="X40">
        <v>96</v>
      </c>
    </row>
    <row r="41" spans="2:24" x14ac:dyDescent="0.45">
      <c r="B41" t="str">
        <v>A136</v>
      </c>
      <c r="C41" t="str">
        <v>MUHAMMED UVAIS.P. S</v>
      </c>
      <c r="D41" t="str">
        <v>BADF</v>
      </c>
      <c r="E41" t="str">
        <v>SUB JUNIOR</v>
      </c>
      <c r="F41">
        <v>1</v>
      </c>
      <c r="G41">
        <v>3</v>
      </c>
      <c r="H41">
        <v>0</v>
      </c>
      <c r="I41">
        <v>3</v>
      </c>
      <c r="J41">
        <v>3</v>
      </c>
      <c r="K41">
        <v>209</v>
      </c>
      <c r="L41">
        <v>209</v>
      </c>
      <c r="N41" t="str">
        <v>A136</v>
      </c>
      <c r="O41" t="str">
        <v>MUHAMMED UVAIS.P. S</v>
      </c>
      <c r="P41" t="str">
        <v>BADF</v>
      </c>
      <c r="Q41" t="str">
        <v>SUB JUNIOR</v>
      </c>
      <c r="R41">
        <v>1</v>
      </c>
      <c r="S41">
        <v>0</v>
      </c>
      <c r="T41">
        <v>0</v>
      </c>
      <c r="U41">
        <v>0</v>
      </c>
      <c r="V41">
        <v>0</v>
      </c>
      <c r="W41">
        <v>76</v>
      </c>
      <c r="X41">
        <v>96</v>
      </c>
    </row>
    <row r="42" spans="2:24" x14ac:dyDescent="0.45">
      <c r="B42" t="str">
        <v>A137</v>
      </c>
      <c r="C42" t="str">
        <v>MOHAMMED SHUAIB K M</v>
      </c>
      <c r="D42" t="str">
        <v>DAHF</v>
      </c>
      <c r="E42" t="str">
        <v>SUB JUNIOR</v>
      </c>
      <c r="F42">
        <v>1</v>
      </c>
      <c r="G42">
        <v>1</v>
      </c>
      <c r="H42">
        <v>0</v>
      </c>
      <c r="I42">
        <v>1</v>
      </c>
      <c r="J42">
        <v>1</v>
      </c>
      <c r="K42">
        <v>231</v>
      </c>
      <c r="L42">
        <v>231</v>
      </c>
      <c r="N42" t="str">
        <v>A137</v>
      </c>
      <c r="O42" t="str">
        <v>MOHAMMED SHUAIB K M</v>
      </c>
      <c r="P42" t="str">
        <v>DAHF</v>
      </c>
      <c r="Q42" t="str">
        <v>SUB JUNIOR</v>
      </c>
      <c r="R42">
        <v>1</v>
      </c>
      <c r="S42">
        <v>0</v>
      </c>
      <c r="T42">
        <v>0</v>
      </c>
      <c r="U42">
        <v>0</v>
      </c>
      <c r="V42">
        <v>0</v>
      </c>
      <c r="W42">
        <v>76</v>
      </c>
      <c r="X42">
        <v>96</v>
      </c>
    </row>
    <row r="43" spans="2:24" x14ac:dyDescent="0.45">
      <c r="B43" t="str">
        <v>A138</v>
      </c>
      <c r="C43" t="str">
        <v>ziyad. K. M. C</v>
      </c>
      <c r="D43">
        <v>0</v>
      </c>
      <c r="E43" t="str">
        <v>SUB JUNIOR</v>
      </c>
      <c r="F43">
        <v>1</v>
      </c>
      <c r="G43">
        <v>0</v>
      </c>
      <c r="H43">
        <v>0</v>
      </c>
      <c r="I43">
        <v>0</v>
      </c>
      <c r="J43">
        <v>0</v>
      </c>
      <c r="K43">
        <v>255</v>
      </c>
      <c r="L43">
        <v>255</v>
      </c>
      <c r="N43" t="str">
        <v>A138</v>
      </c>
      <c r="O43" t="str">
        <v>ziyad. K. M. C</v>
      </c>
      <c r="P43">
        <v>0</v>
      </c>
      <c r="Q43" t="str">
        <v>SUB JUNIOR</v>
      </c>
      <c r="R43">
        <v>1</v>
      </c>
      <c r="S43">
        <v>0</v>
      </c>
      <c r="T43">
        <v>0</v>
      </c>
      <c r="U43">
        <v>0</v>
      </c>
      <c r="V43">
        <v>0</v>
      </c>
      <c r="W43">
        <v>76</v>
      </c>
      <c r="X43">
        <v>96</v>
      </c>
    </row>
    <row r="44" spans="2:24" x14ac:dyDescent="0.45">
      <c r="B44" t="str">
        <v>A139</v>
      </c>
      <c r="C44" t="str">
        <v>MUHAMMED MOIDEEN KUNHI</v>
      </c>
      <c r="D44" t="str">
        <v>FANT</v>
      </c>
      <c r="E44" t="str">
        <v>SUB JUNIOR</v>
      </c>
      <c r="F44">
        <v>1</v>
      </c>
      <c r="G44">
        <v>3</v>
      </c>
      <c r="H44">
        <v>0</v>
      </c>
      <c r="I44">
        <v>3</v>
      </c>
      <c r="J44">
        <v>3</v>
      </c>
      <c r="K44">
        <v>209</v>
      </c>
      <c r="L44">
        <v>209</v>
      </c>
      <c r="N44" t="str">
        <v>A139</v>
      </c>
      <c r="O44" t="str">
        <v>MUHAMMED MOIDEEN KUNHI</v>
      </c>
      <c r="P44" t="str">
        <v>FANT</v>
      </c>
      <c r="Q44" t="str">
        <v>SUB JUNIOR</v>
      </c>
      <c r="R44">
        <v>1</v>
      </c>
      <c r="S44">
        <v>0</v>
      </c>
      <c r="T44">
        <v>0</v>
      </c>
      <c r="U44">
        <v>0</v>
      </c>
      <c r="V44">
        <v>0</v>
      </c>
      <c r="W44">
        <v>76</v>
      </c>
      <c r="X44">
        <v>96</v>
      </c>
    </row>
    <row r="45" spans="2:24" x14ac:dyDescent="0.45">
      <c r="B45" t="str">
        <v>A140</v>
      </c>
      <c r="C45" t="str">
        <v>MUHAMMED AFLAH.MK</v>
      </c>
      <c r="D45" t="str">
        <v>FANT</v>
      </c>
      <c r="E45" t="str">
        <v>SUB JUNIOR</v>
      </c>
      <c r="F45">
        <v>2</v>
      </c>
      <c r="G45">
        <v>11</v>
      </c>
      <c r="H45">
        <v>0</v>
      </c>
      <c r="I45">
        <v>11</v>
      </c>
      <c r="J45">
        <v>11</v>
      </c>
      <c r="K45">
        <v>123</v>
      </c>
      <c r="L45">
        <v>123</v>
      </c>
      <c r="N45" t="str">
        <v>A140</v>
      </c>
      <c r="O45" t="str">
        <v>MUHAMMED AFLAH.MK</v>
      </c>
      <c r="P45" t="str">
        <v>FANT</v>
      </c>
      <c r="Q45" t="str">
        <v>SUB JUNIOR</v>
      </c>
      <c r="R45">
        <v>2</v>
      </c>
      <c r="S45">
        <v>0</v>
      </c>
      <c r="T45">
        <v>1</v>
      </c>
      <c r="U45">
        <v>1</v>
      </c>
      <c r="V45">
        <v>1</v>
      </c>
      <c r="W45">
        <v>54</v>
      </c>
      <c r="X45">
        <v>69</v>
      </c>
    </row>
    <row r="46" spans="2:24" x14ac:dyDescent="0.45">
      <c r="B46" t="str">
        <v>A141</v>
      </c>
      <c r="C46" t="str">
        <v>MUHAMMED SHUHAIR</v>
      </c>
      <c r="D46" t="str">
        <v>JARF</v>
      </c>
      <c r="E46" t="str">
        <v>SUB JUNIOR</v>
      </c>
      <c r="F46">
        <v>2</v>
      </c>
      <c r="G46">
        <v>23</v>
      </c>
      <c r="H46">
        <v>0</v>
      </c>
      <c r="I46">
        <v>23</v>
      </c>
      <c r="J46">
        <v>23</v>
      </c>
      <c r="K46">
        <v>68</v>
      </c>
      <c r="L46">
        <v>68</v>
      </c>
      <c r="N46" t="str">
        <v>A141</v>
      </c>
      <c r="O46" t="str">
        <v>MUHAMMED SHUHAIR</v>
      </c>
      <c r="P46" t="str">
        <v>JARF</v>
      </c>
      <c r="Q46" t="str">
        <v>SUB JUNIOR</v>
      </c>
      <c r="R46">
        <v>2</v>
      </c>
      <c r="S46">
        <v>0</v>
      </c>
      <c r="T46">
        <v>0</v>
      </c>
      <c r="U46">
        <v>0</v>
      </c>
      <c r="V46">
        <v>0</v>
      </c>
      <c r="W46">
        <v>76</v>
      </c>
      <c r="X46">
        <v>96</v>
      </c>
    </row>
    <row r="47" spans="2:24" x14ac:dyDescent="0.45">
      <c r="B47" t="str">
        <v>A142</v>
      </c>
      <c r="C47" t="str">
        <v>Muhammed Anshad A</v>
      </c>
      <c r="D47" t="str">
        <v>BADF</v>
      </c>
      <c r="E47" t="str">
        <v>SUB JUNIOR</v>
      </c>
      <c r="F47">
        <v>2</v>
      </c>
      <c r="G47">
        <v>24</v>
      </c>
      <c r="H47">
        <v>0</v>
      </c>
      <c r="I47">
        <v>24</v>
      </c>
      <c r="J47">
        <v>24</v>
      </c>
      <c r="K47">
        <v>64</v>
      </c>
      <c r="L47">
        <v>64</v>
      </c>
      <c r="N47" t="str">
        <v>A142</v>
      </c>
      <c r="O47" t="str">
        <v>Muhammed Anshad A</v>
      </c>
      <c r="P47" t="str">
        <v>BADF</v>
      </c>
      <c r="Q47" t="str">
        <v>SUB JUNIOR</v>
      </c>
      <c r="R47">
        <v>2</v>
      </c>
      <c r="S47">
        <v>3</v>
      </c>
      <c r="T47">
        <v>0</v>
      </c>
      <c r="U47">
        <v>3</v>
      </c>
      <c r="V47">
        <v>3</v>
      </c>
      <c r="W47">
        <v>30</v>
      </c>
      <c r="X47">
        <v>46</v>
      </c>
    </row>
    <row r="48" spans="2:24" x14ac:dyDescent="0.45">
      <c r="B48" t="str">
        <v>A143</v>
      </c>
      <c r="C48" t="str">
        <v>ABDUL AFEEZ C.F</v>
      </c>
      <c r="D48" t="str">
        <v>FANT</v>
      </c>
      <c r="E48" t="str">
        <v>SUB JUNIOR</v>
      </c>
      <c r="F48">
        <v>2</v>
      </c>
      <c r="G48">
        <v>13</v>
      </c>
      <c r="H48">
        <v>0</v>
      </c>
      <c r="I48">
        <v>13</v>
      </c>
      <c r="J48">
        <v>13</v>
      </c>
      <c r="K48">
        <v>114</v>
      </c>
      <c r="L48">
        <v>114</v>
      </c>
      <c r="N48" t="str">
        <v>A143</v>
      </c>
      <c r="O48" t="str">
        <v>ABDUL AFEEZ C.F</v>
      </c>
      <c r="P48" t="str">
        <v>FANT</v>
      </c>
      <c r="Q48" t="str">
        <v>SUB JUNIOR</v>
      </c>
      <c r="R48">
        <v>2</v>
      </c>
      <c r="S48">
        <v>1</v>
      </c>
      <c r="T48">
        <v>0</v>
      </c>
      <c r="U48">
        <v>1</v>
      </c>
      <c r="V48">
        <v>1</v>
      </c>
      <c r="W48">
        <v>54</v>
      </c>
      <c r="X48">
        <v>69</v>
      </c>
    </row>
    <row r="49" spans="2:24" x14ac:dyDescent="0.45">
      <c r="B49" t="str">
        <v>A144</v>
      </c>
      <c r="C49" t="str">
        <v>ABDULLA</v>
      </c>
      <c r="D49" t="str">
        <v>JARF</v>
      </c>
      <c r="E49" t="str">
        <v>SUB JUNIOR</v>
      </c>
      <c r="F49">
        <v>2</v>
      </c>
      <c r="G49">
        <v>40</v>
      </c>
      <c r="H49">
        <v>0</v>
      </c>
      <c r="I49">
        <v>40</v>
      </c>
      <c r="J49">
        <v>40</v>
      </c>
      <c r="K49">
        <v>23</v>
      </c>
      <c r="L49">
        <v>23</v>
      </c>
      <c r="N49" t="str">
        <v>A144</v>
      </c>
      <c r="O49" t="str">
        <v>ABDULLA</v>
      </c>
      <c r="P49" t="str">
        <v>JARF</v>
      </c>
      <c r="Q49" t="str">
        <v>SUB JUNIOR</v>
      </c>
      <c r="R49">
        <v>2</v>
      </c>
      <c r="S49">
        <v>0</v>
      </c>
      <c r="T49">
        <v>0</v>
      </c>
      <c r="U49">
        <v>0</v>
      </c>
      <c r="V49">
        <v>0</v>
      </c>
      <c r="W49">
        <v>76</v>
      </c>
      <c r="X49">
        <v>96</v>
      </c>
    </row>
    <row r="50" spans="2:24" x14ac:dyDescent="0.45">
      <c r="B50" t="str">
        <v>A145</v>
      </c>
      <c r="C50" t="str">
        <v>ABDULLAH A P</v>
      </c>
      <c r="D50" t="str">
        <v>BADF</v>
      </c>
      <c r="E50" t="str">
        <v>SUB JUNIOR</v>
      </c>
      <c r="F50">
        <v>2</v>
      </c>
      <c r="G50">
        <v>3</v>
      </c>
      <c r="H50">
        <v>0</v>
      </c>
      <c r="I50">
        <v>3</v>
      </c>
      <c r="J50">
        <v>3</v>
      </c>
      <c r="K50">
        <v>209</v>
      </c>
      <c r="L50">
        <v>209</v>
      </c>
      <c r="N50" t="str">
        <v>A145</v>
      </c>
      <c r="O50" t="str">
        <v>ABDULLAH A P</v>
      </c>
      <c r="P50" t="str">
        <v>BADF</v>
      </c>
      <c r="Q50" t="str">
        <v>SUB JUNIOR</v>
      </c>
      <c r="R50">
        <v>2</v>
      </c>
      <c r="S50">
        <v>0</v>
      </c>
      <c r="T50">
        <v>6</v>
      </c>
      <c r="U50">
        <v>6</v>
      </c>
      <c r="V50">
        <v>6</v>
      </c>
      <c r="W50">
        <v>10</v>
      </c>
      <c r="X50">
        <v>21</v>
      </c>
    </row>
    <row r="51" spans="2:24" x14ac:dyDescent="0.45">
      <c r="B51" t="str">
        <v>A146</v>
      </c>
      <c r="C51" t="str">
        <v>AHAMED ADIL. A</v>
      </c>
      <c r="D51" t="str">
        <v>BADF</v>
      </c>
      <c r="E51" t="str">
        <v>SUB JUNIOR</v>
      </c>
      <c r="F51">
        <v>2</v>
      </c>
      <c r="G51">
        <v>35</v>
      </c>
      <c r="H51">
        <v>0</v>
      </c>
      <c r="I51">
        <v>35</v>
      </c>
      <c r="J51">
        <v>35</v>
      </c>
      <c r="K51">
        <v>32</v>
      </c>
      <c r="L51">
        <v>32</v>
      </c>
      <c r="N51" t="str">
        <v>A146</v>
      </c>
      <c r="O51" t="str">
        <v>AHAMED ADIL. A</v>
      </c>
      <c r="P51" t="str">
        <v>BADF</v>
      </c>
      <c r="Q51" t="str">
        <v>SUB JUNIOR</v>
      </c>
      <c r="R51">
        <v>2</v>
      </c>
      <c r="S51">
        <v>0</v>
      </c>
      <c r="T51">
        <v>8</v>
      </c>
      <c r="U51">
        <v>8</v>
      </c>
      <c r="V51">
        <v>8</v>
      </c>
      <c r="W51">
        <v>5</v>
      </c>
      <c r="X51">
        <v>12</v>
      </c>
    </row>
    <row r="52" spans="2:24" x14ac:dyDescent="0.45">
      <c r="B52" t="str">
        <v>A147</v>
      </c>
      <c r="C52" t="str">
        <v>AHMED WALEED K A</v>
      </c>
      <c r="D52" t="str">
        <v>DAHF</v>
      </c>
      <c r="E52" t="str">
        <v>SUB JUNIOR</v>
      </c>
      <c r="F52">
        <v>2</v>
      </c>
      <c r="G52">
        <v>22</v>
      </c>
      <c r="H52">
        <v>0</v>
      </c>
      <c r="I52">
        <v>22</v>
      </c>
      <c r="J52">
        <v>22</v>
      </c>
      <c r="K52">
        <v>72</v>
      </c>
      <c r="L52">
        <v>72</v>
      </c>
      <c r="N52" t="str">
        <v>A147</v>
      </c>
      <c r="O52" t="str">
        <v>AHMED WALEED K A</v>
      </c>
      <c r="P52" t="str">
        <v>DAHF</v>
      </c>
      <c r="Q52" t="str">
        <v>SUB JUNIOR</v>
      </c>
      <c r="R52">
        <v>2</v>
      </c>
      <c r="S52">
        <v>0</v>
      </c>
      <c r="T52">
        <v>0</v>
      </c>
      <c r="U52">
        <v>0</v>
      </c>
      <c r="V52">
        <v>0</v>
      </c>
      <c r="W52">
        <v>76</v>
      </c>
      <c r="X52">
        <v>96</v>
      </c>
    </row>
    <row r="53" spans="2:24" x14ac:dyDescent="0.45">
      <c r="B53" t="str">
        <v>A148</v>
      </c>
      <c r="C53" t="str">
        <v>AYAAN ABOOBAKAR</v>
      </c>
      <c r="D53" t="str">
        <v>BADF</v>
      </c>
      <c r="E53" t="str">
        <v>SUB JUNIOR</v>
      </c>
      <c r="F53">
        <v>2</v>
      </c>
      <c r="G53">
        <v>12.5</v>
      </c>
      <c r="H53">
        <v>0</v>
      </c>
      <c r="I53">
        <v>12.5</v>
      </c>
      <c r="J53">
        <v>12.5</v>
      </c>
      <c r="K53">
        <v>118</v>
      </c>
      <c r="L53">
        <v>118</v>
      </c>
      <c r="N53" t="str">
        <v>A148</v>
      </c>
      <c r="O53" t="str">
        <v>AYAAN ABOOBAKAR</v>
      </c>
      <c r="P53" t="str">
        <v>BADF</v>
      </c>
      <c r="Q53" t="str">
        <v>SUB JUNIOR</v>
      </c>
      <c r="R53">
        <v>2</v>
      </c>
      <c r="S53">
        <v>0</v>
      </c>
      <c r="T53">
        <v>0</v>
      </c>
      <c r="U53">
        <v>0</v>
      </c>
      <c r="V53">
        <v>0</v>
      </c>
      <c r="W53">
        <v>76</v>
      </c>
      <c r="X53">
        <v>96</v>
      </c>
    </row>
    <row r="54" spans="2:24" x14ac:dyDescent="0.45">
      <c r="B54" t="str">
        <v>A149</v>
      </c>
      <c r="C54" t="str">
        <v>FADIL AMEEN ABDULLA</v>
      </c>
      <c r="D54" t="str">
        <v>JARF</v>
      </c>
      <c r="E54" t="str">
        <v>SUB JUNIOR</v>
      </c>
      <c r="F54">
        <v>2</v>
      </c>
      <c r="G54">
        <v>24</v>
      </c>
      <c r="H54">
        <v>0</v>
      </c>
      <c r="I54">
        <v>24</v>
      </c>
      <c r="J54">
        <v>24</v>
      </c>
      <c r="K54">
        <v>64</v>
      </c>
      <c r="L54">
        <v>64</v>
      </c>
      <c r="N54" t="str">
        <v>A149</v>
      </c>
      <c r="O54" t="str">
        <v>FADIL AMEEN ABDULLA</v>
      </c>
      <c r="P54" t="str">
        <v>JARF</v>
      </c>
      <c r="Q54" t="str">
        <v>SUB JUNIOR</v>
      </c>
      <c r="R54">
        <v>2</v>
      </c>
      <c r="S54">
        <v>0</v>
      </c>
      <c r="T54">
        <v>0</v>
      </c>
      <c r="U54">
        <v>0</v>
      </c>
      <c r="V54">
        <v>0</v>
      </c>
      <c r="W54">
        <v>76</v>
      </c>
      <c r="X54">
        <v>96</v>
      </c>
    </row>
    <row r="55" spans="2:24" x14ac:dyDescent="0.45">
      <c r="B55" t="str">
        <v>A150</v>
      </c>
      <c r="C55" t="str">
        <v>MOHAMED JAWHAR J A</v>
      </c>
      <c r="D55" t="str">
        <v>FANT</v>
      </c>
      <c r="E55" t="str">
        <v>SUB JUNIOR</v>
      </c>
      <c r="F55">
        <v>2</v>
      </c>
      <c r="G55">
        <v>61</v>
      </c>
      <c r="H55">
        <v>0</v>
      </c>
      <c r="I55">
        <v>61</v>
      </c>
      <c r="J55">
        <v>61</v>
      </c>
      <c r="K55">
        <v>5</v>
      </c>
      <c r="L55">
        <v>5</v>
      </c>
      <c r="N55" t="str">
        <v>A150</v>
      </c>
      <c r="O55" t="str">
        <v>MOHAMED JAWHAR J A</v>
      </c>
      <c r="P55" t="str">
        <v>FANT</v>
      </c>
      <c r="Q55" t="str">
        <v>SUB JUNIOR</v>
      </c>
      <c r="R55">
        <v>2</v>
      </c>
      <c r="S55">
        <v>0</v>
      </c>
      <c r="T55">
        <v>0</v>
      </c>
      <c r="U55">
        <v>0</v>
      </c>
      <c r="V55">
        <v>0</v>
      </c>
      <c r="W55">
        <v>76</v>
      </c>
      <c r="X55">
        <v>96</v>
      </c>
    </row>
    <row r="56" spans="2:24" x14ac:dyDescent="0.45">
      <c r="B56" t="str">
        <v>A151</v>
      </c>
      <c r="C56" t="str">
        <v>Mohammad Yaseen</v>
      </c>
      <c r="D56" t="str">
        <v>FANT</v>
      </c>
      <c r="E56" t="str">
        <v>SUB JUNIOR</v>
      </c>
      <c r="F56">
        <v>2</v>
      </c>
      <c r="G56">
        <v>4</v>
      </c>
      <c r="H56">
        <v>0</v>
      </c>
      <c r="I56">
        <v>4</v>
      </c>
      <c r="J56">
        <v>4</v>
      </c>
      <c r="K56">
        <v>197</v>
      </c>
      <c r="L56">
        <v>197</v>
      </c>
      <c r="N56" t="str">
        <v>A151</v>
      </c>
      <c r="O56" t="str">
        <v>Mohammad Yaseen</v>
      </c>
      <c r="P56" t="str">
        <v>FANT</v>
      </c>
      <c r="Q56" t="str">
        <v>SUB JUNIOR</v>
      </c>
      <c r="R56">
        <v>2</v>
      </c>
      <c r="S56">
        <v>3</v>
      </c>
      <c r="T56">
        <v>5</v>
      </c>
      <c r="U56">
        <v>8</v>
      </c>
      <c r="V56">
        <v>8</v>
      </c>
      <c r="W56">
        <v>5</v>
      </c>
      <c r="X56">
        <v>12</v>
      </c>
    </row>
    <row r="57" spans="2:24" x14ac:dyDescent="0.45">
      <c r="B57" t="str">
        <v>A152</v>
      </c>
      <c r="C57" t="str">
        <v>MOHAMMED QUBAIB A H</v>
      </c>
      <c r="D57" t="str">
        <v>BADF</v>
      </c>
      <c r="E57" t="str">
        <v>SUB JUNIOR</v>
      </c>
      <c r="F57">
        <v>2</v>
      </c>
      <c r="G57">
        <v>13</v>
      </c>
      <c r="H57">
        <v>0</v>
      </c>
      <c r="I57">
        <v>13</v>
      </c>
      <c r="J57">
        <v>13</v>
      </c>
      <c r="K57">
        <v>114</v>
      </c>
      <c r="L57">
        <v>114</v>
      </c>
      <c r="N57" t="str">
        <v>A152</v>
      </c>
      <c r="O57" t="str">
        <v>MOHAMMED QUBAIB A H</v>
      </c>
      <c r="P57" t="str">
        <v>BADF</v>
      </c>
      <c r="Q57" t="str">
        <v>SUB JUNIOR</v>
      </c>
      <c r="R57">
        <v>2</v>
      </c>
      <c r="S57">
        <v>0</v>
      </c>
      <c r="T57">
        <v>0</v>
      </c>
      <c r="U57">
        <v>0</v>
      </c>
      <c r="V57">
        <v>0</v>
      </c>
      <c r="W57">
        <v>76</v>
      </c>
      <c r="X57">
        <v>96</v>
      </c>
    </row>
    <row r="58" spans="2:24" x14ac:dyDescent="0.45">
      <c r="B58" t="str">
        <v>A153</v>
      </c>
      <c r="C58" t="str">
        <v>MOHAMMED SAWA T A</v>
      </c>
      <c r="D58" t="str">
        <v>FANT</v>
      </c>
      <c r="E58" t="str">
        <v>SUB JUNIOR</v>
      </c>
      <c r="F58">
        <v>2</v>
      </c>
      <c r="G58">
        <v>30</v>
      </c>
      <c r="H58">
        <v>0</v>
      </c>
      <c r="I58">
        <v>30</v>
      </c>
      <c r="J58">
        <v>30</v>
      </c>
      <c r="K58">
        <v>48</v>
      </c>
      <c r="L58">
        <v>48</v>
      </c>
      <c r="N58" t="str">
        <v>A153</v>
      </c>
      <c r="O58" t="str">
        <v>MOHAMMED SAWA T A</v>
      </c>
      <c r="P58" t="str">
        <v>FANT</v>
      </c>
      <c r="Q58" t="str">
        <v>SUB JUNIOR</v>
      </c>
      <c r="R58">
        <v>2</v>
      </c>
      <c r="S58">
        <v>0</v>
      </c>
      <c r="T58">
        <v>1</v>
      </c>
      <c r="U58">
        <v>1</v>
      </c>
      <c r="V58">
        <v>1</v>
      </c>
      <c r="W58">
        <v>54</v>
      </c>
      <c r="X58">
        <v>69</v>
      </c>
    </row>
    <row r="59" spans="2:24" x14ac:dyDescent="0.45">
      <c r="B59" t="str">
        <v>A154</v>
      </c>
      <c r="C59" t="str">
        <v>MOHAMMED WASIM SHAHAD SM</v>
      </c>
      <c r="D59" t="str">
        <v>JARF</v>
      </c>
      <c r="E59" t="str">
        <v>SUB JUNIOR</v>
      </c>
      <c r="F59">
        <v>2</v>
      </c>
      <c r="G59">
        <v>45</v>
      </c>
      <c r="H59">
        <v>0</v>
      </c>
      <c r="I59">
        <v>45</v>
      </c>
      <c r="J59">
        <v>45</v>
      </c>
      <c r="K59">
        <v>18</v>
      </c>
      <c r="L59">
        <v>18</v>
      </c>
      <c r="N59" t="str">
        <v>A154</v>
      </c>
      <c r="O59" t="str">
        <v>MOHAMMED WASIM SHAHAD SM</v>
      </c>
      <c r="P59" t="str">
        <v>JARF</v>
      </c>
      <c r="Q59" t="str">
        <v>SUB JUNIOR</v>
      </c>
      <c r="R59">
        <v>2</v>
      </c>
      <c r="S59">
        <v>0</v>
      </c>
      <c r="T59">
        <v>0</v>
      </c>
      <c r="U59">
        <v>0</v>
      </c>
      <c r="V59">
        <v>0</v>
      </c>
      <c r="W59">
        <v>76</v>
      </c>
      <c r="X59">
        <v>96</v>
      </c>
    </row>
    <row r="60" spans="2:24" x14ac:dyDescent="0.45">
      <c r="B60" t="str">
        <v>A155</v>
      </c>
      <c r="C60" t="str">
        <v>Muhammad M</v>
      </c>
      <c r="D60" t="str">
        <v>JARF</v>
      </c>
      <c r="E60" t="str">
        <v>SUB JUNIOR</v>
      </c>
      <c r="F60">
        <v>2</v>
      </c>
      <c r="G60">
        <v>0</v>
      </c>
      <c r="H60">
        <v>0</v>
      </c>
      <c r="I60">
        <v>0</v>
      </c>
      <c r="J60">
        <v>0</v>
      </c>
      <c r="K60">
        <v>255</v>
      </c>
      <c r="L60">
        <v>255</v>
      </c>
      <c r="N60" t="str">
        <v>A155</v>
      </c>
      <c r="O60" t="str">
        <v>Muhammad M</v>
      </c>
      <c r="P60" t="str">
        <v>JARF</v>
      </c>
      <c r="Q60" t="str">
        <v>SUB JUNIOR</v>
      </c>
      <c r="R60">
        <v>2</v>
      </c>
      <c r="S60">
        <v>0</v>
      </c>
      <c r="T60">
        <v>0</v>
      </c>
      <c r="U60">
        <v>0</v>
      </c>
      <c r="V60">
        <v>0</v>
      </c>
      <c r="W60">
        <v>76</v>
      </c>
      <c r="X60">
        <v>96</v>
      </c>
    </row>
    <row r="61" spans="2:24" x14ac:dyDescent="0.45">
      <c r="B61" t="str">
        <v>A156</v>
      </c>
      <c r="C61" t="str">
        <v>MUHAMMAD SHAHSAD HASAN</v>
      </c>
      <c r="D61" t="str">
        <v>JARF</v>
      </c>
      <c r="E61" t="str">
        <v>SUB JUNIOR</v>
      </c>
      <c r="F61">
        <v>2</v>
      </c>
      <c r="G61">
        <v>20</v>
      </c>
      <c r="H61">
        <v>0</v>
      </c>
      <c r="I61">
        <v>20</v>
      </c>
      <c r="J61">
        <v>20</v>
      </c>
      <c r="K61">
        <v>74</v>
      </c>
      <c r="L61">
        <v>74</v>
      </c>
      <c r="N61" t="str">
        <v>A156</v>
      </c>
      <c r="O61" t="str">
        <v>MUHAMMAD SHAHSAD HASAN</v>
      </c>
      <c r="P61" t="str">
        <v>JARF</v>
      </c>
      <c r="Q61" t="str">
        <v>SUB JUNIOR</v>
      </c>
      <c r="R61">
        <v>2</v>
      </c>
      <c r="S61">
        <v>0</v>
      </c>
      <c r="T61">
        <v>0</v>
      </c>
      <c r="U61">
        <v>0</v>
      </c>
      <c r="V61">
        <v>0</v>
      </c>
      <c r="W61">
        <v>76</v>
      </c>
      <c r="X61">
        <v>96</v>
      </c>
    </row>
    <row r="62" spans="2:24" x14ac:dyDescent="0.45">
      <c r="B62" t="str">
        <v>A157</v>
      </c>
      <c r="C62" t="str">
        <v>MUHAMMED ADNAN K.A</v>
      </c>
      <c r="D62" t="str">
        <v>FANT</v>
      </c>
      <c r="E62" t="str">
        <v>SUB JUNIOR</v>
      </c>
      <c r="F62">
        <v>2</v>
      </c>
      <c r="G62">
        <v>3</v>
      </c>
      <c r="H62">
        <v>0</v>
      </c>
      <c r="I62">
        <v>3</v>
      </c>
      <c r="J62">
        <v>3</v>
      </c>
      <c r="K62">
        <v>209</v>
      </c>
      <c r="L62">
        <v>209</v>
      </c>
      <c r="N62" t="str">
        <v>A157</v>
      </c>
      <c r="O62" t="str">
        <v>MUHAMMED ADNAN K.A</v>
      </c>
      <c r="P62" t="str">
        <v>FANT</v>
      </c>
      <c r="Q62" t="str">
        <v>SUB JUNIOR</v>
      </c>
      <c r="R62">
        <v>2</v>
      </c>
      <c r="S62">
        <v>0</v>
      </c>
      <c r="T62">
        <v>0</v>
      </c>
      <c r="U62">
        <v>0</v>
      </c>
      <c r="V62">
        <v>0</v>
      </c>
      <c r="W62">
        <v>76</v>
      </c>
      <c r="X62">
        <v>96</v>
      </c>
    </row>
    <row r="63" spans="2:24" x14ac:dyDescent="0.45">
      <c r="B63" t="str">
        <v>A158</v>
      </c>
      <c r="C63" t="str">
        <v>Muhammed Anas</v>
      </c>
      <c r="D63" t="str">
        <v>DAHF</v>
      </c>
      <c r="E63" t="str">
        <v>SUB JUNIOR</v>
      </c>
      <c r="F63">
        <v>2</v>
      </c>
      <c r="G63">
        <v>53.5</v>
      </c>
      <c r="H63">
        <v>0</v>
      </c>
      <c r="I63">
        <v>53.5</v>
      </c>
      <c r="J63">
        <v>53.5</v>
      </c>
      <c r="K63">
        <v>10</v>
      </c>
      <c r="L63">
        <v>10</v>
      </c>
      <c r="N63" t="str">
        <v>A158</v>
      </c>
      <c r="O63" t="str">
        <v>Muhammed Anas</v>
      </c>
      <c r="P63" t="str">
        <v>DAHF</v>
      </c>
      <c r="Q63" t="str">
        <v>SUB JUNIOR</v>
      </c>
      <c r="R63">
        <v>2</v>
      </c>
      <c r="S63">
        <v>0</v>
      </c>
      <c r="T63">
        <v>0</v>
      </c>
      <c r="U63">
        <v>0</v>
      </c>
      <c r="V63">
        <v>0</v>
      </c>
      <c r="W63">
        <v>76</v>
      </c>
      <c r="X63">
        <v>96</v>
      </c>
    </row>
    <row r="64" spans="2:24" x14ac:dyDescent="0.45">
      <c r="B64" t="str">
        <v>A159</v>
      </c>
      <c r="C64" t="str">
        <v>MUHAMMED ASHIR M</v>
      </c>
      <c r="D64" t="str">
        <v>JARF</v>
      </c>
      <c r="E64" t="str">
        <v>SUB JUNIOR</v>
      </c>
      <c r="F64">
        <v>2</v>
      </c>
      <c r="G64">
        <v>17</v>
      </c>
      <c r="H64">
        <v>0</v>
      </c>
      <c r="I64">
        <v>17</v>
      </c>
      <c r="J64">
        <v>17</v>
      </c>
      <c r="K64">
        <v>87</v>
      </c>
      <c r="L64">
        <v>87</v>
      </c>
      <c r="N64" t="str">
        <v>A159</v>
      </c>
      <c r="O64" t="str">
        <v>MUHAMMED ASHIR M</v>
      </c>
      <c r="P64" t="str">
        <v>JARF</v>
      </c>
      <c r="Q64" t="str">
        <v>SUB JUNIOR</v>
      </c>
      <c r="R64">
        <v>2</v>
      </c>
      <c r="S64">
        <v>0</v>
      </c>
      <c r="T64">
        <v>0</v>
      </c>
      <c r="U64">
        <v>0</v>
      </c>
      <c r="V64">
        <v>0</v>
      </c>
      <c r="W64">
        <v>76</v>
      </c>
      <c r="X64">
        <v>96</v>
      </c>
    </row>
    <row r="65" spans="2:24" x14ac:dyDescent="0.45">
      <c r="B65" t="str">
        <v>A160</v>
      </c>
      <c r="C65" t="str">
        <v>MUHAMMED AYAAN</v>
      </c>
      <c r="D65" t="str">
        <v>JARF</v>
      </c>
      <c r="E65" t="str">
        <v>SUB JUNIOR</v>
      </c>
      <c r="F65">
        <v>2</v>
      </c>
      <c r="G65">
        <v>10</v>
      </c>
      <c r="H65">
        <v>0</v>
      </c>
      <c r="I65">
        <v>10</v>
      </c>
      <c r="J65">
        <v>10</v>
      </c>
      <c r="K65">
        <v>131</v>
      </c>
      <c r="L65">
        <v>131</v>
      </c>
      <c r="N65" t="str">
        <v>A160</v>
      </c>
      <c r="O65" t="str">
        <v>MUHAMMED AYAAN</v>
      </c>
      <c r="P65" t="str">
        <v>JARF</v>
      </c>
      <c r="Q65" t="str">
        <v>SUB JUNIOR</v>
      </c>
      <c r="R65">
        <v>2</v>
      </c>
      <c r="S65">
        <v>0</v>
      </c>
      <c r="T65">
        <v>0</v>
      </c>
      <c r="U65">
        <v>0</v>
      </c>
      <c r="V65">
        <v>0</v>
      </c>
      <c r="W65">
        <v>76</v>
      </c>
      <c r="X65">
        <v>96</v>
      </c>
    </row>
    <row r="66" spans="2:24" x14ac:dyDescent="0.45">
      <c r="B66" t="str">
        <v>A161</v>
      </c>
      <c r="C66" t="str">
        <v>MUHAMMED FAHAD</v>
      </c>
      <c r="D66" t="str">
        <v>FANT</v>
      </c>
      <c r="E66" t="str">
        <v>SUB JUNIOR</v>
      </c>
      <c r="F66">
        <v>2</v>
      </c>
      <c r="G66">
        <v>55.5</v>
      </c>
      <c r="H66">
        <v>0</v>
      </c>
      <c r="I66">
        <v>55.5</v>
      </c>
      <c r="J66">
        <v>55.5</v>
      </c>
      <c r="K66">
        <v>7</v>
      </c>
      <c r="L66">
        <v>7</v>
      </c>
      <c r="N66" t="str">
        <v>A161</v>
      </c>
      <c r="O66" t="str">
        <v>MUHAMMED FAHAD</v>
      </c>
      <c r="P66" t="str">
        <v>FANT</v>
      </c>
      <c r="Q66" t="str">
        <v>SUB JUNIOR</v>
      </c>
      <c r="R66">
        <v>2</v>
      </c>
      <c r="S66">
        <v>0</v>
      </c>
      <c r="T66">
        <v>0</v>
      </c>
      <c r="U66">
        <v>0</v>
      </c>
      <c r="V66">
        <v>0</v>
      </c>
      <c r="W66">
        <v>76</v>
      </c>
      <c r="X66">
        <v>96</v>
      </c>
    </row>
    <row r="67" spans="2:24" x14ac:dyDescent="0.45">
      <c r="B67" t="str">
        <v>A162</v>
      </c>
      <c r="C67" t="str">
        <v>MUHAMMED FAREED A S</v>
      </c>
      <c r="D67" t="str">
        <v>FANT</v>
      </c>
      <c r="E67" t="str">
        <v>SUB JUNIOR</v>
      </c>
      <c r="F67">
        <v>2</v>
      </c>
      <c r="G67">
        <v>20</v>
      </c>
      <c r="H67">
        <v>0</v>
      </c>
      <c r="I67">
        <v>20</v>
      </c>
      <c r="J67">
        <v>20</v>
      </c>
      <c r="K67">
        <v>74</v>
      </c>
      <c r="L67">
        <v>74</v>
      </c>
      <c r="N67" t="str">
        <v>A162</v>
      </c>
      <c r="O67" t="str">
        <v>MUHAMMED FAREED A S</v>
      </c>
      <c r="P67" t="str">
        <v>FANT</v>
      </c>
      <c r="Q67" t="str">
        <v>SUB JUNIOR</v>
      </c>
      <c r="R67">
        <v>2</v>
      </c>
      <c r="S67">
        <v>0</v>
      </c>
      <c r="T67">
        <v>0</v>
      </c>
      <c r="U67">
        <v>0</v>
      </c>
      <c r="V67">
        <v>0</v>
      </c>
      <c r="W67">
        <v>76</v>
      </c>
      <c r="X67">
        <v>96</v>
      </c>
    </row>
    <row r="68" spans="2:24" x14ac:dyDescent="0.45">
      <c r="B68" t="str">
        <v>A163</v>
      </c>
      <c r="C68" t="str">
        <v>MUHAMMED LUQMAN TD</v>
      </c>
      <c r="D68" t="str">
        <v>BADF</v>
      </c>
      <c r="E68" t="str">
        <v>SUB JUNIOR</v>
      </c>
      <c r="F68">
        <v>2</v>
      </c>
      <c r="G68">
        <v>28</v>
      </c>
      <c r="H68">
        <v>0</v>
      </c>
      <c r="I68">
        <v>28</v>
      </c>
      <c r="J68">
        <v>28</v>
      </c>
      <c r="K68">
        <v>51</v>
      </c>
      <c r="L68">
        <v>51</v>
      </c>
      <c r="N68" t="str">
        <v>A163</v>
      </c>
      <c r="O68" t="str">
        <v>MUHAMMED LUQMAN TD</v>
      </c>
      <c r="P68" t="str">
        <v>BADF</v>
      </c>
      <c r="Q68" t="str">
        <v>SUB JUNIOR</v>
      </c>
      <c r="R68">
        <v>2</v>
      </c>
      <c r="S68">
        <v>0</v>
      </c>
      <c r="T68">
        <v>8</v>
      </c>
      <c r="U68">
        <v>8</v>
      </c>
      <c r="V68">
        <v>8</v>
      </c>
      <c r="W68">
        <v>5</v>
      </c>
      <c r="X68">
        <v>12</v>
      </c>
    </row>
    <row r="69" spans="2:24" x14ac:dyDescent="0.45">
      <c r="B69" t="str">
        <v>A164</v>
      </c>
      <c r="C69" t="str">
        <v>MUHAMMED MICDAD RAMEES A H</v>
      </c>
      <c r="D69" t="str">
        <v>DAHF</v>
      </c>
      <c r="E69" t="str">
        <v>SUB JUNIOR</v>
      </c>
      <c r="F69">
        <v>2</v>
      </c>
      <c r="G69">
        <v>55.5</v>
      </c>
      <c r="H69">
        <v>0</v>
      </c>
      <c r="I69">
        <v>55.5</v>
      </c>
      <c r="J69">
        <v>55.5</v>
      </c>
      <c r="K69">
        <v>7</v>
      </c>
      <c r="L69">
        <v>7</v>
      </c>
      <c r="N69" t="str">
        <v>A164</v>
      </c>
      <c r="O69" t="str">
        <v>MUHAMMED MICDAD RAMEES A H</v>
      </c>
      <c r="P69" t="str">
        <v>DAHF</v>
      </c>
      <c r="Q69" t="str">
        <v>SUB JUNIOR</v>
      </c>
      <c r="R69">
        <v>2</v>
      </c>
      <c r="S69">
        <v>5</v>
      </c>
      <c r="T69">
        <v>0</v>
      </c>
      <c r="U69">
        <v>5</v>
      </c>
      <c r="V69">
        <v>5</v>
      </c>
      <c r="W69">
        <v>13</v>
      </c>
      <c r="X69">
        <v>24</v>
      </c>
    </row>
    <row r="70" spans="2:24" x14ac:dyDescent="0.45">
      <c r="B70" t="str">
        <v>A165</v>
      </c>
      <c r="C70" t="str">
        <v>MUHAMMED MIDLAJ</v>
      </c>
      <c r="D70" t="str">
        <v>DAHF</v>
      </c>
      <c r="E70" t="str">
        <v>SUB JUNIOR</v>
      </c>
      <c r="F70">
        <v>2</v>
      </c>
      <c r="G70">
        <v>25</v>
      </c>
      <c r="H70">
        <v>0</v>
      </c>
      <c r="I70">
        <v>25</v>
      </c>
      <c r="J70">
        <v>25</v>
      </c>
      <c r="K70">
        <v>60</v>
      </c>
      <c r="L70">
        <v>60</v>
      </c>
      <c r="N70" t="str">
        <v>A165</v>
      </c>
      <c r="O70" t="str">
        <v>MUHAMMED MIDLAJ</v>
      </c>
      <c r="P70" t="str">
        <v>DAHF</v>
      </c>
      <c r="Q70" t="str">
        <v>SUB JUNIOR</v>
      </c>
      <c r="R70">
        <v>2</v>
      </c>
      <c r="S70">
        <v>0</v>
      </c>
      <c r="T70">
        <v>0</v>
      </c>
      <c r="U70">
        <v>0</v>
      </c>
      <c r="V70">
        <v>0</v>
      </c>
      <c r="W70">
        <v>76</v>
      </c>
      <c r="X70">
        <v>96</v>
      </c>
    </row>
    <row r="71" spans="2:24" x14ac:dyDescent="0.45">
      <c r="B71" t="str">
        <v>A166</v>
      </c>
      <c r="C71" t="str">
        <v>Muhammed Naieem</v>
      </c>
      <c r="D71" t="str">
        <v>BADF</v>
      </c>
      <c r="E71" t="str">
        <v>SUB JUNIOR</v>
      </c>
      <c r="F71">
        <v>2</v>
      </c>
      <c r="G71">
        <v>31</v>
      </c>
      <c r="H71">
        <v>0</v>
      </c>
      <c r="I71">
        <v>31</v>
      </c>
      <c r="J71">
        <v>31</v>
      </c>
      <c r="K71">
        <v>42</v>
      </c>
      <c r="L71">
        <v>42</v>
      </c>
      <c r="N71" t="str">
        <v>A166</v>
      </c>
      <c r="O71" t="str">
        <v>Muhammed Naieem</v>
      </c>
      <c r="P71" t="str">
        <v>BADF</v>
      </c>
      <c r="Q71" t="str">
        <v>SUB JUNIOR</v>
      </c>
      <c r="R71">
        <v>2</v>
      </c>
      <c r="S71">
        <v>0</v>
      </c>
      <c r="T71">
        <v>3</v>
      </c>
      <c r="U71">
        <v>3</v>
      </c>
      <c r="V71">
        <v>3</v>
      </c>
      <c r="W71">
        <v>30</v>
      </c>
      <c r="X71">
        <v>46</v>
      </c>
    </row>
    <row r="72" spans="2:24" x14ac:dyDescent="0.45">
      <c r="B72" t="str">
        <v>A167</v>
      </c>
      <c r="C72" t="str">
        <v>MUHAMMED RAEES C A</v>
      </c>
      <c r="D72" t="str">
        <v>BADF</v>
      </c>
      <c r="E72" t="str">
        <v>SUB JUNIOR</v>
      </c>
      <c r="F72">
        <v>2</v>
      </c>
      <c r="G72">
        <v>40</v>
      </c>
      <c r="H72">
        <v>0</v>
      </c>
      <c r="I72">
        <v>40</v>
      </c>
      <c r="J72">
        <v>40</v>
      </c>
      <c r="K72">
        <v>23</v>
      </c>
      <c r="L72">
        <v>23</v>
      </c>
      <c r="N72" t="str">
        <v>A167</v>
      </c>
      <c r="O72" t="str">
        <v>MUHAMMED RAEES C A</v>
      </c>
      <c r="P72" t="str">
        <v>BADF</v>
      </c>
      <c r="Q72" t="str">
        <v>SUB JUNIOR</v>
      </c>
      <c r="R72">
        <v>2</v>
      </c>
      <c r="S72">
        <v>0</v>
      </c>
      <c r="T72">
        <v>0</v>
      </c>
      <c r="U72">
        <v>0</v>
      </c>
      <c r="V72">
        <v>0</v>
      </c>
      <c r="W72">
        <v>76</v>
      </c>
      <c r="X72">
        <v>96</v>
      </c>
    </row>
    <row r="73" spans="2:24" x14ac:dyDescent="0.45">
      <c r="B73" t="str">
        <v>A168</v>
      </c>
      <c r="C73" t="str">
        <v>Muhammed Sinan D A</v>
      </c>
      <c r="D73" t="str">
        <v>JARF</v>
      </c>
      <c r="E73" t="str">
        <v>SUB JUNIOR</v>
      </c>
      <c r="F73">
        <v>2</v>
      </c>
      <c r="G73">
        <v>0</v>
      </c>
      <c r="H73">
        <v>0</v>
      </c>
      <c r="I73">
        <v>0</v>
      </c>
      <c r="J73">
        <v>0</v>
      </c>
      <c r="K73">
        <v>255</v>
      </c>
      <c r="L73">
        <v>255</v>
      </c>
      <c r="N73" t="str">
        <v>A168</v>
      </c>
      <c r="O73" t="str">
        <v>Muhammed Sinan D A</v>
      </c>
      <c r="P73" t="str">
        <v>JARF</v>
      </c>
      <c r="Q73" t="str">
        <v>SUB JUNIOR</v>
      </c>
      <c r="R73">
        <v>2</v>
      </c>
      <c r="S73">
        <v>0</v>
      </c>
      <c r="T73">
        <v>0</v>
      </c>
      <c r="U73">
        <v>0</v>
      </c>
      <c r="V73">
        <v>0</v>
      </c>
      <c r="W73">
        <v>76</v>
      </c>
      <c r="X73">
        <v>96</v>
      </c>
    </row>
    <row r="74" spans="2:24" x14ac:dyDescent="0.45">
      <c r="B74" t="str">
        <v>A169</v>
      </c>
      <c r="C74" t="str">
        <v>NAZWAN MOHAMMED</v>
      </c>
      <c r="D74" t="str">
        <v>FANT</v>
      </c>
      <c r="E74" t="str">
        <v>SUB JUNIOR</v>
      </c>
      <c r="F74">
        <v>2</v>
      </c>
      <c r="G74">
        <v>18</v>
      </c>
      <c r="H74">
        <v>0</v>
      </c>
      <c r="I74">
        <v>18</v>
      </c>
      <c r="J74">
        <v>18</v>
      </c>
      <c r="K74">
        <v>81</v>
      </c>
      <c r="L74">
        <v>81</v>
      </c>
      <c r="N74" t="str">
        <v>A169</v>
      </c>
      <c r="O74" t="str">
        <v>NAZWAN MOHAMMED</v>
      </c>
      <c r="P74" t="str">
        <v>FANT</v>
      </c>
      <c r="Q74" t="str">
        <v>SUB JUNIOR</v>
      </c>
      <c r="R74">
        <v>2</v>
      </c>
      <c r="S74">
        <v>0</v>
      </c>
      <c r="T74">
        <v>0</v>
      </c>
      <c r="U74">
        <v>0</v>
      </c>
      <c r="V74">
        <v>0</v>
      </c>
      <c r="W74">
        <v>76</v>
      </c>
      <c r="X74">
        <v>96</v>
      </c>
    </row>
    <row r="75" spans="2:24" x14ac:dyDescent="0.45">
      <c r="B75" t="str">
        <v>A170</v>
      </c>
      <c r="C75" t="str">
        <v>P.V.AHMAD ANAS</v>
      </c>
      <c r="D75" t="str">
        <v>DAHF</v>
      </c>
      <c r="E75" t="str">
        <v>SUB JUNIOR</v>
      </c>
      <c r="F75">
        <v>2</v>
      </c>
      <c r="G75">
        <v>16</v>
      </c>
      <c r="H75">
        <v>0</v>
      </c>
      <c r="I75">
        <v>16</v>
      </c>
      <c r="J75">
        <v>16</v>
      </c>
      <c r="K75">
        <v>94</v>
      </c>
      <c r="L75">
        <v>94</v>
      </c>
      <c r="N75" t="str">
        <v>A170</v>
      </c>
      <c r="O75" t="str">
        <v>P.V.AHMAD ANAS</v>
      </c>
      <c r="P75" t="str">
        <v>DAHF</v>
      </c>
      <c r="Q75" t="str">
        <v>SUB JUNIOR</v>
      </c>
      <c r="R75">
        <v>2</v>
      </c>
      <c r="S75">
        <v>0</v>
      </c>
      <c r="T75">
        <v>0</v>
      </c>
      <c r="U75">
        <v>0</v>
      </c>
      <c r="V75">
        <v>0</v>
      </c>
      <c r="W75">
        <v>76</v>
      </c>
      <c r="X75">
        <v>96</v>
      </c>
    </row>
    <row r="76" spans="2:24" x14ac:dyDescent="0.45">
      <c r="B76" t="str">
        <v>A171</v>
      </c>
      <c r="C76" t="str">
        <v>SAYYED MOHAMMED SINAN AM</v>
      </c>
      <c r="D76" t="str">
        <v>DAHF</v>
      </c>
      <c r="E76" t="str">
        <v>SUB JUNIOR</v>
      </c>
      <c r="F76">
        <v>2</v>
      </c>
      <c r="G76">
        <v>6</v>
      </c>
      <c r="H76">
        <v>0</v>
      </c>
      <c r="I76">
        <v>6</v>
      </c>
      <c r="J76">
        <v>6</v>
      </c>
      <c r="K76">
        <v>171</v>
      </c>
      <c r="L76">
        <v>171</v>
      </c>
      <c r="N76" t="str">
        <v>A171</v>
      </c>
      <c r="O76" t="str">
        <v>SAYYED MOHAMMED SINAN AM</v>
      </c>
      <c r="P76" t="str">
        <v>DAHF</v>
      </c>
      <c r="Q76" t="str">
        <v>SUB JUNIOR</v>
      </c>
      <c r="R76">
        <v>2</v>
      </c>
      <c r="S76">
        <v>0</v>
      </c>
      <c r="T76">
        <v>0</v>
      </c>
      <c r="U76">
        <v>0</v>
      </c>
      <c r="V76">
        <v>0</v>
      </c>
      <c r="W76">
        <v>76</v>
      </c>
      <c r="X76">
        <v>96</v>
      </c>
    </row>
    <row r="77" spans="2:24" x14ac:dyDescent="0.45">
      <c r="B77" t="str">
        <v>A172</v>
      </c>
      <c r="C77" t="str">
        <v>SAYYED MUHAMMED ABOOBACKER</v>
      </c>
      <c r="D77" t="str">
        <v>DAHF</v>
      </c>
      <c r="E77" t="str">
        <v>SUB JUNIOR</v>
      </c>
      <c r="F77">
        <v>2</v>
      </c>
      <c r="G77">
        <v>17</v>
      </c>
      <c r="H77">
        <v>0</v>
      </c>
      <c r="I77">
        <v>17</v>
      </c>
      <c r="J77">
        <v>17</v>
      </c>
      <c r="K77">
        <v>87</v>
      </c>
      <c r="L77">
        <v>87</v>
      </c>
      <c r="N77" t="str">
        <v>A172</v>
      </c>
      <c r="O77" t="str">
        <v>SAYYED MUHAMMED ABOOBACKER</v>
      </c>
      <c r="P77" t="str">
        <v>DAHF</v>
      </c>
      <c r="Q77" t="str">
        <v>SUB JUNIOR</v>
      </c>
      <c r="R77">
        <v>2</v>
      </c>
      <c r="S77">
        <v>0</v>
      </c>
      <c r="T77">
        <v>0</v>
      </c>
      <c r="U77">
        <v>0</v>
      </c>
      <c r="V77">
        <v>0</v>
      </c>
      <c r="W77">
        <v>76</v>
      </c>
      <c r="X77">
        <v>96</v>
      </c>
    </row>
    <row r="78" spans="2:24" x14ac:dyDescent="0.45">
      <c r="B78" t="str">
        <v>A173</v>
      </c>
      <c r="C78" t="str">
        <v>SHAHUL HAMEED B.I</v>
      </c>
      <c r="D78" t="str">
        <v>BADF</v>
      </c>
      <c r="E78" t="str">
        <v>SUB JUNIOR</v>
      </c>
      <c r="F78">
        <v>2</v>
      </c>
      <c r="G78">
        <v>6</v>
      </c>
      <c r="H78">
        <v>0</v>
      </c>
      <c r="I78">
        <v>6</v>
      </c>
      <c r="J78">
        <v>6</v>
      </c>
      <c r="K78">
        <v>171</v>
      </c>
      <c r="L78">
        <v>171</v>
      </c>
      <c r="N78" t="str">
        <v>A173</v>
      </c>
      <c r="O78" t="str">
        <v>SHAHUL HAMEED B.I</v>
      </c>
      <c r="P78" t="str">
        <v>BADF</v>
      </c>
      <c r="Q78" t="str">
        <v>SUB JUNIOR</v>
      </c>
      <c r="R78">
        <v>2</v>
      </c>
      <c r="S78">
        <v>0</v>
      </c>
      <c r="T78">
        <v>0</v>
      </c>
      <c r="U78">
        <v>0</v>
      </c>
      <c r="V78">
        <v>0</v>
      </c>
      <c r="W78">
        <v>76</v>
      </c>
      <c r="X78">
        <v>96</v>
      </c>
    </row>
    <row r="79" spans="2:24" x14ac:dyDescent="0.45">
      <c r="B79" t="str">
        <v>A174</v>
      </c>
      <c r="C79" t="str">
        <v>THUFAIL</v>
      </c>
      <c r="D79" t="str">
        <v>DAHF</v>
      </c>
      <c r="E79" t="str">
        <v>SUB JUNIOR</v>
      </c>
      <c r="F79">
        <v>2</v>
      </c>
      <c r="G79">
        <v>20.5</v>
      </c>
      <c r="H79">
        <v>0</v>
      </c>
      <c r="I79">
        <v>20.5</v>
      </c>
      <c r="J79">
        <v>20.5</v>
      </c>
      <c r="K79">
        <v>73</v>
      </c>
      <c r="L79">
        <v>73</v>
      </c>
      <c r="N79" t="str">
        <v>A174</v>
      </c>
      <c r="O79" t="str">
        <v>THUFAIL</v>
      </c>
      <c r="P79" t="str">
        <v>DAHF</v>
      </c>
      <c r="Q79" t="str">
        <v>SUB JUNIOR</v>
      </c>
      <c r="R79">
        <v>2</v>
      </c>
      <c r="S79">
        <v>0</v>
      </c>
      <c r="T79">
        <v>5</v>
      </c>
      <c r="U79">
        <v>5</v>
      </c>
      <c r="V79">
        <v>5</v>
      </c>
      <c r="W79">
        <v>13</v>
      </c>
      <c r="X79">
        <v>24</v>
      </c>
    </row>
    <row r="80" spans="2:24" x14ac:dyDescent="0.45">
      <c r="B80" t="str">
        <v>A175</v>
      </c>
      <c r="C80" t="str">
        <v>YOUSUF FAHEEM P</v>
      </c>
      <c r="D80" t="str">
        <v>DAHF</v>
      </c>
      <c r="E80" t="str">
        <v>SUB JUNIOR</v>
      </c>
      <c r="F80">
        <v>2</v>
      </c>
      <c r="G80">
        <v>6</v>
      </c>
      <c r="H80">
        <v>0</v>
      </c>
      <c r="I80">
        <v>6</v>
      </c>
      <c r="J80">
        <v>6</v>
      </c>
      <c r="K80">
        <v>171</v>
      </c>
      <c r="L80">
        <v>171</v>
      </c>
      <c r="N80" t="str">
        <v>A175</v>
      </c>
      <c r="O80" t="str">
        <v>YOUSUF FAHEEM P</v>
      </c>
      <c r="P80" t="str">
        <v>DAHF</v>
      </c>
      <c r="Q80" t="str">
        <v>SUB JUNIOR</v>
      </c>
      <c r="R80">
        <v>2</v>
      </c>
      <c r="S80">
        <v>0</v>
      </c>
      <c r="T80">
        <v>0</v>
      </c>
      <c r="U80">
        <v>0</v>
      </c>
      <c r="V80">
        <v>0</v>
      </c>
      <c r="W80">
        <v>76</v>
      </c>
      <c r="X80">
        <v>96</v>
      </c>
    </row>
    <row r="81" spans="2:24" x14ac:dyDescent="0.45">
      <c r="B81" t="str">
        <v>B100</v>
      </c>
      <c r="C81" t="str">
        <v>ZAINUL ABID K</v>
      </c>
      <c r="D81" t="str">
        <v>BADF</v>
      </c>
      <c r="E81" t="str">
        <v>JUNIOR</v>
      </c>
      <c r="F81">
        <v>3</v>
      </c>
      <c r="G81">
        <v>5</v>
      </c>
      <c r="H81">
        <v>0</v>
      </c>
      <c r="I81">
        <v>5</v>
      </c>
      <c r="J81">
        <v>5</v>
      </c>
      <c r="K81">
        <v>190</v>
      </c>
      <c r="L81">
        <v>190</v>
      </c>
      <c r="N81" t="str">
        <v>B100</v>
      </c>
      <c r="O81" t="str">
        <v>ZAINUL ABID K</v>
      </c>
      <c r="P81" t="str">
        <v>BADF</v>
      </c>
      <c r="Q81" t="str">
        <v>JUNIOR</v>
      </c>
      <c r="R81">
        <v>3</v>
      </c>
      <c r="S81">
        <v>0</v>
      </c>
      <c r="T81">
        <v>0</v>
      </c>
      <c r="U81">
        <v>0</v>
      </c>
      <c r="V81">
        <v>0</v>
      </c>
      <c r="W81">
        <v>76</v>
      </c>
      <c r="X81">
        <v>96</v>
      </c>
    </row>
    <row r="82" spans="2:24" x14ac:dyDescent="0.45">
      <c r="B82" t="str">
        <v>B101</v>
      </c>
      <c r="C82" t="str">
        <v>AHMED AFRAZ MB</v>
      </c>
      <c r="D82" t="str">
        <v>DAHF</v>
      </c>
      <c r="E82" t="str">
        <v>JUNIOR</v>
      </c>
      <c r="F82">
        <v>3</v>
      </c>
      <c r="G82">
        <v>0</v>
      </c>
      <c r="H82">
        <v>0</v>
      </c>
      <c r="I82">
        <v>0</v>
      </c>
      <c r="J82">
        <v>0</v>
      </c>
      <c r="K82">
        <v>255</v>
      </c>
      <c r="L82">
        <v>255</v>
      </c>
      <c r="N82" t="str">
        <v>B101</v>
      </c>
      <c r="O82" t="str">
        <v>AHMED AFRAZ MB</v>
      </c>
      <c r="P82" t="str">
        <v>DAHF</v>
      </c>
      <c r="Q82" t="str">
        <v>JUNIOR</v>
      </c>
      <c r="R82">
        <v>3</v>
      </c>
      <c r="S82">
        <v>0</v>
      </c>
      <c r="T82">
        <v>0</v>
      </c>
      <c r="U82">
        <v>0</v>
      </c>
      <c r="V82">
        <v>0</v>
      </c>
      <c r="W82">
        <v>76</v>
      </c>
      <c r="X82">
        <v>96</v>
      </c>
    </row>
    <row r="83" spans="2:24" x14ac:dyDescent="0.45">
      <c r="B83" t="str">
        <v>B102</v>
      </c>
      <c r="C83" t="str">
        <v>AHMAD MUBASHAR</v>
      </c>
      <c r="D83" t="str">
        <v>FANT</v>
      </c>
      <c r="E83" t="str">
        <v>JUNIOR</v>
      </c>
      <c r="F83">
        <v>3</v>
      </c>
      <c r="G83">
        <v>5</v>
      </c>
      <c r="H83">
        <v>0</v>
      </c>
      <c r="I83">
        <v>5</v>
      </c>
      <c r="J83">
        <v>5</v>
      </c>
      <c r="K83">
        <v>190</v>
      </c>
      <c r="L83">
        <v>190</v>
      </c>
      <c r="N83" t="str">
        <v>B102</v>
      </c>
      <c r="O83" t="str">
        <v>AHMAD MUBASHAR</v>
      </c>
      <c r="P83" t="str">
        <v>FANT</v>
      </c>
      <c r="Q83" t="str">
        <v>JUNIOR</v>
      </c>
      <c r="R83">
        <v>3</v>
      </c>
      <c r="S83">
        <v>3</v>
      </c>
      <c r="T83">
        <v>0</v>
      </c>
      <c r="U83">
        <v>3</v>
      </c>
      <c r="V83">
        <v>3</v>
      </c>
      <c r="W83">
        <v>30</v>
      </c>
      <c r="X83">
        <v>46</v>
      </c>
    </row>
    <row r="84" spans="2:24" x14ac:dyDescent="0.45">
      <c r="B84" t="str">
        <v>B103</v>
      </c>
      <c r="C84" t="str">
        <v>MOHAMMED NAFIH BA</v>
      </c>
      <c r="D84" t="str">
        <v>BADF</v>
      </c>
      <c r="E84" t="str">
        <v>JUNIOR</v>
      </c>
      <c r="F84">
        <v>3</v>
      </c>
      <c r="G84">
        <v>9</v>
      </c>
      <c r="H84">
        <v>0</v>
      </c>
      <c r="I84">
        <v>9</v>
      </c>
      <c r="J84">
        <v>9</v>
      </c>
      <c r="K84">
        <v>139</v>
      </c>
      <c r="L84">
        <v>139</v>
      </c>
      <c r="N84" t="str">
        <v>B103</v>
      </c>
      <c r="O84" t="str">
        <v>MOHAMMED NAFIH BA</v>
      </c>
      <c r="P84" t="str">
        <v>BADF</v>
      </c>
      <c r="Q84" t="str">
        <v>JUNIOR</v>
      </c>
      <c r="R84">
        <v>3</v>
      </c>
      <c r="S84">
        <v>1</v>
      </c>
      <c r="T84">
        <v>0</v>
      </c>
      <c r="U84">
        <v>1</v>
      </c>
      <c r="V84">
        <v>1</v>
      </c>
      <c r="W84">
        <v>54</v>
      </c>
      <c r="X84">
        <v>69</v>
      </c>
    </row>
    <row r="85" spans="2:24" x14ac:dyDescent="0.45">
      <c r="B85" t="str">
        <v>B104</v>
      </c>
      <c r="C85" t="str">
        <v>FAKRUDDIN NAFIL</v>
      </c>
      <c r="D85" t="str">
        <v>FANT</v>
      </c>
      <c r="E85" t="str">
        <v>JUNIOR</v>
      </c>
      <c r="F85">
        <v>3</v>
      </c>
      <c r="G85">
        <v>0</v>
      </c>
      <c r="H85">
        <v>0</v>
      </c>
      <c r="I85">
        <v>0</v>
      </c>
      <c r="J85">
        <v>0</v>
      </c>
      <c r="K85">
        <v>255</v>
      </c>
      <c r="L85">
        <v>255</v>
      </c>
      <c r="N85" t="str">
        <v>B104</v>
      </c>
      <c r="O85" t="str">
        <v>FAKRUDDIN NAFIL</v>
      </c>
      <c r="P85" t="str">
        <v>FANT</v>
      </c>
      <c r="Q85" t="str">
        <v>JUNIOR</v>
      </c>
      <c r="R85">
        <v>3</v>
      </c>
      <c r="S85">
        <v>0</v>
      </c>
      <c r="T85">
        <v>0</v>
      </c>
      <c r="U85">
        <v>0</v>
      </c>
      <c r="V85">
        <v>0</v>
      </c>
      <c r="W85">
        <v>76</v>
      </c>
      <c r="X85">
        <v>96</v>
      </c>
    </row>
    <row r="86" spans="2:24" x14ac:dyDescent="0.45">
      <c r="B86" t="str">
        <v>B105</v>
      </c>
      <c r="C86" t="str">
        <v>HASAN THAMMEEM</v>
      </c>
      <c r="D86" t="str">
        <v>JARF</v>
      </c>
      <c r="E86" t="str">
        <v>JUNIOR</v>
      </c>
      <c r="F86">
        <v>3</v>
      </c>
      <c r="G86">
        <v>14</v>
      </c>
      <c r="H86">
        <v>0</v>
      </c>
      <c r="I86">
        <v>14</v>
      </c>
      <c r="J86">
        <v>14</v>
      </c>
      <c r="K86">
        <v>104</v>
      </c>
      <c r="L86">
        <v>104</v>
      </c>
      <c r="N86" t="str">
        <v>B105</v>
      </c>
      <c r="O86" t="str">
        <v>HASAN THAMMEEM</v>
      </c>
      <c r="P86" t="str">
        <v>JARF</v>
      </c>
      <c r="Q86" t="str">
        <v>JUNIOR</v>
      </c>
      <c r="R86">
        <v>3</v>
      </c>
      <c r="S86">
        <v>0</v>
      </c>
      <c r="T86">
        <v>0</v>
      </c>
      <c r="U86">
        <v>0</v>
      </c>
      <c r="V86">
        <v>0</v>
      </c>
      <c r="W86">
        <v>76</v>
      </c>
      <c r="X86">
        <v>96</v>
      </c>
    </row>
    <row r="87" spans="2:24" x14ac:dyDescent="0.45">
      <c r="B87" t="str">
        <v>B106</v>
      </c>
      <c r="C87" t="str">
        <v>MUHAMMED ROUHAN M.K</v>
      </c>
      <c r="D87" t="str">
        <v>BADF</v>
      </c>
      <c r="E87" t="str">
        <v>JUNIOR</v>
      </c>
      <c r="F87">
        <v>3</v>
      </c>
      <c r="G87">
        <v>27</v>
      </c>
      <c r="H87">
        <v>0</v>
      </c>
      <c r="I87">
        <v>27</v>
      </c>
      <c r="J87">
        <v>27</v>
      </c>
      <c r="K87">
        <v>55</v>
      </c>
      <c r="L87">
        <v>55</v>
      </c>
      <c r="N87" t="str">
        <v>B106</v>
      </c>
      <c r="O87" t="str">
        <v>MUHAMMED ROUHAN M.K</v>
      </c>
      <c r="P87" t="str">
        <v>BADF</v>
      </c>
      <c r="Q87" t="str">
        <v>JUNIOR</v>
      </c>
      <c r="R87">
        <v>3</v>
      </c>
      <c r="S87">
        <v>0</v>
      </c>
      <c r="T87">
        <v>0</v>
      </c>
      <c r="U87">
        <v>0</v>
      </c>
      <c r="V87">
        <v>0</v>
      </c>
      <c r="W87">
        <v>76</v>
      </c>
      <c r="X87">
        <v>96</v>
      </c>
    </row>
    <row r="88" spans="2:24" x14ac:dyDescent="0.45">
      <c r="B88" t="str">
        <v>B107</v>
      </c>
      <c r="C88" t="str">
        <v>MUHAMMED ZAMIL</v>
      </c>
      <c r="D88" t="str">
        <v>JARF</v>
      </c>
      <c r="E88" t="str">
        <v>JUNIOR</v>
      </c>
      <c r="F88">
        <v>3</v>
      </c>
      <c r="G88">
        <v>25</v>
      </c>
      <c r="H88">
        <v>0</v>
      </c>
      <c r="I88">
        <v>25</v>
      </c>
      <c r="J88">
        <v>25</v>
      </c>
      <c r="K88">
        <v>60</v>
      </c>
      <c r="L88">
        <v>60</v>
      </c>
      <c r="N88" t="str">
        <v>B107</v>
      </c>
      <c r="O88" t="str">
        <v>MUHAMMED ZAMIL</v>
      </c>
      <c r="P88" t="str">
        <v>JARF</v>
      </c>
      <c r="Q88" t="str">
        <v>JUNIOR</v>
      </c>
      <c r="R88">
        <v>3</v>
      </c>
      <c r="S88">
        <v>5</v>
      </c>
      <c r="T88">
        <v>0</v>
      </c>
      <c r="U88">
        <v>5</v>
      </c>
      <c r="V88">
        <v>5</v>
      </c>
      <c r="W88">
        <v>13</v>
      </c>
      <c r="X88">
        <v>24</v>
      </c>
    </row>
    <row r="89" spans="2:24" x14ac:dyDescent="0.45">
      <c r="B89" t="str">
        <v>B108</v>
      </c>
      <c r="C89" t="str">
        <v>ABDUL RAHIMAN FAIZ T A</v>
      </c>
      <c r="D89" t="str">
        <v>JARF</v>
      </c>
      <c r="E89" t="str">
        <v>JUNIOR</v>
      </c>
      <c r="F89">
        <v>3</v>
      </c>
      <c r="G89">
        <v>15</v>
      </c>
      <c r="H89">
        <v>0</v>
      </c>
      <c r="I89">
        <v>15</v>
      </c>
      <c r="J89">
        <v>15</v>
      </c>
      <c r="K89">
        <v>100</v>
      </c>
      <c r="L89">
        <v>100</v>
      </c>
      <c r="N89" t="str">
        <v>B108</v>
      </c>
      <c r="O89" t="str">
        <v>ABDUL RAHIMAN FAIZ T A</v>
      </c>
      <c r="P89" t="str">
        <v>JARF</v>
      </c>
      <c r="Q89" t="str">
        <v>JUNIOR</v>
      </c>
      <c r="R89">
        <v>3</v>
      </c>
      <c r="S89">
        <v>0</v>
      </c>
      <c r="T89">
        <v>0</v>
      </c>
      <c r="U89">
        <v>0</v>
      </c>
      <c r="V89">
        <v>1</v>
      </c>
      <c r="W89">
        <v>76</v>
      </c>
      <c r="X89">
        <v>69</v>
      </c>
    </row>
    <row r="90" spans="2:24" x14ac:dyDescent="0.45">
      <c r="B90" t="str">
        <v>B109</v>
      </c>
      <c r="C90" t="str">
        <v>AHAMMED SAFAR ZAKARIYA</v>
      </c>
      <c r="D90" t="str">
        <v>DAHF</v>
      </c>
      <c r="E90" t="str">
        <v>JUNIOR</v>
      </c>
      <c r="F90">
        <v>3</v>
      </c>
      <c r="G90">
        <v>41</v>
      </c>
      <c r="H90">
        <v>0</v>
      </c>
      <c r="I90">
        <v>41</v>
      </c>
      <c r="J90">
        <v>41</v>
      </c>
      <c r="K90">
        <v>21</v>
      </c>
      <c r="L90">
        <v>21</v>
      </c>
      <c r="N90" t="str">
        <v>B109</v>
      </c>
      <c r="O90" t="str">
        <v>AHAMMED SAFAR ZAKARIYA</v>
      </c>
      <c r="P90" t="str">
        <v>DAHF</v>
      </c>
      <c r="Q90" t="str">
        <v>JUNIOR</v>
      </c>
      <c r="R90">
        <v>3</v>
      </c>
      <c r="S90">
        <v>0</v>
      </c>
      <c r="T90">
        <v>0</v>
      </c>
      <c r="U90">
        <v>0</v>
      </c>
      <c r="V90">
        <v>0</v>
      </c>
      <c r="W90">
        <v>76</v>
      </c>
      <c r="X90">
        <v>96</v>
      </c>
    </row>
    <row r="91" spans="2:24" x14ac:dyDescent="0.45">
      <c r="B91" t="str">
        <v>B110</v>
      </c>
      <c r="C91" t="str">
        <v>MUHAMMED MUHAZ P A</v>
      </c>
      <c r="D91" t="str">
        <v>DAHF</v>
      </c>
      <c r="E91" t="str">
        <v>JUNIOR</v>
      </c>
      <c r="F91">
        <v>3</v>
      </c>
      <c r="G91">
        <v>17</v>
      </c>
      <c r="H91">
        <v>0</v>
      </c>
      <c r="I91">
        <v>17</v>
      </c>
      <c r="J91">
        <v>17</v>
      </c>
      <c r="K91">
        <v>87</v>
      </c>
      <c r="L91">
        <v>87</v>
      </c>
      <c r="N91" t="str">
        <v>B110</v>
      </c>
      <c r="O91" t="str">
        <v>MUHAMMED MUHAZ P A</v>
      </c>
      <c r="P91" t="str">
        <v>DAHF</v>
      </c>
      <c r="Q91" t="str">
        <v>JUNIOR</v>
      </c>
      <c r="R91">
        <v>3</v>
      </c>
      <c r="S91">
        <v>0</v>
      </c>
      <c r="T91">
        <v>0</v>
      </c>
      <c r="U91">
        <v>0</v>
      </c>
      <c r="V91">
        <v>0</v>
      </c>
      <c r="W91">
        <v>76</v>
      </c>
      <c r="X91">
        <v>96</v>
      </c>
    </row>
    <row r="92" spans="2:24" x14ac:dyDescent="0.45">
      <c r="B92" t="str">
        <v>B111</v>
      </c>
      <c r="C92" t="str">
        <v>MUHAMMED SAHEEM ASHRAF</v>
      </c>
      <c r="D92" t="str">
        <v>FANT</v>
      </c>
      <c r="E92" t="str">
        <v>JUNIOR</v>
      </c>
      <c r="F92">
        <v>3</v>
      </c>
      <c r="G92">
        <v>1</v>
      </c>
      <c r="H92">
        <v>0</v>
      </c>
      <c r="I92">
        <v>1</v>
      </c>
      <c r="J92">
        <v>1</v>
      </c>
      <c r="K92">
        <v>231</v>
      </c>
      <c r="L92">
        <v>231</v>
      </c>
      <c r="N92" t="str">
        <v>B111</v>
      </c>
      <c r="O92" t="str">
        <v>MUHAMMED SAHEEM ASHRAF</v>
      </c>
      <c r="P92" t="str">
        <v>FANT</v>
      </c>
      <c r="Q92" t="str">
        <v>JUNIOR</v>
      </c>
      <c r="R92">
        <v>3</v>
      </c>
      <c r="S92">
        <v>0</v>
      </c>
      <c r="T92">
        <v>0</v>
      </c>
      <c r="U92">
        <v>0</v>
      </c>
      <c r="V92">
        <v>0</v>
      </c>
      <c r="W92">
        <v>76</v>
      </c>
      <c r="X92">
        <v>96</v>
      </c>
    </row>
    <row r="93" spans="2:24" x14ac:dyDescent="0.45">
      <c r="B93" t="str">
        <v>B112</v>
      </c>
      <c r="C93" t="str">
        <v>SHARAZ AHAMMED</v>
      </c>
      <c r="D93" t="str">
        <v>FANT</v>
      </c>
      <c r="E93" t="str">
        <v>JUNIOR</v>
      </c>
      <c r="F93">
        <v>3</v>
      </c>
      <c r="G93">
        <v>0</v>
      </c>
      <c r="H93">
        <v>0</v>
      </c>
      <c r="I93">
        <v>0</v>
      </c>
      <c r="J93">
        <v>0</v>
      </c>
      <c r="K93">
        <v>255</v>
      </c>
      <c r="L93">
        <v>255</v>
      </c>
      <c r="N93" t="str">
        <v>B112</v>
      </c>
      <c r="O93" t="str">
        <v>SHARAZ AHAMMED</v>
      </c>
      <c r="P93" t="str">
        <v>FANT</v>
      </c>
      <c r="Q93" t="str">
        <v>JUNIOR</v>
      </c>
      <c r="R93">
        <v>3</v>
      </c>
      <c r="S93">
        <v>0</v>
      </c>
      <c r="T93">
        <v>0</v>
      </c>
      <c r="U93">
        <v>0</v>
      </c>
      <c r="V93">
        <v>0</v>
      </c>
      <c r="W93">
        <v>76</v>
      </c>
      <c r="X93">
        <v>96</v>
      </c>
    </row>
    <row r="94" spans="2:24" x14ac:dyDescent="0.45">
      <c r="B94" t="str">
        <v>B113</v>
      </c>
      <c r="C94" t="str">
        <v>MUHAMMED IHTHISHAM P I</v>
      </c>
      <c r="D94" t="str">
        <v>BADF</v>
      </c>
      <c r="E94" t="str">
        <v>JUNIOR</v>
      </c>
      <c r="F94">
        <v>3</v>
      </c>
      <c r="G94">
        <v>18</v>
      </c>
      <c r="H94">
        <v>0</v>
      </c>
      <c r="I94">
        <v>18</v>
      </c>
      <c r="J94">
        <v>18</v>
      </c>
      <c r="K94">
        <v>81</v>
      </c>
      <c r="L94">
        <v>81</v>
      </c>
      <c r="N94" t="str">
        <v>B113</v>
      </c>
      <c r="O94" t="str">
        <v>MUHAMMED IHTHISHAM P I</v>
      </c>
      <c r="P94" t="str">
        <v>BADF</v>
      </c>
      <c r="Q94" t="str">
        <v>JUNIOR</v>
      </c>
      <c r="R94">
        <v>3</v>
      </c>
      <c r="S94">
        <v>0</v>
      </c>
      <c r="T94">
        <v>0</v>
      </c>
      <c r="U94">
        <v>0</v>
      </c>
      <c r="V94">
        <v>0</v>
      </c>
      <c r="W94">
        <v>76</v>
      </c>
      <c r="X94">
        <v>96</v>
      </c>
    </row>
    <row r="95" spans="2:24" x14ac:dyDescent="0.45">
      <c r="B95" t="str">
        <v>B114</v>
      </c>
      <c r="C95" t="str">
        <v>AMEEN RAHMAN MTP</v>
      </c>
      <c r="D95" t="str">
        <v>DAHF</v>
      </c>
      <c r="E95" t="str">
        <v>JUNIOR</v>
      </c>
      <c r="F95">
        <v>3</v>
      </c>
      <c r="G95">
        <v>6</v>
      </c>
      <c r="H95">
        <v>0</v>
      </c>
      <c r="I95">
        <v>6</v>
      </c>
      <c r="J95">
        <v>6</v>
      </c>
      <c r="K95">
        <v>171</v>
      </c>
      <c r="L95">
        <v>171</v>
      </c>
      <c r="N95" t="str">
        <v>B114</v>
      </c>
      <c r="O95" t="str">
        <v>AMEEN RAHMAN MTP</v>
      </c>
      <c r="P95" t="str">
        <v>DAHF</v>
      </c>
      <c r="Q95" t="str">
        <v>JUNIOR</v>
      </c>
      <c r="R95">
        <v>3</v>
      </c>
      <c r="S95">
        <v>3</v>
      </c>
      <c r="T95">
        <v>0</v>
      </c>
      <c r="U95">
        <v>3</v>
      </c>
      <c r="V95">
        <v>3</v>
      </c>
      <c r="W95">
        <v>30</v>
      </c>
      <c r="X95">
        <v>46</v>
      </c>
    </row>
    <row r="96" spans="2:24" x14ac:dyDescent="0.45">
      <c r="B96" t="str">
        <v>B115</v>
      </c>
      <c r="C96" t="str">
        <v>HASSAN SAHAL N A</v>
      </c>
      <c r="D96" t="str">
        <v>FANT</v>
      </c>
      <c r="E96" t="str">
        <v>JUNIOR</v>
      </c>
      <c r="F96">
        <v>3</v>
      </c>
      <c r="G96">
        <v>9</v>
      </c>
      <c r="H96">
        <v>0</v>
      </c>
      <c r="I96">
        <v>9</v>
      </c>
      <c r="J96">
        <v>9</v>
      </c>
      <c r="K96">
        <v>139</v>
      </c>
      <c r="L96">
        <v>139</v>
      </c>
      <c r="N96" t="str">
        <v>B115</v>
      </c>
      <c r="O96" t="str">
        <v>HASSAN SAHAL N A</v>
      </c>
      <c r="P96" t="str">
        <v>FANT</v>
      </c>
      <c r="Q96" t="str">
        <v>JUNIOR</v>
      </c>
      <c r="R96">
        <v>3</v>
      </c>
      <c r="S96">
        <v>0</v>
      </c>
      <c r="T96">
        <v>0</v>
      </c>
      <c r="U96">
        <v>0</v>
      </c>
      <c r="V96">
        <v>0</v>
      </c>
      <c r="W96">
        <v>76</v>
      </c>
      <c r="X96">
        <v>96</v>
      </c>
    </row>
    <row r="97" spans="2:24" x14ac:dyDescent="0.45">
      <c r="B97" t="str">
        <v>B116</v>
      </c>
      <c r="C97" t="str">
        <v>MOHAMMED SABIK BM</v>
      </c>
      <c r="D97" t="str">
        <v>JARF</v>
      </c>
      <c r="E97" t="str">
        <v>JUNIOR</v>
      </c>
      <c r="F97">
        <v>3</v>
      </c>
      <c r="G97">
        <v>1</v>
      </c>
      <c r="H97">
        <v>0</v>
      </c>
      <c r="I97">
        <v>1</v>
      </c>
      <c r="J97">
        <v>1</v>
      </c>
      <c r="K97">
        <v>231</v>
      </c>
      <c r="L97">
        <v>231</v>
      </c>
      <c r="N97" t="str">
        <v>B116</v>
      </c>
      <c r="O97" t="str">
        <v>MOHAMMED SABIK BM</v>
      </c>
      <c r="P97" t="str">
        <v>JARF</v>
      </c>
      <c r="Q97" t="str">
        <v>JUNIOR</v>
      </c>
      <c r="R97">
        <v>3</v>
      </c>
      <c r="S97">
        <v>0</v>
      </c>
      <c r="T97">
        <v>0</v>
      </c>
      <c r="U97">
        <v>0</v>
      </c>
      <c r="V97">
        <v>0</v>
      </c>
      <c r="W97">
        <v>76</v>
      </c>
      <c r="X97">
        <v>96</v>
      </c>
    </row>
    <row r="98" spans="2:24" x14ac:dyDescent="0.45">
      <c r="B98" t="str">
        <v>B117</v>
      </c>
      <c r="C98" t="str">
        <v>MUHAMMAD SABITH V K P</v>
      </c>
      <c r="D98" t="str">
        <v>BADF</v>
      </c>
      <c r="E98" t="str">
        <v>JUNIOR</v>
      </c>
      <c r="F98">
        <v>3</v>
      </c>
      <c r="G98">
        <v>13</v>
      </c>
      <c r="H98">
        <v>0</v>
      </c>
      <c r="I98">
        <v>13</v>
      </c>
      <c r="J98">
        <v>13</v>
      </c>
      <c r="K98">
        <v>114</v>
      </c>
      <c r="L98">
        <v>114</v>
      </c>
      <c r="N98" t="str">
        <v>B117</v>
      </c>
      <c r="O98" t="str">
        <v>MUHAMMAD SABITH V K P</v>
      </c>
      <c r="P98" t="str">
        <v>BADF</v>
      </c>
      <c r="Q98" t="str">
        <v>JUNIOR</v>
      </c>
      <c r="R98">
        <v>3</v>
      </c>
      <c r="S98">
        <v>0</v>
      </c>
      <c r="T98">
        <v>0</v>
      </c>
      <c r="U98">
        <v>0</v>
      </c>
      <c r="V98">
        <v>0</v>
      </c>
      <c r="W98">
        <v>76</v>
      </c>
      <c r="X98">
        <v>96</v>
      </c>
    </row>
    <row r="99" spans="2:24" x14ac:dyDescent="0.45">
      <c r="B99" t="str">
        <v>B118</v>
      </c>
      <c r="C99" t="str">
        <v>Muhammad Muaaz</v>
      </c>
      <c r="D99" t="str">
        <v>JARF</v>
      </c>
      <c r="E99" t="str">
        <v>JUNIOR</v>
      </c>
      <c r="F99">
        <v>3</v>
      </c>
      <c r="G99">
        <v>40</v>
      </c>
      <c r="H99">
        <v>0</v>
      </c>
      <c r="I99">
        <v>40</v>
      </c>
      <c r="J99">
        <v>40</v>
      </c>
      <c r="K99">
        <v>23</v>
      </c>
      <c r="L99">
        <v>23</v>
      </c>
      <c r="N99" t="str">
        <v>B118</v>
      </c>
      <c r="O99" t="str">
        <v>Muhammad Muaaz</v>
      </c>
      <c r="P99" t="str">
        <v>JARF</v>
      </c>
      <c r="Q99" t="str">
        <v>JUNIOR</v>
      </c>
      <c r="R99">
        <v>3</v>
      </c>
      <c r="S99">
        <v>0</v>
      </c>
      <c r="T99">
        <v>0</v>
      </c>
      <c r="U99">
        <v>0</v>
      </c>
      <c r="V99">
        <v>0</v>
      </c>
      <c r="W99">
        <v>76</v>
      </c>
      <c r="X99">
        <v>96</v>
      </c>
    </row>
    <row r="100" spans="2:24" x14ac:dyDescent="0.45">
      <c r="B100" t="str">
        <v>B119</v>
      </c>
      <c r="C100" t="str">
        <v>ABDUL SA-AD</v>
      </c>
      <c r="D100" t="str">
        <v>JARF</v>
      </c>
      <c r="E100" t="str">
        <v>JUNIOR</v>
      </c>
      <c r="F100">
        <v>3</v>
      </c>
      <c r="G100">
        <v>1</v>
      </c>
      <c r="H100">
        <v>0</v>
      </c>
      <c r="I100">
        <v>1</v>
      </c>
      <c r="J100">
        <v>1</v>
      </c>
      <c r="K100">
        <v>231</v>
      </c>
      <c r="L100">
        <v>231</v>
      </c>
      <c r="N100" t="str">
        <v>B119</v>
      </c>
      <c r="O100" t="str">
        <v>ABDUL SA-AD</v>
      </c>
      <c r="P100" t="str">
        <v>JARF</v>
      </c>
      <c r="Q100" t="str">
        <v>JUNIOR</v>
      </c>
      <c r="R100">
        <v>3</v>
      </c>
      <c r="S100">
        <v>0</v>
      </c>
      <c r="T100">
        <v>0</v>
      </c>
      <c r="U100">
        <v>0</v>
      </c>
      <c r="V100">
        <v>0</v>
      </c>
      <c r="W100">
        <v>76</v>
      </c>
      <c r="X100">
        <v>96</v>
      </c>
    </row>
    <row r="101" spans="2:24" x14ac:dyDescent="0.45">
      <c r="B101" t="str">
        <v>B120</v>
      </c>
      <c r="C101" t="str">
        <v>MOHAMMED RIYAN</v>
      </c>
      <c r="D101" t="str">
        <v>FANT</v>
      </c>
      <c r="E101" t="str">
        <v>JUNIOR</v>
      </c>
      <c r="F101">
        <v>3</v>
      </c>
      <c r="G101">
        <v>10</v>
      </c>
      <c r="H101">
        <v>0</v>
      </c>
      <c r="I101">
        <v>10</v>
      </c>
      <c r="J101">
        <v>10</v>
      </c>
      <c r="K101">
        <v>131</v>
      </c>
      <c r="L101">
        <v>131</v>
      </c>
      <c r="N101" t="str">
        <v>B120</v>
      </c>
      <c r="O101" t="str">
        <v>MOHAMMED RIYAN</v>
      </c>
      <c r="P101" t="str">
        <v>FANT</v>
      </c>
      <c r="Q101" t="str">
        <v>JUNIOR</v>
      </c>
      <c r="R101">
        <v>3</v>
      </c>
      <c r="S101">
        <v>0</v>
      </c>
      <c r="T101">
        <v>0</v>
      </c>
      <c r="U101">
        <v>0</v>
      </c>
      <c r="V101">
        <v>0</v>
      </c>
      <c r="W101">
        <v>76</v>
      </c>
      <c r="X101">
        <v>96</v>
      </c>
    </row>
    <row r="102" spans="2:24" x14ac:dyDescent="0.45">
      <c r="B102" t="str">
        <v>B121</v>
      </c>
      <c r="C102" t="str">
        <v>MOHIDDEEN SHAHSHAD</v>
      </c>
      <c r="D102" t="str">
        <v>BADF</v>
      </c>
      <c r="E102" t="str">
        <v>JUNIOR</v>
      </c>
      <c r="F102">
        <v>3</v>
      </c>
      <c r="G102">
        <v>15</v>
      </c>
      <c r="H102">
        <v>0</v>
      </c>
      <c r="I102">
        <v>15</v>
      </c>
      <c r="J102">
        <v>15</v>
      </c>
      <c r="K102">
        <v>100</v>
      </c>
      <c r="L102">
        <v>100</v>
      </c>
      <c r="N102" t="str">
        <v>B121</v>
      </c>
      <c r="O102" t="str">
        <v>MOHIDDEEN SHAHSHAD</v>
      </c>
      <c r="P102" t="str">
        <v>BADF</v>
      </c>
      <c r="Q102" t="str">
        <v>JUNIOR</v>
      </c>
      <c r="R102">
        <v>3</v>
      </c>
      <c r="S102">
        <v>0</v>
      </c>
      <c r="T102">
        <v>1</v>
      </c>
      <c r="U102">
        <v>1</v>
      </c>
      <c r="V102">
        <v>1</v>
      </c>
      <c r="W102">
        <v>54</v>
      </c>
      <c r="X102">
        <v>69</v>
      </c>
    </row>
    <row r="103" spans="2:24" x14ac:dyDescent="0.45">
      <c r="B103" t="str">
        <v>B122</v>
      </c>
      <c r="C103" t="str">
        <v>MUHAMMAD FAYIZ B</v>
      </c>
      <c r="D103" t="str">
        <v>DAHF</v>
      </c>
      <c r="E103" t="str">
        <v>JUNIOR</v>
      </c>
      <c r="F103">
        <v>3</v>
      </c>
      <c r="G103">
        <v>15</v>
      </c>
      <c r="H103">
        <v>0</v>
      </c>
      <c r="I103">
        <v>15</v>
      </c>
      <c r="J103">
        <v>15</v>
      </c>
      <c r="K103">
        <v>100</v>
      </c>
      <c r="L103">
        <v>100</v>
      </c>
      <c r="N103" t="str">
        <v>B122</v>
      </c>
      <c r="O103" t="str">
        <v>MUHAMMAD FAYIZ B</v>
      </c>
      <c r="P103" t="str">
        <v>DAHF</v>
      </c>
      <c r="Q103" t="str">
        <v>JUNIOR</v>
      </c>
      <c r="R103">
        <v>3</v>
      </c>
      <c r="S103">
        <v>0</v>
      </c>
      <c r="T103">
        <v>0</v>
      </c>
      <c r="U103">
        <v>0</v>
      </c>
      <c r="V103">
        <v>0</v>
      </c>
      <c r="W103">
        <v>76</v>
      </c>
      <c r="X103">
        <v>96</v>
      </c>
    </row>
    <row r="104" spans="2:24" x14ac:dyDescent="0.45">
      <c r="B104" t="str">
        <v>B123</v>
      </c>
      <c r="C104" t="str">
        <v>MUHAMMED YASEEN</v>
      </c>
      <c r="D104" t="str">
        <v>FANT</v>
      </c>
      <c r="E104" t="str">
        <v>JUNIOR</v>
      </c>
      <c r="F104">
        <v>3</v>
      </c>
      <c r="G104">
        <v>16</v>
      </c>
      <c r="H104">
        <v>0</v>
      </c>
      <c r="I104">
        <v>16</v>
      </c>
      <c r="J104">
        <v>16</v>
      </c>
      <c r="K104">
        <v>94</v>
      </c>
      <c r="L104">
        <v>94</v>
      </c>
      <c r="N104" t="str">
        <v>B123</v>
      </c>
      <c r="O104" t="str">
        <v>MUHAMMED YASEEN</v>
      </c>
      <c r="P104" t="str">
        <v>FANT</v>
      </c>
      <c r="Q104" t="str">
        <v>JUNIOR</v>
      </c>
      <c r="R104">
        <v>3</v>
      </c>
      <c r="S104">
        <v>0</v>
      </c>
      <c r="T104">
        <v>0</v>
      </c>
      <c r="U104">
        <v>0</v>
      </c>
      <c r="V104">
        <v>0</v>
      </c>
      <c r="W104">
        <v>76</v>
      </c>
      <c r="X104">
        <v>96</v>
      </c>
    </row>
    <row r="105" spans="2:24" x14ac:dyDescent="0.45">
      <c r="B105" t="str">
        <v>B124</v>
      </c>
      <c r="C105" t="str">
        <v>MOHAMMED RAED. UA</v>
      </c>
      <c r="D105" t="str">
        <v>DAHF</v>
      </c>
      <c r="E105" t="str">
        <v>JUNIOR</v>
      </c>
      <c r="F105">
        <v>3</v>
      </c>
      <c r="G105">
        <v>1</v>
      </c>
      <c r="H105">
        <v>0</v>
      </c>
      <c r="I105">
        <v>1</v>
      </c>
      <c r="J105">
        <v>1</v>
      </c>
      <c r="K105">
        <v>231</v>
      </c>
      <c r="L105">
        <v>231</v>
      </c>
      <c r="N105" t="str">
        <v>B124</v>
      </c>
      <c r="O105" t="str">
        <v>MOHAMMED RAED. UA</v>
      </c>
      <c r="P105" t="str">
        <v>DAHF</v>
      </c>
      <c r="Q105" t="str">
        <v>JUNIOR</v>
      </c>
      <c r="R105">
        <v>3</v>
      </c>
      <c r="S105">
        <v>0</v>
      </c>
      <c r="T105">
        <v>0</v>
      </c>
      <c r="U105">
        <v>0</v>
      </c>
      <c r="V105">
        <v>0</v>
      </c>
      <c r="W105">
        <v>76</v>
      </c>
      <c r="X105">
        <v>96</v>
      </c>
    </row>
    <row r="106" spans="2:24" x14ac:dyDescent="0.45">
      <c r="B106" t="str">
        <v>B125</v>
      </c>
      <c r="C106" t="str">
        <v>MUHAMMED SHANIFM P</v>
      </c>
      <c r="D106" t="str">
        <v>DAHF</v>
      </c>
      <c r="E106" t="str">
        <v>JUNIOR</v>
      </c>
      <c r="F106">
        <v>3</v>
      </c>
      <c r="G106">
        <v>0</v>
      </c>
      <c r="H106">
        <v>0</v>
      </c>
      <c r="I106">
        <v>0</v>
      </c>
      <c r="J106">
        <v>0</v>
      </c>
      <c r="K106">
        <v>255</v>
      </c>
      <c r="L106">
        <v>255</v>
      </c>
      <c r="N106" t="str">
        <v>B125</v>
      </c>
      <c r="O106" t="str">
        <v>MUHAMMED SHANIFM P</v>
      </c>
      <c r="P106" t="str">
        <v>DAHF</v>
      </c>
      <c r="Q106" t="str">
        <v>JUNIOR</v>
      </c>
      <c r="R106">
        <v>3</v>
      </c>
      <c r="S106">
        <v>0</v>
      </c>
      <c r="T106">
        <v>0</v>
      </c>
      <c r="U106">
        <v>0</v>
      </c>
      <c r="V106">
        <v>0</v>
      </c>
      <c r="W106">
        <v>76</v>
      </c>
      <c r="X106">
        <v>96</v>
      </c>
    </row>
    <row r="107" spans="2:24" x14ac:dyDescent="0.45">
      <c r="B107" t="str">
        <v>B126</v>
      </c>
      <c r="C107" t="str">
        <v>AHAMMED JABIR K H</v>
      </c>
      <c r="D107" t="str">
        <v>JARF</v>
      </c>
      <c r="E107" t="str">
        <v>JUNIOR</v>
      </c>
      <c r="F107">
        <v>3</v>
      </c>
      <c r="G107">
        <v>6</v>
      </c>
      <c r="H107">
        <v>0</v>
      </c>
      <c r="I107">
        <v>6</v>
      </c>
      <c r="J107">
        <v>6</v>
      </c>
      <c r="K107">
        <v>171</v>
      </c>
      <c r="L107">
        <v>171</v>
      </c>
      <c r="N107" t="str">
        <v>B126</v>
      </c>
      <c r="O107" t="str">
        <v>AHAMMED JABIR K H</v>
      </c>
      <c r="P107" t="str">
        <v>JARF</v>
      </c>
      <c r="Q107" t="str">
        <v>JUNIOR</v>
      </c>
      <c r="R107">
        <v>3</v>
      </c>
      <c r="S107">
        <v>0</v>
      </c>
      <c r="T107">
        <v>0</v>
      </c>
      <c r="U107">
        <v>0</v>
      </c>
      <c r="V107">
        <v>0</v>
      </c>
      <c r="W107">
        <v>76</v>
      </c>
      <c r="X107">
        <v>96</v>
      </c>
    </row>
    <row r="108" spans="2:24" x14ac:dyDescent="0.45">
      <c r="B108" t="str">
        <v>B127</v>
      </c>
      <c r="C108" t="str">
        <v>THANSEEHU RAHMAN</v>
      </c>
      <c r="D108" t="str">
        <v>DAHF</v>
      </c>
      <c r="E108" t="str">
        <v>JUNIOR</v>
      </c>
      <c r="F108">
        <v>3</v>
      </c>
      <c r="G108">
        <v>1</v>
      </c>
      <c r="H108">
        <v>0</v>
      </c>
      <c r="I108">
        <v>1</v>
      </c>
      <c r="J108">
        <v>1</v>
      </c>
      <c r="K108">
        <v>231</v>
      </c>
      <c r="L108">
        <v>231</v>
      </c>
      <c r="N108" t="str">
        <v>B127</v>
      </c>
      <c r="O108" t="str">
        <v>THANSEEHU RAHMAN</v>
      </c>
      <c r="P108" t="str">
        <v>DAHF</v>
      </c>
      <c r="Q108" t="str">
        <v>JUNIOR</v>
      </c>
      <c r="R108">
        <v>3</v>
      </c>
      <c r="S108">
        <v>0</v>
      </c>
      <c r="T108">
        <v>0</v>
      </c>
      <c r="U108">
        <v>0</v>
      </c>
      <c r="V108">
        <v>0</v>
      </c>
      <c r="W108">
        <v>76</v>
      </c>
      <c r="X108">
        <v>96</v>
      </c>
    </row>
    <row r="109" spans="2:24" x14ac:dyDescent="0.45">
      <c r="B109" t="str">
        <v>B128</v>
      </c>
      <c r="C109" t="str">
        <v>MOHAMMED AFNAN</v>
      </c>
      <c r="D109" t="str">
        <v>BADF</v>
      </c>
      <c r="E109" t="str">
        <v>JUNIOR</v>
      </c>
      <c r="F109">
        <v>3</v>
      </c>
      <c r="G109">
        <v>11</v>
      </c>
      <c r="H109">
        <v>0</v>
      </c>
      <c r="I109">
        <v>11</v>
      </c>
      <c r="J109">
        <v>11</v>
      </c>
      <c r="K109">
        <v>123</v>
      </c>
      <c r="L109">
        <v>123</v>
      </c>
      <c r="N109" t="str">
        <v>B128</v>
      </c>
      <c r="O109" t="str">
        <v>MOHAMMED AFNAN</v>
      </c>
      <c r="P109" t="str">
        <v>BADF</v>
      </c>
      <c r="Q109" t="str">
        <v>JUNIOR</v>
      </c>
      <c r="R109">
        <v>3</v>
      </c>
      <c r="S109">
        <v>0</v>
      </c>
      <c r="T109">
        <v>0</v>
      </c>
      <c r="U109">
        <v>0</v>
      </c>
      <c r="V109">
        <v>0</v>
      </c>
      <c r="W109">
        <v>76</v>
      </c>
      <c r="X109">
        <v>96</v>
      </c>
    </row>
    <row r="110" spans="2:24" x14ac:dyDescent="0.45">
      <c r="B110" t="str">
        <v>B129</v>
      </c>
      <c r="C110" t="str">
        <v>MOHAMMED SABITH KU</v>
      </c>
      <c r="D110" t="str">
        <v>FANT</v>
      </c>
      <c r="E110" t="str">
        <v>JUNIOR</v>
      </c>
      <c r="F110">
        <v>3</v>
      </c>
      <c r="G110">
        <v>47</v>
      </c>
      <c r="H110">
        <v>0</v>
      </c>
      <c r="I110">
        <v>47</v>
      </c>
      <c r="J110">
        <v>47</v>
      </c>
      <c r="K110">
        <v>16</v>
      </c>
      <c r="L110">
        <v>16</v>
      </c>
      <c r="N110" t="str">
        <v>B129</v>
      </c>
      <c r="O110" t="str">
        <v>MOHAMMED SABITH KU</v>
      </c>
      <c r="P110" t="str">
        <v>FANT</v>
      </c>
      <c r="Q110" t="str">
        <v>JUNIOR</v>
      </c>
      <c r="R110">
        <v>3</v>
      </c>
      <c r="S110">
        <v>0</v>
      </c>
      <c r="T110">
        <v>0</v>
      </c>
      <c r="U110">
        <v>0</v>
      </c>
      <c r="V110">
        <v>0</v>
      </c>
      <c r="W110">
        <v>76</v>
      </c>
      <c r="X110">
        <v>96</v>
      </c>
    </row>
    <row r="111" spans="2:24" x14ac:dyDescent="0.45">
      <c r="B111" t="str">
        <v>B130</v>
      </c>
      <c r="C111" t="str">
        <v>HAFIL ADIL AMANULLAH K K</v>
      </c>
      <c r="D111" t="str">
        <v>FANT</v>
      </c>
      <c r="E111" t="str">
        <v>JUNIOR</v>
      </c>
      <c r="F111">
        <v>3</v>
      </c>
      <c r="G111">
        <v>20</v>
      </c>
      <c r="H111">
        <v>0</v>
      </c>
      <c r="I111">
        <v>20</v>
      </c>
      <c r="J111">
        <v>20</v>
      </c>
      <c r="K111">
        <v>74</v>
      </c>
      <c r="L111">
        <v>74</v>
      </c>
      <c r="N111" t="str">
        <v>B130</v>
      </c>
      <c r="O111" t="str">
        <v>HAFIL ADIL AMANULLAH K K</v>
      </c>
      <c r="P111" t="str">
        <v>FANT</v>
      </c>
      <c r="Q111" t="str">
        <v>JUNIOR</v>
      </c>
      <c r="R111">
        <v>3</v>
      </c>
      <c r="S111">
        <v>0</v>
      </c>
      <c r="T111">
        <v>0</v>
      </c>
      <c r="U111">
        <v>0</v>
      </c>
      <c r="V111">
        <v>0</v>
      </c>
      <c r="W111">
        <v>76</v>
      </c>
      <c r="X111">
        <v>96</v>
      </c>
    </row>
    <row r="112" spans="2:24" x14ac:dyDescent="0.45">
      <c r="B112" t="str">
        <v>B131</v>
      </c>
      <c r="C112" t="str">
        <v>MUHAMMED BASSIM. E</v>
      </c>
      <c r="D112" t="str">
        <v>JARF</v>
      </c>
      <c r="E112" t="str">
        <v>JUNIOR</v>
      </c>
      <c r="F112">
        <v>3</v>
      </c>
      <c r="G112">
        <v>1</v>
      </c>
      <c r="H112">
        <v>0</v>
      </c>
      <c r="I112">
        <v>1</v>
      </c>
      <c r="J112">
        <v>1</v>
      </c>
      <c r="K112">
        <v>231</v>
      </c>
      <c r="L112">
        <v>231</v>
      </c>
      <c r="N112" t="str">
        <v>B131</v>
      </c>
      <c r="O112" t="str">
        <v>MUHAMMED BASSIM. E</v>
      </c>
      <c r="P112" t="str">
        <v>JARF</v>
      </c>
      <c r="Q112" t="str">
        <v>JUNIOR</v>
      </c>
      <c r="R112">
        <v>3</v>
      </c>
      <c r="S112">
        <v>1</v>
      </c>
      <c r="T112">
        <v>0</v>
      </c>
      <c r="U112">
        <v>1</v>
      </c>
      <c r="V112">
        <v>1</v>
      </c>
      <c r="W112">
        <v>54</v>
      </c>
      <c r="X112">
        <v>69</v>
      </c>
    </row>
    <row r="113" spans="2:24" x14ac:dyDescent="0.45">
      <c r="B113" t="str">
        <v>B132</v>
      </c>
      <c r="C113" t="str">
        <v>MUHAMMED SAEED THUFAIL</v>
      </c>
      <c r="D113" t="str">
        <v>DAHF</v>
      </c>
      <c r="E113" t="str">
        <v>JUNIOR</v>
      </c>
      <c r="F113">
        <v>3</v>
      </c>
      <c r="G113">
        <v>14</v>
      </c>
      <c r="H113">
        <v>0</v>
      </c>
      <c r="I113">
        <v>14</v>
      </c>
      <c r="J113">
        <v>14</v>
      </c>
      <c r="K113">
        <v>104</v>
      </c>
      <c r="L113">
        <v>104</v>
      </c>
      <c r="N113" t="str">
        <v>B132</v>
      </c>
      <c r="O113" t="str">
        <v>MUHAMMED SAEED THUFAIL</v>
      </c>
      <c r="P113" t="str">
        <v>DAHF</v>
      </c>
      <c r="Q113" t="str">
        <v>JUNIOR</v>
      </c>
      <c r="R113">
        <v>3</v>
      </c>
      <c r="S113">
        <v>0</v>
      </c>
      <c r="T113">
        <v>0</v>
      </c>
      <c r="U113">
        <v>0</v>
      </c>
      <c r="V113">
        <v>0</v>
      </c>
      <c r="W113">
        <v>76</v>
      </c>
      <c r="X113">
        <v>96</v>
      </c>
    </row>
    <row r="114" spans="2:24" x14ac:dyDescent="0.45">
      <c r="B114" t="str">
        <v>B133</v>
      </c>
      <c r="C114" t="str">
        <v>MEERAN MOHIUDHEEN RAFIH</v>
      </c>
      <c r="D114" t="str">
        <v>JARF</v>
      </c>
      <c r="E114" t="str">
        <v>JUNIOR</v>
      </c>
      <c r="F114">
        <v>3</v>
      </c>
      <c r="G114">
        <v>6</v>
      </c>
      <c r="H114">
        <v>0</v>
      </c>
      <c r="I114">
        <v>6</v>
      </c>
      <c r="J114">
        <v>6</v>
      </c>
      <c r="K114">
        <v>171</v>
      </c>
      <c r="L114">
        <v>171</v>
      </c>
      <c r="N114" t="str">
        <v>B133</v>
      </c>
      <c r="O114" t="str">
        <v>MEERAN MOHIUDHEEN RAFIH</v>
      </c>
      <c r="P114" t="str">
        <v>JARF</v>
      </c>
      <c r="Q114" t="str">
        <v>JUNIOR</v>
      </c>
      <c r="R114">
        <v>3</v>
      </c>
      <c r="S114">
        <v>0</v>
      </c>
      <c r="T114">
        <v>0</v>
      </c>
      <c r="U114">
        <v>0</v>
      </c>
      <c r="V114">
        <v>0</v>
      </c>
      <c r="W114">
        <v>76</v>
      </c>
      <c r="X114">
        <v>96</v>
      </c>
    </row>
    <row r="115" spans="2:24" x14ac:dyDescent="0.45">
      <c r="B115" t="str">
        <v>B134</v>
      </c>
      <c r="C115" t="str">
        <v>ABDUL RAHIMAN AZAAN</v>
      </c>
      <c r="D115" t="str">
        <v>JARF</v>
      </c>
      <c r="E115" t="str">
        <v>JUNIOR</v>
      </c>
      <c r="F115">
        <v>3</v>
      </c>
      <c r="G115">
        <v>35</v>
      </c>
      <c r="H115">
        <v>0</v>
      </c>
      <c r="I115">
        <v>35</v>
      </c>
      <c r="J115">
        <v>35</v>
      </c>
      <c r="K115">
        <v>32</v>
      </c>
      <c r="L115">
        <v>32</v>
      </c>
      <c r="N115" t="str">
        <v>B134</v>
      </c>
      <c r="O115" t="str">
        <v>ABDUL RAHIMAN AZAAN</v>
      </c>
      <c r="P115" t="str">
        <v>JARF</v>
      </c>
      <c r="Q115" t="str">
        <v>JUNIOR</v>
      </c>
      <c r="R115">
        <v>3</v>
      </c>
      <c r="S115">
        <v>0</v>
      </c>
      <c r="T115">
        <v>0</v>
      </c>
      <c r="U115">
        <v>0</v>
      </c>
      <c r="V115">
        <v>0</v>
      </c>
      <c r="W115">
        <v>76</v>
      </c>
      <c r="X115">
        <v>96</v>
      </c>
    </row>
    <row r="116" spans="2:24" x14ac:dyDescent="0.45">
      <c r="B116" t="str">
        <v>B135</v>
      </c>
      <c r="C116" t="str">
        <v>MOHAMMED RAFIH M R</v>
      </c>
      <c r="D116" t="str">
        <v>FANT</v>
      </c>
      <c r="E116" t="str">
        <v>JUNIOR</v>
      </c>
      <c r="F116">
        <v>3</v>
      </c>
      <c r="G116">
        <v>28</v>
      </c>
      <c r="H116">
        <v>0</v>
      </c>
      <c r="I116">
        <v>28</v>
      </c>
      <c r="J116">
        <v>28</v>
      </c>
      <c r="K116">
        <v>51</v>
      </c>
      <c r="L116">
        <v>51</v>
      </c>
      <c r="N116" t="str">
        <v>B135</v>
      </c>
      <c r="O116" t="str">
        <v>MOHAMMED RAFIH M R</v>
      </c>
      <c r="P116" t="str">
        <v>FANT</v>
      </c>
      <c r="Q116" t="str">
        <v>JUNIOR</v>
      </c>
      <c r="R116">
        <v>3</v>
      </c>
      <c r="S116">
        <v>0</v>
      </c>
      <c r="T116">
        <v>0</v>
      </c>
      <c r="U116">
        <v>0</v>
      </c>
      <c r="V116">
        <v>0</v>
      </c>
      <c r="W116">
        <v>76</v>
      </c>
      <c r="X116">
        <v>96</v>
      </c>
    </row>
    <row r="117" spans="2:24" x14ac:dyDescent="0.45">
      <c r="B117" t="str">
        <v>B136</v>
      </c>
      <c r="C117" t="str">
        <v>MUHAMMAD MIJVAD K</v>
      </c>
      <c r="D117" t="str">
        <v>BADF</v>
      </c>
      <c r="E117" t="str">
        <v>JUNIOR</v>
      </c>
      <c r="F117">
        <v>3</v>
      </c>
      <c r="G117">
        <v>12</v>
      </c>
      <c r="H117">
        <v>0</v>
      </c>
      <c r="I117">
        <v>12</v>
      </c>
      <c r="J117">
        <v>12</v>
      </c>
      <c r="K117">
        <v>119</v>
      </c>
      <c r="L117">
        <v>119</v>
      </c>
      <c r="N117" t="str">
        <v>B136</v>
      </c>
      <c r="O117" t="str">
        <v>MUHAMMAD MIJVAD K</v>
      </c>
      <c r="P117" t="str">
        <v>BADF</v>
      </c>
      <c r="Q117" t="str">
        <v>JUNIOR</v>
      </c>
      <c r="R117">
        <v>3</v>
      </c>
      <c r="S117">
        <v>0</v>
      </c>
      <c r="T117">
        <v>0</v>
      </c>
      <c r="U117">
        <v>0</v>
      </c>
      <c r="V117">
        <v>0</v>
      </c>
      <c r="W117">
        <v>76</v>
      </c>
      <c r="X117">
        <v>96</v>
      </c>
    </row>
    <row r="118" spans="2:24" x14ac:dyDescent="0.45">
      <c r="B118" t="str">
        <v>B137</v>
      </c>
      <c r="C118" t="str">
        <v>MOHAMMAD IJAN</v>
      </c>
      <c r="D118" t="str">
        <v>BADF</v>
      </c>
      <c r="E118" t="str">
        <v>JUNIOR</v>
      </c>
      <c r="F118">
        <v>3</v>
      </c>
      <c r="G118">
        <v>6</v>
      </c>
      <c r="H118">
        <v>0</v>
      </c>
      <c r="I118">
        <v>6</v>
      </c>
      <c r="J118">
        <v>6</v>
      </c>
      <c r="K118">
        <v>171</v>
      </c>
      <c r="L118">
        <v>171</v>
      </c>
      <c r="N118" t="str">
        <v>B137</v>
      </c>
      <c r="O118" t="str">
        <v>MOHAMMAD IJAN</v>
      </c>
      <c r="P118" t="str">
        <v>BADF</v>
      </c>
      <c r="Q118" t="str">
        <v>JUNIOR</v>
      </c>
      <c r="R118">
        <v>3</v>
      </c>
      <c r="S118">
        <v>0</v>
      </c>
      <c r="T118">
        <v>0</v>
      </c>
      <c r="U118">
        <v>0</v>
      </c>
      <c r="V118">
        <v>0</v>
      </c>
      <c r="W118">
        <v>76</v>
      </c>
      <c r="X118">
        <v>96</v>
      </c>
    </row>
    <row r="119" spans="2:24" x14ac:dyDescent="0.45">
      <c r="B119" t="str">
        <v>B138</v>
      </c>
      <c r="C119" t="str">
        <v>HABEEB RAHMAN CA</v>
      </c>
      <c r="D119" t="str">
        <v>BADF</v>
      </c>
      <c r="E119" t="str">
        <v>JUNIOR</v>
      </c>
      <c r="F119">
        <v>3</v>
      </c>
      <c r="G119">
        <v>2</v>
      </c>
      <c r="H119">
        <v>0</v>
      </c>
      <c r="I119">
        <v>2</v>
      </c>
      <c r="J119">
        <v>2</v>
      </c>
      <c r="K119">
        <v>224</v>
      </c>
      <c r="L119">
        <v>224</v>
      </c>
      <c r="N119" t="str">
        <v>B138</v>
      </c>
      <c r="O119" t="str">
        <v>HABEEB RAHMAN CA</v>
      </c>
      <c r="P119" t="str">
        <v>BADF</v>
      </c>
      <c r="Q119" t="str">
        <v>JUNIOR</v>
      </c>
      <c r="R119">
        <v>3</v>
      </c>
      <c r="S119">
        <v>5</v>
      </c>
      <c r="T119">
        <v>0</v>
      </c>
      <c r="U119">
        <v>5</v>
      </c>
      <c r="V119">
        <v>5</v>
      </c>
      <c r="W119">
        <v>13</v>
      </c>
      <c r="X119">
        <v>24</v>
      </c>
    </row>
    <row r="120" spans="2:24" x14ac:dyDescent="0.45">
      <c r="B120" t="str">
        <v>B139</v>
      </c>
      <c r="C120" t="str">
        <v>Muhammad</v>
      </c>
      <c r="D120" t="str">
        <v>DAHF</v>
      </c>
      <c r="E120" t="str">
        <v>JUNIOR</v>
      </c>
      <c r="F120">
        <v>3</v>
      </c>
      <c r="G120">
        <v>8</v>
      </c>
      <c r="H120">
        <v>0</v>
      </c>
      <c r="I120">
        <v>8</v>
      </c>
      <c r="J120">
        <v>8</v>
      </c>
      <c r="K120">
        <v>147</v>
      </c>
      <c r="L120">
        <v>147</v>
      </c>
      <c r="N120" t="str">
        <v>B139</v>
      </c>
      <c r="O120" t="str">
        <v>Muhammad</v>
      </c>
      <c r="P120" t="str">
        <v>DAHF</v>
      </c>
      <c r="Q120" t="str">
        <v>JUNIOR</v>
      </c>
      <c r="R120">
        <v>3</v>
      </c>
      <c r="S120">
        <v>0</v>
      </c>
      <c r="T120">
        <v>0</v>
      </c>
      <c r="U120">
        <v>0</v>
      </c>
      <c r="V120">
        <v>0</v>
      </c>
      <c r="W120">
        <v>76</v>
      </c>
      <c r="X120">
        <v>96</v>
      </c>
    </row>
    <row r="121" spans="2:24" x14ac:dyDescent="0.45">
      <c r="B121" t="str">
        <v>B140</v>
      </c>
      <c r="C121" t="str">
        <v>MOHAMMED SHAHID</v>
      </c>
      <c r="D121" t="str">
        <v>BADF</v>
      </c>
      <c r="E121" t="str">
        <v>JUNIOR</v>
      </c>
      <c r="F121">
        <v>4</v>
      </c>
      <c r="G121">
        <v>7</v>
      </c>
      <c r="H121">
        <v>0</v>
      </c>
      <c r="I121">
        <v>7</v>
      </c>
      <c r="J121">
        <v>7</v>
      </c>
      <c r="K121">
        <v>167</v>
      </c>
      <c r="L121">
        <v>167</v>
      </c>
      <c r="N121" t="str">
        <v>B140</v>
      </c>
      <c r="O121" t="str">
        <v>MOHAMMED SHAHID</v>
      </c>
      <c r="P121" t="str">
        <v>BADF</v>
      </c>
      <c r="Q121" t="str">
        <v>JUNIOR</v>
      </c>
      <c r="R121">
        <v>4</v>
      </c>
      <c r="S121">
        <v>0</v>
      </c>
      <c r="T121">
        <v>0</v>
      </c>
      <c r="U121">
        <v>0</v>
      </c>
      <c r="V121">
        <v>0</v>
      </c>
      <c r="W121">
        <v>76</v>
      </c>
      <c r="X121">
        <v>96</v>
      </c>
    </row>
    <row r="122" spans="2:24" x14ac:dyDescent="0.45">
      <c r="B122" t="str">
        <v>B141</v>
      </c>
      <c r="C122" t="str">
        <v>RAFNAS P</v>
      </c>
      <c r="D122" t="str">
        <v>FANT</v>
      </c>
      <c r="E122" t="str">
        <v>JUNIOR</v>
      </c>
      <c r="F122">
        <v>4</v>
      </c>
      <c r="G122">
        <v>1</v>
      </c>
      <c r="H122">
        <v>0</v>
      </c>
      <c r="I122">
        <v>1</v>
      </c>
      <c r="J122">
        <v>1</v>
      </c>
      <c r="K122">
        <v>231</v>
      </c>
      <c r="L122">
        <v>231</v>
      </c>
      <c r="N122" t="str">
        <v>B141</v>
      </c>
      <c r="O122" t="str">
        <v>RAFNAS P</v>
      </c>
      <c r="P122" t="str">
        <v>FANT</v>
      </c>
      <c r="Q122" t="str">
        <v>JUNIOR</v>
      </c>
      <c r="R122">
        <v>4</v>
      </c>
      <c r="S122">
        <v>0</v>
      </c>
      <c r="T122">
        <v>3</v>
      </c>
      <c r="U122">
        <v>3</v>
      </c>
      <c r="V122">
        <v>4</v>
      </c>
      <c r="W122">
        <v>30</v>
      </c>
      <c r="X122">
        <v>40</v>
      </c>
    </row>
    <row r="123" spans="2:24" x14ac:dyDescent="0.45">
      <c r="B123" t="str">
        <v>B142</v>
      </c>
      <c r="C123" t="str">
        <v>MUHAMMED HAMDAN A.P</v>
      </c>
      <c r="D123" t="str">
        <v>BADF</v>
      </c>
      <c r="E123" t="str">
        <v>JUNIOR</v>
      </c>
      <c r="F123">
        <v>4</v>
      </c>
      <c r="G123">
        <v>33</v>
      </c>
      <c r="H123">
        <v>0</v>
      </c>
      <c r="I123">
        <v>33</v>
      </c>
      <c r="J123">
        <v>33</v>
      </c>
      <c r="K123">
        <v>37</v>
      </c>
      <c r="L123">
        <v>37</v>
      </c>
      <c r="N123" t="str">
        <v>B142</v>
      </c>
      <c r="O123" t="str">
        <v>MUHAMMED HAMDAN A.P</v>
      </c>
      <c r="P123" t="str">
        <v>BADF</v>
      </c>
      <c r="Q123" t="str">
        <v>JUNIOR</v>
      </c>
      <c r="R123">
        <v>4</v>
      </c>
      <c r="S123">
        <v>0</v>
      </c>
      <c r="T123">
        <v>0</v>
      </c>
      <c r="U123">
        <v>0</v>
      </c>
      <c r="V123">
        <v>0</v>
      </c>
      <c r="W123">
        <v>76</v>
      </c>
      <c r="X123">
        <v>96</v>
      </c>
    </row>
    <row r="124" spans="2:24" x14ac:dyDescent="0.45">
      <c r="B124" t="str">
        <v>B143</v>
      </c>
      <c r="C124" t="str">
        <v>MOHAMMED SHADIL AP</v>
      </c>
      <c r="D124" t="str">
        <v>FANT</v>
      </c>
      <c r="E124" t="str">
        <v>JUNIOR</v>
      </c>
      <c r="F124">
        <v>4</v>
      </c>
      <c r="G124">
        <v>29</v>
      </c>
      <c r="H124">
        <v>0</v>
      </c>
      <c r="I124">
        <v>29</v>
      </c>
      <c r="J124">
        <v>29</v>
      </c>
      <c r="K124">
        <v>50</v>
      </c>
      <c r="L124">
        <v>50</v>
      </c>
      <c r="N124" t="str">
        <v>B143</v>
      </c>
      <c r="O124" t="str">
        <v>MOHAMMED SHADIL AP</v>
      </c>
      <c r="P124" t="str">
        <v>FANT</v>
      </c>
      <c r="Q124" t="str">
        <v>JUNIOR</v>
      </c>
      <c r="R124">
        <v>4</v>
      </c>
      <c r="S124">
        <v>0</v>
      </c>
      <c r="T124">
        <v>0</v>
      </c>
      <c r="U124">
        <v>0</v>
      </c>
      <c r="V124">
        <v>0</v>
      </c>
      <c r="W124">
        <v>76</v>
      </c>
      <c r="X124">
        <v>96</v>
      </c>
    </row>
    <row r="125" spans="2:24" x14ac:dyDescent="0.45">
      <c r="B125" t="str">
        <v>B144</v>
      </c>
      <c r="C125" t="str">
        <v>MUHAMMED NAFIH CI</v>
      </c>
      <c r="D125" t="str">
        <v>FANT</v>
      </c>
      <c r="E125" t="str">
        <v>JUNIOR</v>
      </c>
      <c r="F125">
        <v>4</v>
      </c>
      <c r="G125">
        <v>28</v>
      </c>
      <c r="H125">
        <v>0</v>
      </c>
      <c r="I125">
        <v>28</v>
      </c>
      <c r="J125">
        <v>28</v>
      </c>
      <c r="K125">
        <v>51</v>
      </c>
      <c r="L125">
        <v>51</v>
      </c>
      <c r="N125" t="str">
        <v>B144</v>
      </c>
      <c r="O125" t="str">
        <v>MUHAMMED NAFIH CI</v>
      </c>
      <c r="P125" t="str">
        <v>FANT</v>
      </c>
      <c r="Q125" t="str">
        <v>JUNIOR</v>
      </c>
      <c r="R125">
        <v>4</v>
      </c>
      <c r="S125">
        <v>0</v>
      </c>
      <c r="T125">
        <v>0</v>
      </c>
      <c r="U125">
        <v>0</v>
      </c>
      <c r="V125">
        <v>0</v>
      </c>
      <c r="W125">
        <v>76</v>
      </c>
      <c r="X125">
        <v>96</v>
      </c>
    </row>
    <row r="126" spans="2:24" x14ac:dyDescent="0.45">
      <c r="B126" t="str">
        <v>B145</v>
      </c>
      <c r="C126" t="str">
        <v>YASEEN NOORULLA PH</v>
      </c>
      <c r="D126" t="str">
        <v>FANT</v>
      </c>
      <c r="E126" t="str">
        <v>JUNIOR</v>
      </c>
      <c r="F126">
        <v>4</v>
      </c>
      <c r="G126">
        <v>17</v>
      </c>
      <c r="H126">
        <v>0</v>
      </c>
      <c r="I126">
        <v>17</v>
      </c>
      <c r="J126">
        <v>17</v>
      </c>
      <c r="K126">
        <v>87</v>
      </c>
      <c r="L126">
        <v>87</v>
      </c>
      <c r="N126" t="str">
        <v>B145</v>
      </c>
      <c r="O126" t="str">
        <v>YASEEN NOORULLA PH</v>
      </c>
      <c r="P126" t="str">
        <v>FANT</v>
      </c>
      <c r="Q126" t="str">
        <v>JUNIOR</v>
      </c>
      <c r="R126">
        <v>4</v>
      </c>
      <c r="S126">
        <v>0</v>
      </c>
      <c r="T126">
        <v>0</v>
      </c>
      <c r="U126">
        <v>0</v>
      </c>
      <c r="V126">
        <v>0</v>
      </c>
      <c r="W126">
        <v>76</v>
      </c>
      <c r="X126">
        <v>96</v>
      </c>
    </row>
    <row r="127" spans="2:24" x14ac:dyDescent="0.45">
      <c r="B127" t="str">
        <v>B146</v>
      </c>
      <c r="C127" t="str">
        <v>WASEEM NIHAD A M</v>
      </c>
      <c r="D127" t="str">
        <v>BADF</v>
      </c>
      <c r="E127" t="str">
        <v>JUNIOR</v>
      </c>
      <c r="F127">
        <v>4</v>
      </c>
      <c r="G127">
        <v>34</v>
      </c>
      <c r="H127">
        <v>0</v>
      </c>
      <c r="I127">
        <v>34</v>
      </c>
      <c r="J127">
        <v>34</v>
      </c>
      <c r="K127">
        <v>34</v>
      </c>
      <c r="L127">
        <v>34</v>
      </c>
      <c r="N127" t="str">
        <v>B146</v>
      </c>
      <c r="O127" t="str">
        <v>WASEEM NIHAD A M</v>
      </c>
      <c r="P127" t="str">
        <v>BADF</v>
      </c>
      <c r="Q127" t="str">
        <v>JUNIOR</v>
      </c>
      <c r="R127">
        <v>4</v>
      </c>
      <c r="S127">
        <v>0</v>
      </c>
      <c r="T127">
        <v>0</v>
      </c>
      <c r="U127">
        <v>0</v>
      </c>
      <c r="V127">
        <v>0</v>
      </c>
      <c r="W127">
        <v>76</v>
      </c>
      <c r="X127">
        <v>96</v>
      </c>
    </row>
    <row r="128" spans="2:24" x14ac:dyDescent="0.45">
      <c r="B128" t="str">
        <v>B147</v>
      </c>
      <c r="C128" t="str">
        <v>MOHAMMED SHAMEEM B K</v>
      </c>
      <c r="D128" t="str">
        <v>JARF</v>
      </c>
      <c r="E128" t="str">
        <v>JUNIOR</v>
      </c>
      <c r="F128">
        <v>4</v>
      </c>
      <c r="G128">
        <v>8</v>
      </c>
      <c r="H128">
        <v>0</v>
      </c>
      <c r="I128">
        <v>8</v>
      </c>
      <c r="J128">
        <v>8</v>
      </c>
      <c r="K128">
        <v>147</v>
      </c>
      <c r="L128">
        <v>147</v>
      </c>
      <c r="N128" t="str">
        <v>B147</v>
      </c>
      <c r="O128" t="str">
        <v>MOHAMMED SHAMEEM B K</v>
      </c>
      <c r="P128" t="str">
        <v>JARF</v>
      </c>
      <c r="Q128" t="str">
        <v>JUNIOR</v>
      </c>
      <c r="R128">
        <v>4</v>
      </c>
      <c r="S128">
        <v>0</v>
      </c>
      <c r="T128">
        <v>0</v>
      </c>
      <c r="U128">
        <v>0</v>
      </c>
      <c r="V128">
        <v>0</v>
      </c>
      <c r="W128">
        <v>76</v>
      </c>
      <c r="X128">
        <v>96</v>
      </c>
    </row>
    <row r="129" spans="2:24" x14ac:dyDescent="0.45">
      <c r="B129" t="str">
        <v>B148</v>
      </c>
      <c r="C129" t="str">
        <v>MOHAMMED BAQIR TS</v>
      </c>
      <c r="D129" t="str">
        <v>JARF</v>
      </c>
      <c r="E129" t="str">
        <v>JUNIOR</v>
      </c>
      <c r="F129">
        <v>4</v>
      </c>
      <c r="G129">
        <v>3</v>
      </c>
      <c r="H129">
        <v>0</v>
      </c>
      <c r="I129">
        <v>3</v>
      </c>
      <c r="J129">
        <v>3</v>
      </c>
      <c r="K129">
        <v>209</v>
      </c>
      <c r="L129">
        <v>209</v>
      </c>
      <c r="N129" t="str">
        <v>B148</v>
      </c>
      <c r="O129" t="str">
        <v>MOHAMMED BAQIR TS</v>
      </c>
      <c r="P129" t="str">
        <v>JARF</v>
      </c>
      <c r="Q129" t="str">
        <v>JUNIOR</v>
      </c>
      <c r="R129">
        <v>4</v>
      </c>
      <c r="S129">
        <v>5</v>
      </c>
      <c r="T129">
        <v>5</v>
      </c>
      <c r="U129">
        <v>10</v>
      </c>
      <c r="V129">
        <v>13</v>
      </c>
      <c r="W129">
        <v>1</v>
      </c>
      <c r="X129">
        <v>3</v>
      </c>
    </row>
    <row r="130" spans="2:24" x14ac:dyDescent="0.45">
      <c r="B130" t="str">
        <v>B149</v>
      </c>
      <c r="C130" t="str">
        <v>MUHAMMED FARHAN PH</v>
      </c>
      <c r="D130" t="str">
        <v>DAHF</v>
      </c>
      <c r="E130" t="str">
        <v>JUNIOR</v>
      </c>
      <c r="F130">
        <v>4</v>
      </c>
      <c r="G130">
        <v>22.5</v>
      </c>
      <c r="H130">
        <v>0</v>
      </c>
      <c r="I130">
        <v>22.5</v>
      </c>
      <c r="J130">
        <v>22.5</v>
      </c>
      <c r="K130">
        <v>71</v>
      </c>
      <c r="L130">
        <v>71</v>
      </c>
      <c r="N130" t="str">
        <v>B149</v>
      </c>
      <c r="O130" t="str">
        <v>MUHAMMED FARHAN PH</v>
      </c>
      <c r="P130" t="str">
        <v>DAHF</v>
      </c>
      <c r="Q130" t="str">
        <v>JUNIOR</v>
      </c>
      <c r="R130">
        <v>4</v>
      </c>
      <c r="S130">
        <v>0</v>
      </c>
      <c r="T130">
        <v>0</v>
      </c>
      <c r="U130">
        <v>0</v>
      </c>
      <c r="V130">
        <v>0</v>
      </c>
      <c r="W130">
        <v>76</v>
      </c>
      <c r="X130">
        <v>96</v>
      </c>
    </row>
    <row r="131" spans="2:24" x14ac:dyDescent="0.45">
      <c r="B131" t="str">
        <v>B150</v>
      </c>
      <c r="C131" t="str">
        <v>ABDULLA FAHAD T.U</v>
      </c>
      <c r="D131" t="str">
        <v>FANT</v>
      </c>
      <c r="E131" t="str">
        <v>JUNIOR</v>
      </c>
      <c r="F131">
        <v>4</v>
      </c>
      <c r="G131">
        <v>3</v>
      </c>
      <c r="H131">
        <v>0</v>
      </c>
      <c r="I131">
        <v>3</v>
      </c>
      <c r="J131">
        <v>3</v>
      </c>
      <c r="K131">
        <v>209</v>
      </c>
      <c r="L131">
        <v>209</v>
      </c>
      <c r="N131" t="str">
        <v>B150</v>
      </c>
      <c r="O131" t="str">
        <v>ABDULLA FAHAD T.U</v>
      </c>
      <c r="P131" t="str">
        <v>FANT</v>
      </c>
      <c r="Q131" t="str">
        <v>JUNIOR</v>
      </c>
      <c r="R131">
        <v>4</v>
      </c>
      <c r="S131">
        <v>0</v>
      </c>
      <c r="T131">
        <v>0</v>
      </c>
      <c r="U131">
        <v>0</v>
      </c>
      <c r="V131">
        <v>0</v>
      </c>
      <c r="W131">
        <v>76</v>
      </c>
      <c r="X131">
        <v>96</v>
      </c>
    </row>
    <row r="132" spans="2:24" x14ac:dyDescent="0.45">
      <c r="B132" t="str">
        <v>B151</v>
      </c>
      <c r="C132" t="str">
        <v>ABDUL GAFOOR</v>
      </c>
      <c r="D132" t="str">
        <v>BADF</v>
      </c>
      <c r="E132" t="str">
        <v>JUNIOR</v>
      </c>
      <c r="F132">
        <v>4</v>
      </c>
      <c r="G132">
        <v>3</v>
      </c>
      <c r="H132">
        <v>0</v>
      </c>
      <c r="I132">
        <v>3</v>
      </c>
      <c r="J132">
        <v>3</v>
      </c>
      <c r="K132">
        <v>209</v>
      </c>
      <c r="L132">
        <v>209</v>
      </c>
      <c r="N132" t="str">
        <v>B151</v>
      </c>
      <c r="O132" t="str">
        <v>ABDUL GAFOOR</v>
      </c>
      <c r="P132" t="str">
        <v>BADF</v>
      </c>
      <c r="Q132" t="str">
        <v>JUNIOR</v>
      </c>
      <c r="R132">
        <v>4</v>
      </c>
      <c r="S132">
        <v>0</v>
      </c>
      <c r="T132">
        <v>0</v>
      </c>
      <c r="U132">
        <v>0</v>
      </c>
      <c r="V132">
        <v>0</v>
      </c>
      <c r="W132">
        <v>76</v>
      </c>
      <c r="X132">
        <v>96</v>
      </c>
    </row>
    <row r="133" spans="2:24" x14ac:dyDescent="0.45">
      <c r="B133" t="str">
        <v>B152</v>
      </c>
      <c r="C133" t="str">
        <v>MUHAMMED MUNAZIR MM</v>
      </c>
      <c r="D133" t="str">
        <v>JARF</v>
      </c>
      <c r="E133" t="str">
        <v>JUNIOR</v>
      </c>
      <c r="F133">
        <v>4</v>
      </c>
      <c r="G133">
        <v>18.5</v>
      </c>
      <c r="H133">
        <v>0</v>
      </c>
      <c r="I133">
        <v>18.5</v>
      </c>
      <c r="J133">
        <v>18.5</v>
      </c>
      <c r="K133">
        <v>80</v>
      </c>
      <c r="L133">
        <v>80</v>
      </c>
      <c r="N133" t="str">
        <v>B152</v>
      </c>
      <c r="O133" t="str">
        <v>MUHAMMED MUNAZIR MM</v>
      </c>
      <c r="P133" t="str">
        <v>JARF</v>
      </c>
      <c r="Q133" t="str">
        <v>JUNIOR</v>
      </c>
      <c r="R133">
        <v>4</v>
      </c>
      <c r="S133">
        <v>0</v>
      </c>
      <c r="T133">
        <v>5</v>
      </c>
      <c r="U133">
        <v>5</v>
      </c>
      <c r="V133">
        <v>5</v>
      </c>
      <c r="W133">
        <v>13</v>
      </c>
      <c r="X133">
        <v>24</v>
      </c>
    </row>
    <row r="134" spans="2:24" x14ac:dyDescent="0.45">
      <c r="B134" t="str">
        <v>B153</v>
      </c>
      <c r="C134" t="str">
        <v>ABDUL KHADER ISHAQUE</v>
      </c>
      <c r="D134" t="str">
        <v>BADF</v>
      </c>
      <c r="E134" t="str">
        <v>JUNIOR</v>
      </c>
      <c r="F134">
        <v>4</v>
      </c>
      <c r="G134">
        <v>14</v>
      </c>
      <c r="H134">
        <v>0</v>
      </c>
      <c r="I134">
        <v>14</v>
      </c>
      <c r="J134">
        <v>14</v>
      </c>
      <c r="K134">
        <v>104</v>
      </c>
      <c r="L134">
        <v>104</v>
      </c>
      <c r="N134" t="str">
        <v>B153</v>
      </c>
      <c r="O134" t="str">
        <v>ABDUL KHADER ISHAQUE</v>
      </c>
      <c r="P134" t="str">
        <v>BADF</v>
      </c>
      <c r="Q134" t="str">
        <v>JUNIOR</v>
      </c>
      <c r="R134">
        <v>4</v>
      </c>
      <c r="S134">
        <v>0</v>
      </c>
      <c r="T134">
        <v>0</v>
      </c>
      <c r="U134">
        <v>0</v>
      </c>
      <c r="V134">
        <v>0</v>
      </c>
      <c r="W134">
        <v>76</v>
      </c>
      <c r="X134">
        <v>96</v>
      </c>
    </row>
    <row r="135" spans="2:24" x14ac:dyDescent="0.45">
      <c r="B135" t="str">
        <v>B154</v>
      </c>
      <c r="C135" t="str">
        <v>ABDULLA ALBAS</v>
      </c>
      <c r="D135" t="str">
        <v>DAHF</v>
      </c>
      <c r="E135" t="str">
        <v>JUNIOR</v>
      </c>
      <c r="F135">
        <v>4</v>
      </c>
      <c r="G135">
        <v>31</v>
      </c>
      <c r="H135">
        <v>0</v>
      </c>
      <c r="I135">
        <v>31</v>
      </c>
      <c r="J135">
        <v>31</v>
      </c>
      <c r="K135">
        <v>42</v>
      </c>
      <c r="L135">
        <v>42</v>
      </c>
      <c r="N135" t="str">
        <v>B154</v>
      </c>
      <c r="O135" t="str">
        <v>ABDULLA ALBAS</v>
      </c>
      <c r="P135" t="str">
        <v>DAHF</v>
      </c>
      <c r="Q135" t="str">
        <v>JUNIOR</v>
      </c>
      <c r="R135">
        <v>4</v>
      </c>
      <c r="S135">
        <v>0</v>
      </c>
      <c r="T135">
        <v>0</v>
      </c>
      <c r="U135">
        <v>0</v>
      </c>
      <c r="V135">
        <v>0</v>
      </c>
      <c r="W135">
        <v>76</v>
      </c>
      <c r="X135">
        <v>96</v>
      </c>
    </row>
    <row r="136" spans="2:24" x14ac:dyDescent="0.45">
      <c r="B136" t="str">
        <v>B155</v>
      </c>
      <c r="C136" t="str">
        <v>MUHAMMED A</v>
      </c>
      <c r="D136" t="str">
        <v>DAHF</v>
      </c>
      <c r="E136" t="str">
        <v>JUNIOR</v>
      </c>
      <c r="F136">
        <v>4</v>
      </c>
      <c r="G136">
        <v>8</v>
      </c>
      <c r="H136">
        <v>0</v>
      </c>
      <c r="I136">
        <v>8</v>
      </c>
      <c r="J136">
        <v>8</v>
      </c>
      <c r="K136">
        <v>147</v>
      </c>
      <c r="L136">
        <v>147</v>
      </c>
      <c r="N136" t="str">
        <v>B155</v>
      </c>
      <c r="O136" t="str">
        <v>MUHAMMED A</v>
      </c>
      <c r="P136" t="str">
        <v>DAHF</v>
      </c>
      <c r="Q136" t="str">
        <v>JUNIOR</v>
      </c>
      <c r="R136">
        <v>4</v>
      </c>
      <c r="S136">
        <v>0</v>
      </c>
      <c r="T136">
        <v>1</v>
      </c>
      <c r="U136">
        <v>1</v>
      </c>
      <c r="V136">
        <v>1</v>
      </c>
      <c r="W136">
        <v>54</v>
      </c>
      <c r="X136">
        <v>69</v>
      </c>
    </row>
    <row r="137" spans="2:24" x14ac:dyDescent="0.45">
      <c r="B137" t="str">
        <v>B156</v>
      </c>
      <c r="C137" t="str">
        <v>MOHAMMED ANAS A.A</v>
      </c>
      <c r="D137" t="str">
        <v>JARF</v>
      </c>
      <c r="E137" t="str">
        <v>JUNIOR</v>
      </c>
      <c r="F137">
        <v>4</v>
      </c>
      <c r="G137">
        <v>0</v>
      </c>
      <c r="H137">
        <v>0</v>
      </c>
      <c r="I137">
        <v>0</v>
      </c>
      <c r="J137">
        <v>0</v>
      </c>
      <c r="K137">
        <v>255</v>
      </c>
      <c r="L137">
        <v>255</v>
      </c>
      <c r="N137" t="str">
        <v>B156</v>
      </c>
      <c r="O137" t="str">
        <v>MOHAMMED ANAS A.A</v>
      </c>
      <c r="P137" t="str">
        <v>JARF</v>
      </c>
      <c r="Q137" t="str">
        <v>JUNIOR</v>
      </c>
      <c r="R137">
        <v>4</v>
      </c>
      <c r="S137">
        <v>0</v>
      </c>
      <c r="T137">
        <v>0</v>
      </c>
      <c r="U137">
        <v>0</v>
      </c>
      <c r="V137">
        <v>3</v>
      </c>
      <c r="W137">
        <v>76</v>
      </c>
      <c r="X137">
        <v>46</v>
      </c>
    </row>
    <row r="138" spans="2:24" x14ac:dyDescent="0.45">
      <c r="B138" t="str">
        <v>B157</v>
      </c>
      <c r="C138" t="str">
        <v>MUHAMMED MIHRAZ</v>
      </c>
      <c r="D138" t="str">
        <v>FANT</v>
      </c>
      <c r="E138" t="str">
        <v>JUNIOR</v>
      </c>
      <c r="F138">
        <v>4</v>
      </c>
      <c r="G138">
        <v>14</v>
      </c>
      <c r="H138">
        <v>0</v>
      </c>
      <c r="I138">
        <v>14</v>
      </c>
      <c r="J138">
        <v>14</v>
      </c>
      <c r="K138">
        <v>104</v>
      </c>
      <c r="L138">
        <v>104</v>
      </c>
      <c r="N138" t="str">
        <v>B157</v>
      </c>
      <c r="O138" t="str">
        <v>MUHAMMED MIHRAZ</v>
      </c>
      <c r="P138" t="str">
        <v>FANT</v>
      </c>
      <c r="Q138" t="str">
        <v>JUNIOR</v>
      </c>
      <c r="R138">
        <v>4</v>
      </c>
      <c r="S138">
        <v>0</v>
      </c>
      <c r="T138">
        <v>0</v>
      </c>
      <c r="U138">
        <v>0</v>
      </c>
      <c r="V138">
        <v>0</v>
      </c>
      <c r="W138">
        <v>76</v>
      </c>
      <c r="X138">
        <v>96</v>
      </c>
    </row>
    <row r="139" spans="2:24" x14ac:dyDescent="0.45">
      <c r="B139" t="str">
        <v>B158</v>
      </c>
      <c r="C139" t="str">
        <v>FADIL MOHAMMED K M</v>
      </c>
      <c r="D139" t="str">
        <v>DAHF</v>
      </c>
      <c r="E139" t="str">
        <v>JUNIOR</v>
      </c>
      <c r="F139">
        <v>4</v>
      </c>
      <c r="G139">
        <v>24</v>
      </c>
      <c r="H139">
        <v>0</v>
      </c>
      <c r="I139">
        <v>24</v>
      </c>
      <c r="J139">
        <v>24</v>
      </c>
      <c r="K139">
        <v>64</v>
      </c>
      <c r="L139">
        <v>64</v>
      </c>
      <c r="N139" t="str">
        <v>B158</v>
      </c>
      <c r="O139" t="str">
        <v>FADIL MOHAMMED K M</v>
      </c>
      <c r="P139" t="str">
        <v>DAHF</v>
      </c>
      <c r="Q139" t="str">
        <v>JUNIOR</v>
      </c>
      <c r="R139">
        <v>4</v>
      </c>
      <c r="S139">
        <v>0</v>
      </c>
      <c r="T139">
        <v>3</v>
      </c>
      <c r="U139">
        <v>3</v>
      </c>
      <c r="V139">
        <v>3</v>
      </c>
      <c r="W139">
        <v>30</v>
      </c>
      <c r="X139">
        <v>46</v>
      </c>
    </row>
    <row r="140" spans="2:24" x14ac:dyDescent="0.45">
      <c r="B140" t="str">
        <v>B159</v>
      </c>
      <c r="C140" t="str">
        <v>AJMAL AHMED MT</v>
      </c>
      <c r="D140" t="str">
        <v>DAHF</v>
      </c>
      <c r="E140" t="str">
        <v>JUNIOR</v>
      </c>
      <c r="F140">
        <v>4</v>
      </c>
      <c r="G140">
        <v>12</v>
      </c>
      <c r="H140">
        <v>0</v>
      </c>
      <c r="I140">
        <v>12</v>
      </c>
      <c r="J140">
        <v>12</v>
      </c>
      <c r="K140">
        <v>119</v>
      </c>
      <c r="L140">
        <v>119</v>
      </c>
      <c r="N140" t="str">
        <v>B159</v>
      </c>
      <c r="O140" t="str">
        <v>AJMAL AHMED MT</v>
      </c>
      <c r="P140" t="str">
        <v>DAHF</v>
      </c>
      <c r="Q140" t="str">
        <v>JUNIOR</v>
      </c>
      <c r="R140">
        <v>4</v>
      </c>
      <c r="S140">
        <v>0</v>
      </c>
      <c r="T140">
        <v>0</v>
      </c>
      <c r="U140">
        <v>0</v>
      </c>
      <c r="V140">
        <v>0</v>
      </c>
      <c r="W140">
        <v>76</v>
      </c>
      <c r="X140">
        <v>96</v>
      </c>
    </row>
    <row r="141" spans="2:24" x14ac:dyDescent="0.45">
      <c r="B141" t="str">
        <v>B160</v>
      </c>
      <c r="C141" t="str">
        <v>MOHAMMED DAWOOD K</v>
      </c>
      <c r="D141" t="str">
        <v>JARF</v>
      </c>
      <c r="E141" t="str">
        <v>JUNIOR</v>
      </c>
      <c r="F141">
        <v>4</v>
      </c>
      <c r="G141">
        <v>9</v>
      </c>
      <c r="H141">
        <v>0</v>
      </c>
      <c r="I141">
        <v>9</v>
      </c>
      <c r="J141">
        <v>9</v>
      </c>
      <c r="K141">
        <v>139</v>
      </c>
      <c r="L141">
        <v>139</v>
      </c>
      <c r="N141" t="str">
        <v>B160</v>
      </c>
      <c r="O141" t="str">
        <v>MOHAMMED DAWOOD K</v>
      </c>
      <c r="P141" t="str">
        <v>JARF</v>
      </c>
      <c r="Q141" t="str">
        <v>JUNIOR</v>
      </c>
      <c r="R141">
        <v>4</v>
      </c>
      <c r="S141">
        <v>0</v>
      </c>
      <c r="T141">
        <v>0</v>
      </c>
      <c r="U141">
        <v>0</v>
      </c>
      <c r="V141">
        <v>0</v>
      </c>
      <c r="W141">
        <v>76</v>
      </c>
      <c r="X141">
        <v>96</v>
      </c>
    </row>
    <row r="142" spans="2:24" x14ac:dyDescent="0.45">
      <c r="B142" t="str">
        <v>B161</v>
      </c>
      <c r="C142" t="str">
        <v>MUHAMMED RAZI TM</v>
      </c>
      <c r="D142" t="str">
        <v>DAHF</v>
      </c>
      <c r="E142" t="str">
        <v>JUNIOR</v>
      </c>
      <c r="F142">
        <v>4</v>
      </c>
      <c r="G142">
        <v>8</v>
      </c>
      <c r="H142">
        <v>0</v>
      </c>
      <c r="I142">
        <v>8</v>
      </c>
      <c r="J142">
        <v>8</v>
      </c>
      <c r="K142">
        <v>147</v>
      </c>
      <c r="L142">
        <v>147</v>
      </c>
      <c r="N142" t="str">
        <v>B161</v>
      </c>
      <c r="O142" t="str">
        <v>MUHAMMED RAZI TM</v>
      </c>
      <c r="P142" t="str">
        <v>DAHF</v>
      </c>
      <c r="Q142" t="str">
        <v>JUNIOR</v>
      </c>
      <c r="R142">
        <v>4</v>
      </c>
      <c r="S142">
        <v>0</v>
      </c>
      <c r="T142">
        <v>0</v>
      </c>
      <c r="U142">
        <v>0</v>
      </c>
      <c r="V142">
        <v>0</v>
      </c>
      <c r="W142">
        <v>76</v>
      </c>
      <c r="X142">
        <v>96</v>
      </c>
    </row>
    <row r="143" spans="2:24" x14ac:dyDescent="0.45">
      <c r="B143" t="str">
        <v>B162</v>
      </c>
      <c r="C143" t="str">
        <v>RAYHAN PH</v>
      </c>
      <c r="D143" t="str">
        <v>JARF</v>
      </c>
      <c r="E143" t="str">
        <v>JUNIOR</v>
      </c>
      <c r="F143">
        <v>4</v>
      </c>
      <c r="G143">
        <v>17</v>
      </c>
      <c r="H143">
        <v>0</v>
      </c>
      <c r="I143">
        <v>17</v>
      </c>
      <c r="J143">
        <v>17</v>
      </c>
      <c r="K143">
        <v>87</v>
      </c>
      <c r="L143">
        <v>87</v>
      </c>
      <c r="N143" t="str">
        <v>B162</v>
      </c>
      <c r="O143" t="str">
        <v>RAYHAN PH</v>
      </c>
      <c r="P143" t="str">
        <v>JARF</v>
      </c>
      <c r="Q143" t="str">
        <v>JUNIOR</v>
      </c>
      <c r="R143">
        <v>4</v>
      </c>
      <c r="S143">
        <v>0</v>
      </c>
      <c r="T143">
        <v>0</v>
      </c>
      <c r="U143">
        <v>0</v>
      </c>
      <c r="V143">
        <v>0</v>
      </c>
      <c r="W143">
        <v>76</v>
      </c>
      <c r="X143">
        <v>96</v>
      </c>
    </row>
    <row r="144" spans="2:24" x14ac:dyDescent="0.45">
      <c r="B144" t="str">
        <v>B163</v>
      </c>
      <c r="C144" t="str">
        <v>MOHAMMED YOUNUS</v>
      </c>
      <c r="D144" t="str">
        <v>JARF</v>
      </c>
      <c r="E144" t="str">
        <v>JUNIOR</v>
      </c>
      <c r="F144">
        <v>4</v>
      </c>
      <c r="G144">
        <v>38</v>
      </c>
      <c r="H144">
        <v>0</v>
      </c>
      <c r="I144">
        <v>38</v>
      </c>
      <c r="J144">
        <v>38</v>
      </c>
      <c r="K144">
        <v>26</v>
      </c>
      <c r="L144">
        <v>26</v>
      </c>
      <c r="N144" t="str">
        <v>B163</v>
      </c>
      <c r="O144" t="str">
        <v>MOHAMMED YOUNUS</v>
      </c>
      <c r="P144" t="str">
        <v>JARF</v>
      </c>
      <c r="Q144" t="str">
        <v>JUNIOR</v>
      </c>
      <c r="R144">
        <v>4</v>
      </c>
      <c r="S144">
        <v>0</v>
      </c>
      <c r="T144">
        <v>0</v>
      </c>
      <c r="U144">
        <v>0</v>
      </c>
      <c r="V144">
        <v>0</v>
      </c>
      <c r="W144">
        <v>76</v>
      </c>
      <c r="X144">
        <v>96</v>
      </c>
    </row>
    <row r="145" spans="2:24" x14ac:dyDescent="0.45">
      <c r="B145" t="str">
        <v>B164</v>
      </c>
      <c r="C145" t="str">
        <v>RASALUL AMEEN T</v>
      </c>
      <c r="D145" t="str">
        <v>BADF</v>
      </c>
      <c r="E145" t="str">
        <v>JUNIOR</v>
      </c>
      <c r="F145">
        <v>4</v>
      </c>
      <c r="G145">
        <v>33</v>
      </c>
      <c r="H145">
        <v>0</v>
      </c>
      <c r="I145">
        <v>33</v>
      </c>
      <c r="J145">
        <v>33</v>
      </c>
      <c r="K145">
        <v>37</v>
      </c>
      <c r="L145">
        <v>37</v>
      </c>
      <c r="N145" t="str">
        <v>B164</v>
      </c>
      <c r="O145" t="str">
        <v>RASALUL AMEEN T</v>
      </c>
      <c r="P145" t="str">
        <v>BADF</v>
      </c>
      <c r="Q145" t="str">
        <v>JUNIOR</v>
      </c>
      <c r="R145">
        <v>4</v>
      </c>
      <c r="S145">
        <v>3</v>
      </c>
      <c r="T145">
        <v>0</v>
      </c>
      <c r="U145">
        <v>3</v>
      </c>
      <c r="V145">
        <v>13</v>
      </c>
      <c r="W145">
        <v>30</v>
      </c>
      <c r="X145">
        <v>3</v>
      </c>
    </row>
    <row r="146" spans="2:24" x14ac:dyDescent="0.45">
      <c r="B146" t="str">
        <v>C100</v>
      </c>
      <c r="C146" t="str">
        <v>IBRAHIM AFIL</v>
      </c>
      <c r="D146" t="str">
        <v>DAHF</v>
      </c>
      <c r="E146" t="str">
        <v>SENIOR</v>
      </c>
      <c r="F146">
        <v>5</v>
      </c>
      <c r="G146">
        <v>0</v>
      </c>
      <c r="H146">
        <v>0</v>
      </c>
      <c r="I146">
        <v>0</v>
      </c>
      <c r="J146">
        <v>0</v>
      </c>
      <c r="K146">
        <v>255</v>
      </c>
      <c r="L146">
        <v>255</v>
      </c>
      <c r="N146" t="str">
        <v>C100</v>
      </c>
      <c r="O146" t="str">
        <v>IBRAHIM AFIL</v>
      </c>
      <c r="P146" t="str">
        <v>DAHF</v>
      </c>
      <c r="Q146" t="str">
        <v>SENIOR</v>
      </c>
      <c r="R146">
        <v>5</v>
      </c>
      <c r="S146">
        <v>0</v>
      </c>
      <c r="T146">
        <v>10</v>
      </c>
      <c r="U146">
        <v>10</v>
      </c>
      <c r="V146">
        <v>10</v>
      </c>
      <c r="W146">
        <v>1</v>
      </c>
      <c r="X146">
        <v>7</v>
      </c>
    </row>
    <row r="147" spans="2:24" x14ac:dyDescent="0.45">
      <c r="B147" t="str">
        <v>C101</v>
      </c>
      <c r="C147" t="str">
        <v>MUHAMMED KASHIF</v>
      </c>
      <c r="D147" t="str">
        <v>FANT</v>
      </c>
      <c r="E147" t="str">
        <v>SENIOR</v>
      </c>
      <c r="F147">
        <v>5</v>
      </c>
      <c r="G147">
        <v>2</v>
      </c>
      <c r="H147">
        <v>0</v>
      </c>
      <c r="I147">
        <v>2</v>
      </c>
      <c r="J147">
        <v>2</v>
      </c>
      <c r="K147">
        <v>224</v>
      </c>
      <c r="L147">
        <v>224</v>
      </c>
      <c r="N147" t="str">
        <v>C101</v>
      </c>
      <c r="O147" t="str">
        <v>MUHAMMED KASHIF</v>
      </c>
      <c r="P147" t="str">
        <v>FANT</v>
      </c>
      <c r="Q147" t="str">
        <v>SENIOR</v>
      </c>
      <c r="R147">
        <v>5</v>
      </c>
      <c r="S147">
        <v>0</v>
      </c>
      <c r="T147">
        <v>0</v>
      </c>
      <c r="U147">
        <v>0</v>
      </c>
      <c r="V147">
        <v>0</v>
      </c>
      <c r="W147">
        <v>76</v>
      </c>
      <c r="X147">
        <v>96</v>
      </c>
    </row>
    <row r="148" spans="2:24" x14ac:dyDescent="0.45">
      <c r="B148" t="str">
        <v>C102</v>
      </c>
      <c r="C148" t="str">
        <v>AHAMMED MAHSHOOK M.B</v>
      </c>
      <c r="D148" t="str">
        <v>DAHF</v>
      </c>
      <c r="E148" t="str">
        <v>SENIOR</v>
      </c>
      <c r="F148">
        <v>5</v>
      </c>
      <c r="G148">
        <v>9</v>
      </c>
      <c r="H148">
        <v>0</v>
      </c>
      <c r="I148">
        <v>9</v>
      </c>
      <c r="J148">
        <v>9</v>
      </c>
      <c r="K148">
        <v>139</v>
      </c>
      <c r="L148">
        <v>139</v>
      </c>
      <c r="N148" t="str">
        <v>C102</v>
      </c>
      <c r="O148" t="str">
        <v>AHAMMED MAHSHOOK M.B</v>
      </c>
      <c r="P148" t="str">
        <v>DAHF</v>
      </c>
      <c r="Q148" t="str">
        <v>SENIOR</v>
      </c>
      <c r="R148">
        <v>5</v>
      </c>
      <c r="S148">
        <v>0</v>
      </c>
      <c r="T148">
        <v>0</v>
      </c>
      <c r="U148">
        <v>0</v>
      </c>
      <c r="V148">
        <v>1</v>
      </c>
      <c r="W148">
        <v>76</v>
      </c>
      <c r="X148">
        <v>69</v>
      </c>
    </row>
    <row r="149" spans="2:24" x14ac:dyDescent="0.45">
      <c r="B149" t="str">
        <v>C103</v>
      </c>
      <c r="C149" t="str">
        <v>MUHAMMED ABDUL KADER</v>
      </c>
      <c r="D149" t="str">
        <v>BADF</v>
      </c>
      <c r="E149" t="str">
        <v>SENIOR</v>
      </c>
      <c r="F149">
        <v>5</v>
      </c>
      <c r="G149">
        <v>30</v>
      </c>
      <c r="H149">
        <v>0</v>
      </c>
      <c r="I149">
        <v>30</v>
      </c>
      <c r="J149">
        <v>30</v>
      </c>
      <c r="K149">
        <v>48</v>
      </c>
      <c r="L149">
        <v>48</v>
      </c>
      <c r="N149" t="str">
        <v>C103</v>
      </c>
      <c r="O149" t="str">
        <v>MUHAMMED ABDUL KADER</v>
      </c>
      <c r="P149" t="str">
        <v>BADF</v>
      </c>
      <c r="Q149" t="str">
        <v>SENIOR</v>
      </c>
      <c r="R149">
        <v>5</v>
      </c>
      <c r="S149">
        <v>0</v>
      </c>
      <c r="T149">
        <v>5</v>
      </c>
      <c r="U149">
        <v>5</v>
      </c>
      <c r="V149">
        <v>8</v>
      </c>
      <c r="W149">
        <v>13</v>
      </c>
      <c r="X149">
        <v>12</v>
      </c>
    </row>
    <row r="150" spans="2:24" x14ac:dyDescent="0.45">
      <c r="B150" t="str">
        <v>C104</v>
      </c>
      <c r="C150" t="str">
        <v>HADIL RIJAS</v>
      </c>
      <c r="D150" t="str">
        <v>BADF</v>
      </c>
      <c r="E150" t="str">
        <v>SENIOR</v>
      </c>
      <c r="F150">
        <v>5</v>
      </c>
      <c r="G150">
        <v>23</v>
      </c>
      <c r="H150">
        <v>0</v>
      </c>
      <c r="I150">
        <v>23</v>
      </c>
      <c r="J150">
        <v>23</v>
      </c>
      <c r="K150">
        <v>68</v>
      </c>
      <c r="L150">
        <v>68</v>
      </c>
      <c r="N150" t="str">
        <v>C104</v>
      </c>
      <c r="O150" t="str">
        <v>HADIL RIJAS</v>
      </c>
      <c r="P150" t="str">
        <v>BADF</v>
      </c>
      <c r="Q150" t="str">
        <v>SENIOR</v>
      </c>
      <c r="R150">
        <v>5</v>
      </c>
      <c r="S150">
        <v>0</v>
      </c>
      <c r="T150">
        <v>0</v>
      </c>
      <c r="U150">
        <v>0</v>
      </c>
      <c r="V150">
        <v>1</v>
      </c>
      <c r="W150">
        <v>76</v>
      </c>
      <c r="X150">
        <v>69</v>
      </c>
    </row>
    <row r="151" spans="2:24" x14ac:dyDescent="0.45">
      <c r="B151" t="str">
        <v>C105</v>
      </c>
      <c r="C151" t="str">
        <v>AHMAD MANAL KUDINGILA</v>
      </c>
      <c r="D151" t="str">
        <v>JARF</v>
      </c>
      <c r="E151" t="str">
        <v>SENIOR</v>
      </c>
      <c r="F151">
        <v>5</v>
      </c>
      <c r="G151">
        <v>0</v>
      </c>
      <c r="H151">
        <v>0</v>
      </c>
      <c r="I151">
        <v>0</v>
      </c>
      <c r="J151">
        <v>0</v>
      </c>
      <c r="K151">
        <v>255</v>
      </c>
      <c r="L151">
        <v>255</v>
      </c>
      <c r="N151" t="str">
        <v>C105</v>
      </c>
      <c r="O151" t="str">
        <v>AHMAD MANAL KUDINGILA</v>
      </c>
      <c r="P151" t="str">
        <v>JARF</v>
      </c>
      <c r="Q151" t="str">
        <v>SENIOR</v>
      </c>
      <c r="R151">
        <v>5</v>
      </c>
      <c r="S151">
        <v>0</v>
      </c>
      <c r="T151">
        <v>0</v>
      </c>
      <c r="U151">
        <v>0</v>
      </c>
      <c r="V151">
        <v>1</v>
      </c>
      <c r="W151">
        <v>76</v>
      </c>
      <c r="X151">
        <v>69</v>
      </c>
    </row>
    <row r="152" spans="2:24" x14ac:dyDescent="0.45">
      <c r="B152" t="str">
        <v>C106</v>
      </c>
      <c r="C152" t="str">
        <v>ABDUL RAHMAN ANFHAL M I</v>
      </c>
      <c r="D152" t="str">
        <v>BADF</v>
      </c>
      <c r="E152" t="str">
        <v>SENIOR</v>
      </c>
      <c r="F152">
        <v>5</v>
      </c>
      <c r="G152">
        <v>5</v>
      </c>
      <c r="H152">
        <v>0</v>
      </c>
      <c r="I152">
        <v>5</v>
      </c>
      <c r="J152">
        <v>5</v>
      </c>
      <c r="K152">
        <v>190</v>
      </c>
      <c r="L152">
        <v>190</v>
      </c>
      <c r="N152" t="str">
        <v>C106</v>
      </c>
      <c r="O152" t="str">
        <v>ABDUL RAHMAN ANFHAL M I</v>
      </c>
      <c r="P152" t="str">
        <v>BADF</v>
      </c>
      <c r="Q152" t="str">
        <v>SENIOR</v>
      </c>
      <c r="R152">
        <v>5</v>
      </c>
      <c r="S152">
        <v>0</v>
      </c>
      <c r="T152">
        <v>0</v>
      </c>
      <c r="U152">
        <v>0</v>
      </c>
      <c r="V152">
        <v>0</v>
      </c>
      <c r="W152">
        <v>76</v>
      </c>
      <c r="X152">
        <v>96</v>
      </c>
    </row>
    <row r="153" spans="2:24" x14ac:dyDescent="0.45">
      <c r="B153" t="str">
        <v>C107</v>
      </c>
      <c r="C153" t="str">
        <v>ADIL ABDULLA A</v>
      </c>
      <c r="D153" t="str">
        <v>DAHF</v>
      </c>
      <c r="E153" t="str">
        <v>SENIOR</v>
      </c>
      <c r="F153">
        <v>5</v>
      </c>
      <c r="G153">
        <v>31</v>
      </c>
      <c r="H153">
        <v>0</v>
      </c>
      <c r="I153">
        <v>31</v>
      </c>
      <c r="J153">
        <v>31</v>
      </c>
      <c r="K153">
        <v>42</v>
      </c>
      <c r="L153">
        <v>42</v>
      </c>
      <c r="N153" t="str">
        <v>C107</v>
      </c>
      <c r="O153" t="str">
        <v>ADIL ABDULLA A</v>
      </c>
      <c r="P153" t="str">
        <v>DAHF</v>
      </c>
      <c r="Q153" t="str">
        <v>SENIOR</v>
      </c>
      <c r="R153">
        <v>5</v>
      </c>
      <c r="S153">
        <v>0</v>
      </c>
      <c r="T153">
        <v>0</v>
      </c>
      <c r="U153">
        <v>0</v>
      </c>
      <c r="V153">
        <v>0</v>
      </c>
      <c r="W153">
        <v>76</v>
      </c>
      <c r="X153">
        <v>96</v>
      </c>
    </row>
    <row r="154" spans="2:24" x14ac:dyDescent="0.45">
      <c r="B154" t="str">
        <v>C108</v>
      </c>
      <c r="C154" t="str">
        <v>ABDULLA SALMAN FARIS M</v>
      </c>
      <c r="D154" t="str">
        <v>FANT</v>
      </c>
      <c r="E154" t="str">
        <v>SENIOR</v>
      </c>
      <c r="F154">
        <v>5</v>
      </c>
      <c r="G154">
        <v>5</v>
      </c>
      <c r="H154">
        <v>0</v>
      </c>
      <c r="I154">
        <v>5</v>
      </c>
      <c r="J154">
        <v>5</v>
      </c>
      <c r="K154">
        <v>190</v>
      </c>
      <c r="L154">
        <v>190</v>
      </c>
      <c r="N154" t="str">
        <v>C108</v>
      </c>
      <c r="O154" t="str">
        <v>ABDULLA SALMAN FARIS M</v>
      </c>
      <c r="P154" t="str">
        <v>FANT</v>
      </c>
      <c r="Q154" t="str">
        <v>SENIOR</v>
      </c>
      <c r="R154">
        <v>5</v>
      </c>
      <c r="S154">
        <v>1</v>
      </c>
      <c r="T154">
        <v>0</v>
      </c>
      <c r="U154">
        <v>1</v>
      </c>
      <c r="V154">
        <v>1</v>
      </c>
      <c r="W154">
        <v>54</v>
      </c>
      <c r="X154">
        <v>69</v>
      </c>
    </row>
    <row r="155" spans="2:24" x14ac:dyDescent="0.45">
      <c r="B155" t="str">
        <v>C109</v>
      </c>
      <c r="C155" t="str">
        <v>ABDULLA FARHAN M</v>
      </c>
      <c r="D155" t="str">
        <v>BADF</v>
      </c>
      <c r="E155" t="str">
        <v>SENIOR</v>
      </c>
      <c r="F155">
        <v>5</v>
      </c>
      <c r="G155">
        <v>8</v>
      </c>
      <c r="H155">
        <v>0</v>
      </c>
      <c r="I155">
        <v>8</v>
      </c>
      <c r="J155">
        <v>8</v>
      </c>
      <c r="K155">
        <v>147</v>
      </c>
      <c r="L155">
        <v>147</v>
      </c>
      <c r="N155" t="str">
        <v>C109</v>
      </c>
      <c r="O155" t="str">
        <v>ABDULLA FARHAN M</v>
      </c>
      <c r="P155" t="str">
        <v>BADF</v>
      </c>
      <c r="Q155" t="str">
        <v>SENIOR</v>
      </c>
      <c r="R155">
        <v>5</v>
      </c>
      <c r="S155">
        <v>3</v>
      </c>
      <c r="T155">
        <v>0</v>
      </c>
      <c r="U155">
        <v>3</v>
      </c>
      <c r="V155">
        <v>3</v>
      </c>
      <c r="W155">
        <v>30</v>
      </c>
      <c r="X155">
        <v>46</v>
      </c>
    </row>
    <row r="156" spans="2:24" x14ac:dyDescent="0.45">
      <c r="B156" t="str">
        <v>C110</v>
      </c>
      <c r="C156" t="str">
        <v>SHADIL AHAMED</v>
      </c>
      <c r="D156" t="str">
        <v>DAHF</v>
      </c>
      <c r="E156" t="str">
        <v>SENIOR</v>
      </c>
      <c r="F156">
        <v>5</v>
      </c>
      <c r="G156">
        <v>3</v>
      </c>
      <c r="H156">
        <v>0</v>
      </c>
      <c r="I156">
        <v>3</v>
      </c>
      <c r="J156">
        <v>3</v>
      </c>
      <c r="K156">
        <v>209</v>
      </c>
      <c r="L156">
        <v>209</v>
      </c>
      <c r="N156" t="str">
        <v>C110</v>
      </c>
      <c r="O156" t="str">
        <v>SHADIL AHAMED</v>
      </c>
      <c r="P156" t="str">
        <v>DAHF</v>
      </c>
      <c r="Q156" t="str">
        <v>SENIOR</v>
      </c>
      <c r="R156">
        <v>5</v>
      </c>
      <c r="S156">
        <v>0</v>
      </c>
      <c r="T156">
        <v>0</v>
      </c>
      <c r="U156">
        <v>0</v>
      </c>
      <c r="V156">
        <v>0</v>
      </c>
      <c r="W156">
        <v>76</v>
      </c>
      <c r="X156">
        <v>96</v>
      </c>
    </row>
    <row r="157" spans="2:24" x14ac:dyDescent="0.45">
      <c r="B157" t="str">
        <v>C111</v>
      </c>
      <c r="C157" t="str">
        <v>MUHAMMAD ISMAIL HAMDULLA V K</v>
      </c>
      <c r="D157" t="str">
        <v>JARF</v>
      </c>
      <c r="E157" t="str">
        <v>SENIOR</v>
      </c>
      <c r="F157">
        <v>5</v>
      </c>
      <c r="G157">
        <v>34</v>
      </c>
      <c r="H157">
        <v>0</v>
      </c>
      <c r="I157">
        <v>34</v>
      </c>
      <c r="J157">
        <v>34</v>
      </c>
      <c r="K157">
        <v>34</v>
      </c>
      <c r="L157">
        <v>34</v>
      </c>
      <c r="N157" t="str">
        <v>C111</v>
      </c>
      <c r="O157" t="str">
        <v>MUHAMMAD ISMAIL HAMDULLA V K</v>
      </c>
      <c r="P157" t="str">
        <v>JARF</v>
      </c>
      <c r="Q157" t="str">
        <v>SENIOR</v>
      </c>
      <c r="R157">
        <v>5</v>
      </c>
      <c r="S157">
        <v>0</v>
      </c>
      <c r="T157">
        <v>0</v>
      </c>
      <c r="U157">
        <v>0</v>
      </c>
      <c r="V157">
        <v>0</v>
      </c>
      <c r="W157">
        <v>76</v>
      </c>
      <c r="X157">
        <v>96</v>
      </c>
    </row>
    <row r="158" spans="2:24" x14ac:dyDescent="0.45">
      <c r="B158" t="str">
        <v>C112</v>
      </c>
      <c r="C158" t="str">
        <v>MOHAMMED SA'DUDDEEN K</v>
      </c>
      <c r="D158" t="str">
        <v>FANT</v>
      </c>
      <c r="E158" t="str">
        <v>SENIOR</v>
      </c>
      <c r="F158">
        <v>5</v>
      </c>
      <c r="G158">
        <v>31</v>
      </c>
      <c r="H158">
        <v>0</v>
      </c>
      <c r="I158">
        <v>31</v>
      </c>
      <c r="J158">
        <v>31</v>
      </c>
      <c r="K158">
        <v>42</v>
      </c>
      <c r="L158">
        <v>42</v>
      </c>
      <c r="N158" t="str">
        <v>C112</v>
      </c>
      <c r="O158" t="str">
        <v>MOHAMMED SA'DUDDEEN K</v>
      </c>
      <c r="P158" t="str">
        <v>FANT</v>
      </c>
      <c r="Q158" t="str">
        <v>SENIOR</v>
      </c>
      <c r="R158">
        <v>5</v>
      </c>
      <c r="S158">
        <v>0</v>
      </c>
      <c r="T158">
        <v>0</v>
      </c>
      <c r="U158">
        <v>0</v>
      </c>
      <c r="V158">
        <v>0</v>
      </c>
      <c r="W158">
        <v>76</v>
      </c>
      <c r="X158">
        <v>96</v>
      </c>
    </row>
    <row r="159" spans="2:24" x14ac:dyDescent="0.45">
      <c r="B159" t="str">
        <v>C113</v>
      </c>
      <c r="C159" t="str">
        <v>SEYYAD MUHAMMED FAHMAN</v>
      </c>
      <c r="D159" t="str">
        <v>JARF</v>
      </c>
      <c r="E159" t="str">
        <v>SENIOR</v>
      </c>
      <c r="F159">
        <v>5</v>
      </c>
      <c r="G159">
        <v>4</v>
      </c>
      <c r="H159">
        <v>0</v>
      </c>
      <c r="I159">
        <v>4</v>
      </c>
      <c r="J159">
        <v>4</v>
      </c>
      <c r="K159">
        <v>197</v>
      </c>
      <c r="L159">
        <v>197</v>
      </c>
      <c r="N159" t="str">
        <v>C113</v>
      </c>
      <c r="O159" t="str">
        <v>SEYYAD MUHAMMED FAHMAN</v>
      </c>
      <c r="P159" t="str">
        <v>JARF</v>
      </c>
      <c r="Q159" t="str">
        <v>SENIOR</v>
      </c>
      <c r="R159">
        <v>5</v>
      </c>
      <c r="S159">
        <v>0</v>
      </c>
      <c r="T159">
        <v>0</v>
      </c>
      <c r="U159">
        <v>0</v>
      </c>
      <c r="V159">
        <v>5</v>
      </c>
      <c r="W159">
        <v>76</v>
      </c>
      <c r="X159">
        <v>24</v>
      </c>
    </row>
    <row r="160" spans="2:24" x14ac:dyDescent="0.45">
      <c r="B160" t="str">
        <v>C114</v>
      </c>
      <c r="C160" t="str">
        <v>AJMAL RUWAIS</v>
      </c>
      <c r="D160" t="str">
        <v>BADF</v>
      </c>
      <c r="E160" t="str">
        <v>SENIOR</v>
      </c>
      <c r="F160">
        <v>5</v>
      </c>
      <c r="G160">
        <v>10.5</v>
      </c>
      <c r="H160">
        <v>0</v>
      </c>
      <c r="I160">
        <v>10.5</v>
      </c>
      <c r="J160">
        <v>10.5</v>
      </c>
      <c r="K160">
        <v>130</v>
      </c>
      <c r="L160">
        <v>130</v>
      </c>
      <c r="N160" t="str">
        <v>C114</v>
      </c>
      <c r="O160" t="str">
        <v>AJMAL RUWAIS</v>
      </c>
      <c r="P160" t="str">
        <v>BADF</v>
      </c>
      <c r="Q160" t="str">
        <v>SENIOR</v>
      </c>
      <c r="R160">
        <v>5</v>
      </c>
      <c r="S160">
        <v>0</v>
      </c>
      <c r="T160">
        <v>0</v>
      </c>
      <c r="U160">
        <v>0</v>
      </c>
      <c r="V160">
        <v>0</v>
      </c>
      <c r="W160">
        <v>76</v>
      </c>
      <c r="X160">
        <v>96</v>
      </c>
    </row>
    <row r="161" spans="2:24" x14ac:dyDescent="0.45">
      <c r="B161" t="str">
        <v>C115</v>
      </c>
      <c r="C161" t="str">
        <v>MOHAMMED ABDUL KHADER K</v>
      </c>
      <c r="D161" t="str">
        <v>FANT</v>
      </c>
      <c r="E161" t="str">
        <v>SENIOR</v>
      </c>
      <c r="F161">
        <v>5</v>
      </c>
      <c r="G161">
        <v>0</v>
      </c>
      <c r="H161">
        <v>0</v>
      </c>
      <c r="I161">
        <v>0</v>
      </c>
      <c r="J161">
        <v>0</v>
      </c>
      <c r="K161">
        <v>255</v>
      </c>
      <c r="L161">
        <v>255</v>
      </c>
      <c r="N161" t="str">
        <v>C115</v>
      </c>
      <c r="O161" t="str">
        <v>MOHAMMED ABDUL KHADER K</v>
      </c>
      <c r="P161" t="str">
        <v>FANT</v>
      </c>
      <c r="Q161" t="str">
        <v>SENIOR</v>
      </c>
      <c r="R161">
        <v>5</v>
      </c>
      <c r="S161">
        <v>0</v>
      </c>
      <c r="T161">
        <v>0</v>
      </c>
      <c r="U161">
        <v>0</v>
      </c>
      <c r="V161">
        <v>5</v>
      </c>
      <c r="W161">
        <v>76</v>
      </c>
      <c r="X161">
        <v>24</v>
      </c>
    </row>
    <row r="162" spans="2:24" x14ac:dyDescent="0.45">
      <c r="B162" t="str">
        <v>C116</v>
      </c>
      <c r="C162" t="str">
        <v>MUAHMMED ANAS P A</v>
      </c>
      <c r="D162" t="str">
        <v>JARF</v>
      </c>
      <c r="E162" t="str">
        <v>SENIOR</v>
      </c>
      <c r="F162">
        <v>5</v>
      </c>
      <c r="G162">
        <v>1</v>
      </c>
      <c r="H162">
        <v>0</v>
      </c>
      <c r="I162">
        <v>1</v>
      </c>
      <c r="J162">
        <v>1</v>
      </c>
      <c r="K162">
        <v>231</v>
      </c>
      <c r="L162">
        <v>231</v>
      </c>
      <c r="N162" t="str">
        <v>C116</v>
      </c>
      <c r="O162" t="str">
        <v>MUAHMMED ANAS P A</v>
      </c>
      <c r="P162" t="str">
        <v>JARF</v>
      </c>
      <c r="Q162" t="str">
        <v>SENIOR</v>
      </c>
      <c r="R162">
        <v>5</v>
      </c>
      <c r="S162">
        <v>0</v>
      </c>
      <c r="T162">
        <v>0</v>
      </c>
      <c r="U162">
        <v>0</v>
      </c>
      <c r="V162">
        <v>0</v>
      </c>
      <c r="W162">
        <v>76</v>
      </c>
      <c r="X162">
        <v>96</v>
      </c>
    </row>
    <row r="163" spans="2:24" x14ac:dyDescent="0.45">
      <c r="B163" t="str">
        <v>C117</v>
      </c>
      <c r="C163" t="str">
        <v>Muhammed fahiz A K</v>
      </c>
      <c r="D163" t="str">
        <v>DAHF</v>
      </c>
      <c r="E163" t="str">
        <v>SENIOR</v>
      </c>
      <c r="F163">
        <v>5</v>
      </c>
      <c r="G163">
        <v>0</v>
      </c>
      <c r="H163">
        <v>0</v>
      </c>
      <c r="I163">
        <v>0</v>
      </c>
      <c r="J163">
        <v>0</v>
      </c>
      <c r="K163">
        <v>255</v>
      </c>
      <c r="L163">
        <v>255</v>
      </c>
      <c r="N163" t="str">
        <v>C117</v>
      </c>
      <c r="O163" t="str">
        <v>Muhammed fahiz A K</v>
      </c>
      <c r="P163" t="str">
        <v>DAHF</v>
      </c>
      <c r="Q163" t="str">
        <v>SENIOR</v>
      </c>
      <c r="R163">
        <v>5</v>
      </c>
      <c r="S163">
        <v>0</v>
      </c>
      <c r="T163">
        <v>0</v>
      </c>
      <c r="U163">
        <v>0</v>
      </c>
      <c r="V163">
        <v>0</v>
      </c>
      <c r="W163">
        <v>76</v>
      </c>
      <c r="X163">
        <v>96</v>
      </c>
    </row>
    <row r="164" spans="2:24" x14ac:dyDescent="0.45">
      <c r="B164" t="str">
        <v>C118</v>
      </c>
      <c r="C164" t="str">
        <v>MUHAMMAD SHAMMAS</v>
      </c>
      <c r="D164" t="str">
        <v>FANT</v>
      </c>
      <c r="E164" t="str">
        <v>SENIOR</v>
      </c>
      <c r="F164">
        <v>5</v>
      </c>
      <c r="G164">
        <v>8</v>
      </c>
      <c r="H164">
        <v>0</v>
      </c>
      <c r="I164">
        <v>8</v>
      </c>
      <c r="J164">
        <v>8</v>
      </c>
      <c r="K164">
        <v>147</v>
      </c>
      <c r="L164">
        <v>147</v>
      </c>
      <c r="N164" t="str">
        <v>C118</v>
      </c>
      <c r="O164" t="str">
        <v>MUHAMMAD SHAMMAS</v>
      </c>
      <c r="P164" t="str">
        <v>FANT</v>
      </c>
      <c r="Q164" t="str">
        <v>SENIOR</v>
      </c>
      <c r="R164">
        <v>5</v>
      </c>
      <c r="S164">
        <v>0</v>
      </c>
      <c r="T164">
        <v>0</v>
      </c>
      <c r="U164">
        <v>0</v>
      </c>
      <c r="V164">
        <v>0</v>
      </c>
      <c r="W164">
        <v>76</v>
      </c>
      <c r="X164">
        <v>96</v>
      </c>
    </row>
    <row r="165" spans="2:24" x14ac:dyDescent="0.45">
      <c r="B165" t="str">
        <v>C119</v>
      </c>
      <c r="C165" t="str">
        <v>ARIFUDEEN ABBAS A</v>
      </c>
      <c r="D165" t="str">
        <v>JARF</v>
      </c>
      <c r="E165" t="str">
        <v>SENIOR</v>
      </c>
      <c r="F165">
        <v>5</v>
      </c>
      <c r="G165">
        <v>1</v>
      </c>
      <c r="H165">
        <v>0</v>
      </c>
      <c r="I165">
        <v>1</v>
      </c>
      <c r="J165">
        <v>1</v>
      </c>
      <c r="K165">
        <v>231</v>
      </c>
      <c r="L165">
        <v>231</v>
      </c>
      <c r="N165" t="str">
        <v>C119</v>
      </c>
      <c r="O165" t="str">
        <v>ARIFUDEEN ABBAS A</v>
      </c>
      <c r="P165" t="str">
        <v>JARF</v>
      </c>
      <c r="Q165" t="str">
        <v>SENIOR</v>
      </c>
      <c r="R165">
        <v>5</v>
      </c>
      <c r="S165">
        <v>0</v>
      </c>
      <c r="T165">
        <v>0</v>
      </c>
      <c r="U165">
        <v>0</v>
      </c>
      <c r="V165">
        <v>0</v>
      </c>
      <c r="W165">
        <v>76</v>
      </c>
      <c r="X165">
        <v>96</v>
      </c>
    </row>
    <row r="166" spans="2:24" x14ac:dyDescent="0.45">
      <c r="B166" t="str">
        <v>C120</v>
      </c>
      <c r="C166" t="str">
        <v>MAJID MUHAMMED M</v>
      </c>
      <c r="D166" t="str">
        <v>DAHF</v>
      </c>
      <c r="E166" t="str">
        <v>SENIOR</v>
      </c>
      <c r="F166">
        <v>5</v>
      </c>
      <c r="G166">
        <v>26</v>
      </c>
      <c r="H166">
        <v>0</v>
      </c>
      <c r="I166">
        <v>26</v>
      </c>
      <c r="J166">
        <v>26</v>
      </c>
      <c r="K166">
        <v>58</v>
      </c>
      <c r="L166">
        <v>58</v>
      </c>
      <c r="N166" t="str">
        <v>C120</v>
      </c>
      <c r="O166" t="str">
        <v>MAJID MUHAMMED M</v>
      </c>
      <c r="P166" t="str">
        <v>DAHF</v>
      </c>
      <c r="Q166" t="str">
        <v>SENIOR</v>
      </c>
      <c r="R166">
        <v>5</v>
      </c>
      <c r="S166">
        <v>0</v>
      </c>
      <c r="T166">
        <v>0</v>
      </c>
      <c r="U166">
        <v>0</v>
      </c>
      <c r="V166">
        <v>0</v>
      </c>
      <c r="W166">
        <v>76</v>
      </c>
      <c r="X166">
        <v>96</v>
      </c>
    </row>
    <row r="167" spans="2:24" x14ac:dyDescent="0.45">
      <c r="B167" t="str">
        <v>C121</v>
      </c>
      <c r="C167" t="str">
        <v>ABDUL SALAM ARIF</v>
      </c>
      <c r="D167" t="str">
        <v>JARF</v>
      </c>
      <c r="E167" t="str">
        <v>SENIOR</v>
      </c>
      <c r="F167">
        <v>5</v>
      </c>
      <c r="G167">
        <v>4</v>
      </c>
      <c r="H167">
        <v>0</v>
      </c>
      <c r="I167">
        <v>4</v>
      </c>
      <c r="J167">
        <v>4</v>
      </c>
      <c r="K167">
        <v>197</v>
      </c>
      <c r="L167">
        <v>197</v>
      </c>
      <c r="N167" t="str">
        <v>C121</v>
      </c>
      <c r="O167" t="str">
        <v>ABDUL SALAM ARIF</v>
      </c>
      <c r="P167" t="str">
        <v>JARF</v>
      </c>
      <c r="Q167" t="str">
        <v>SENIOR</v>
      </c>
      <c r="R167">
        <v>5</v>
      </c>
      <c r="S167">
        <v>0</v>
      </c>
      <c r="T167">
        <v>0</v>
      </c>
      <c r="U167">
        <v>0</v>
      </c>
      <c r="V167">
        <v>0</v>
      </c>
      <c r="W167">
        <v>76</v>
      </c>
      <c r="X167">
        <v>96</v>
      </c>
    </row>
    <row r="168" spans="2:24" x14ac:dyDescent="0.45">
      <c r="B168" t="str">
        <v>C122</v>
      </c>
      <c r="C168" t="str">
        <v>MOHAMMED K H</v>
      </c>
      <c r="D168" t="str">
        <v>BADF</v>
      </c>
      <c r="E168" t="str">
        <v>SENIOR</v>
      </c>
      <c r="F168">
        <v>5</v>
      </c>
      <c r="G168">
        <v>0</v>
      </c>
      <c r="H168">
        <v>0</v>
      </c>
      <c r="I168">
        <v>0</v>
      </c>
      <c r="J168">
        <v>0</v>
      </c>
      <c r="K168">
        <v>255</v>
      </c>
      <c r="L168">
        <v>255</v>
      </c>
      <c r="N168" t="str">
        <v>C122</v>
      </c>
      <c r="O168" t="str">
        <v>MOHAMMED K H</v>
      </c>
      <c r="P168" t="str">
        <v>BADF</v>
      </c>
      <c r="Q168" t="str">
        <v>SENIOR</v>
      </c>
      <c r="R168">
        <v>5</v>
      </c>
      <c r="S168">
        <v>0</v>
      </c>
      <c r="T168">
        <v>0</v>
      </c>
      <c r="U168">
        <v>0</v>
      </c>
      <c r="V168">
        <v>0</v>
      </c>
      <c r="W168">
        <v>76</v>
      </c>
      <c r="X168">
        <v>96</v>
      </c>
    </row>
    <row r="169" spans="2:24" x14ac:dyDescent="0.45">
      <c r="B169" t="str">
        <v>C123</v>
      </c>
      <c r="C169" t="str">
        <v>MOHAMMED FAQRUDDEEN RAZI</v>
      </c>
      <c r="D169" t="str">
        <v>BADF</v>
      </c>
      <c r="E169" t="str">
        <v>SENIOR</v>
      </c>
      <c r="F169">
        <v>5</v>
      </c>
      <c r="G169">
        <v>1</v>
      </c>
      <c r="H169">
        <v>0</v>
      </c>
      <c r="I169">
        <v>1</v>
      </c>
      <c r="J169">
        <v>1</v>
      </c>
      <c r="K169">
        <v>231</v>
      </c>
      <c r="L169">
        <v>231</v>
      </c>
      <c r="N169" t="str">
        <v>C123</v>
      </c>
      <c r="O169" t="str">
        <v>MOHAMMED FAQRUDDEEN RAZI</v>
      </c>
      <c r="P169" t="str">
        <v>BADF</v>
      </c>
      <c r="Q169" t="str">
        <v>SENIOR</v>
      </c>
      <c r="R169">
        <v>5</v>
      </c>
      <c r="S169">
        <v>0</v>
      </c>
      <c r="T169">
        <v>0</v>
      </c>
      <c r="U169">
        <v>0</v>
      </c>
      <c r="V169">
        <v>0</v>
      </c>
      <c r="W169">
        <v>76</v>
      </c>
      <c r="X169">
        <v>96</v>
      </c>
    </row>
    <row r="170" spans="2:24" x14ac:dyDescent="0.45">
      <c r="B170" t="str">
        <v>C124</v>
      </c>
      <c r="C170" t="str">
        <v>MOHAMMED MUBASHIR</v>
      </c>
      <c r="D170" t="str">
        <v>BADF</v>
      </c>
      <c r="E170" t="str">
        <v>SENIOR</v>
      </c>
      <c r="F170">
        <v>5</v>
      </c>
      <c r="G170">
        <v>2</v>
      </c>
      <c r="H170">
        <v>0</v>
      </c>
      <c r="I170">
        <v>2</v>
      </c>
      <c r="J170">
        <v>2</v>
      </c>
      <c r="K170">
        <v>224</v>
      </c>
      <c r="L170">
        <v>224</v>
      </c>
      <c r="N170" t="str">
        <v>C124</v>
      </c>
      <c r="O170" t="str">
        <v>MOHAMMED MUBASHIR</v>
      </c>
      <c r="P170" t="str">
        <v>BADF</v>
      </c>
      <c r="Q170" t="str">
        <v>SENIOR</v>
      </c>
      <c r="R170">
        <v>5</v>
      </c>
      <c r="S170">
        <v>0</v>
      </c>
      <c r="T170">
        <v>0</v>
      </c>
      <c r="U170">
        <v>0</v>
      </c>
      <c r="V170">
        <v>0</v>
      </c>
      <c r="W170">
        <v>76</v>
      </c>
      <c r="X170">
        <v>96</v>
      </c>
    </row>
    <row r="171" spans="2:24" x14ac:dyDescent="0.45">
      <c r="B171" t="str">
        <v>C125</v>
      </c>
      <c r="C171" t="str">
        <v>AHAMMED MINHAJ E M</v>
      </c>
      <c r="D171" t="str">
        <v>FANT</v>
      </c>
      <c r="E171" t="str">
        <v>SENIOR</v>
      </c>
      <c r="F171">
        <v>5</v>
      </c>
      <c r="G171">
        <v>14</v>
      </c>
      <c r="H171">
        <v>0</v>
      </c>
      <c r="I171">
        <v>14</v>
      </c>
      <c r="J171">
        <v>14</v>
      </c>
      <c r="K171">
        <v>104</v>
      </c>
      <c r="L171">
        <v>104</v>
      </c>
      <c r="N171" t="str">
        <v>C125</v>
      </c>
      <c r="O171" t="str">
        <v>AHAMMED MINHAJ E M</v>
      </c>
      <c r="P171" t="str">
        <v>FANT</v>
      </c>
      <c r="Q171" t="str">
        <v>SENIOR</v>
      </c>
      <c r="R171">
        <v>5</v>
      </c>
      <c r="S171">
        <v>0</v>
      </c>
      <c r="T171">
        <v>0</v>
      </c>
      <c r="U171">
        <v>0</v>
      </c>
      <c r="V171">
        <v>0</v>
      </c>
      <c r="W171">
        <v>76</v>
      </c>
      <c r="X171">
        <v>96</v>
      </c>
    </row>
    <row r="172" spans="2:24" x14ac:dyDescent="0.45">
      <c r="B172" t="str">
        <v>C126</v>
      </c>
      <c r="C172" t="str">
        <v>ADNAN ABDULLAH B A</v>
      </c>
      <c r="D172" t="str">
        <v>JARF</v>
      </c>
      <c r="E172" t="str">
        <v>SENIOR</v>
      </c>
      <c r="F172">
        <v>5</v>
      </c>
      <c r="G172">
        <v>1</v>
      </c>
      <c r="H172">
        <v>0</v>
      </c>
      <c r="I172">
        <v>1</v>
      </c>
      <c r="J172">
        <v>1</v>
      </c>
      <c r="K172">
        <v>231</v>
      </c>
      <c r="L172">
        <v>231</v>
      </c>
      <c r="N172" t="str">
        <v>C126</v>
      </c>
      <c r="O172" t="str">
        <v>ADNAN ABDULLAH B A</v>
      </c>
      <c r="P172" t="str">
        <v>JARF</v>
      </c>
      <c r="Q172" t="str">
        <v>SENIOR</v>
      </c>
      <c r="R172">
        <v>5</v>
      </c>
      <c r="S172">
        <v>0</v>
      </c>
      <c r="T172">
        <v>0</v>
      </c>
      <c r="U172">
        <v>0</v>
      </c>
      <c r="V172">
        <v>0</v>
      </c>
      <c r="W172">
        <v>76</v>
      </c>
      <c r="X172">
        <v>96</v>
      </c>
    </row>
    <row r="173" spans="2:24" x14ac:dyDescent="0.45">
      <c r="B173" t="str">
        <v>C127</v>
      </c>
      <c r="C173" t="str">
        <v>SHAMMAZ P A</v>
      </c>
      <c r="D173" t="str">
        <v>FANT</v>
      </c>
      <c r="E173" t="str">
        <v>SENIOR</v>
      </c>
      <c r="F173">
        <v>5</v>
      </c>
      <c r="G173">
        <v>13</v>
      </c>
      <c r="H173">
        <v>0</v>
      </c>
      <c r="I173">
        <v>13</v>
      </c>
      <c r="J173">
        <v>13</v>
      </c>
      <c r="K173">
        <v>114</v>
      </c>
      <c r="L173">
        <v>114</v>
      </c>
      <c r="N173" t="str">
        <v>C127</v>
      </c>
      <c r="O173" t="str">
        <v>SHAMMAZ P A</v>
      </c>
      <c r="P173" t="str">
        <v>FANT</v>
      </c>
      <c r="Q173" t="str">
        <v>SENIOR</v>
      </c>
      <c r="R173">
        <v>5</v>
      </c>
      <c r="S173">
        <v>0</v>
      </c>
      <c r="T173">
        <v>0</v>
      </c>
      <c r="U173">
        <v>0</v>
      </c>
      <c r="V173">
        <v>0</v>
      </c>
      <c r="W173">
        <v>76</v>
      </c>
      <c r="X173">
        <v>96</v>
      </c>
    </row>
    <row r="174" spans="2:24" x14ac:dyDescent="0.45">
      <c r="B174" t="str">
        <v>C128</v>
      </c>
      <c r="C174" t="str">
        <v>MAHIN SINAN</v>
      </c>
      <c r="D174" t="str">
        <v>DAHF</v>
      </c>
      <c r="E174" t="str">
        <v>SENIOR</v>
      </c>
      <c r="F174">
        <v>5</v>
      </c>
      <c r="G174">
        <v>0</v>
      </c>
      <c r="H174">
        <v>0</v>
      </c>
      <c r="I174">
        <v>0</v>
      </c>
      <c r="J174">
        <v>0</v>
      </c>
      <c r="K174">
        <v>255</v>
      </c>
      <c r="L174">
        <v>255</v>
      </c>
      <c r="N174" t="str">
        <v>C128</v>
      </c>
      <c r="O174" t="str">
        <v>MAHIN SINAN</v>
      </c>
      <c r="P174" t="str">
        <v>DAHF</v>
      </c>
      <c r="Q174" t="str">
        <v>SENIOR</v>
      </c>
      <c r="R174">
        <v>5</v>
      </c>
      <c r="S174">
        <v>0</v>
      </c>
      <c r="T174">
        <v>0</v>
      </c>
      <c r="U174">
        <v>0</v>
      </c>
      <c r="V174">
        <v>0</v>
      </c>
      <c r="W174">
        <v>76</v>
      </c>
      <c r="X174">
        <v>96</v>
      </c>
    </row>
    <row r="175" spans="2:24" x14ac:dyDescent="0.45">
      <c r="B175" t="str">
        <v>C129</v>
      </c>
      <c r="C175" t="str">
        <v>P K ZAMEEL AHMED</v>
      </c>
      <c r="D175" t="str">
        <v>BADF</v>
      </c>
      <c r="E175" t="str">
        <v>SENIOR</v>
      </c>
      <c r="F175">
        <v>5</v>
      </c>
      <c r="G175">
        <v>6</v>
      </c>
      <c r="H175">
        <v>0</v>
      </c>
      <c r="I175">
        <v>6</v>
      </c>
      <c r="J175">
        <v>6</v>
      </c>
      <c r="K175">
        <v>171</v>
      </c>
      <c r="L175">
        <v>171</v>
      </c>
      <c r="N175" t="str">
        <v>C129</v>
      </c>
      <c r="O175" t="str">
        <v>P K ZAMEEL AHMED</v>
      </c>
      <c r="P175" t="str">
        <v>BADF</v>
      </c>
      <c r="Q175" t="str">
        <v>SENIOR</v>
      </c>
      <c r="R175">
        <v>5</v>
      </c>
      <c r="S175">
        <v>0</v>
      </c>
      <c r="T175">
        <v>0</v>
      </c>
      <c r="U175">
        <v>0</v>
      </c>
      <c r="V175">
        <v>0</v>
      </c>
      <c r="W175">
        <v>76</v>
      </c>
      <c r="X175">
        <v>96</v>
      </c>
    </row>
    <row r="176" spans="2:24" x14ac:dyDescent="0.45">
      <c r="B176" t="str">
        <v>C130</v>
      </c>
      <c r="C176" t="str">
        <v>MOHAMMED HISHAM</v>
      </c>
      <c r="D176" t="str">
        <v>DAHF</v>
      </c>
      <c r="E176" t="str">
        <v>SENIOR</v>
      </c>
      <c r="F176">
        <v>5</v>
      </c>
      <c r="G176">
        <v>0</v>
      </c>
      <c r="H176">
        <v>0</v>
      </c>
      <c r="I176">
        <v>0</v>
      </c>
      <c r="J176">
        <v>0</v>
      </c>
      <c r="K176">
        <v>255</v>
      </c>
      <c r="L176">
        <v>255</v>
      </c>
      <c r="N176" t="str">
        <v>C130</v>
      </c>
      <c r="O176" t="str">
        <v>MOHAMMED HISHAM</v>
      </c>
      <c r="P176" t="str">
        <v>DAHF</v>
      </c>
      <c r="Q176" t="str">
        <v>SENIOR</v>
      </c>
      <c r="R176">
        <v>5</v>
      </c>
      <c r="S176">
        <v>0</v>
      </c>
      <c r="T176">
        <v>0</v>
      </c>
      <c r="U176">
        <v>0</v>
      </c>
      <c r="V176">
        <v>0</v>
      </c>
      <c r="W176">
        <v>76</v>
      </c>
      <c r="X176">
        <v>96</v>
      </c>
    </row>
    <row r="177" spans="2:24" x14ac:dyDescent="0.45">
      <c r="B177" t="str">
        <v>C131</v>
      </c>
      <c r="C177" t="str">
        <v>IBRAHIM AHRAZ</v>
      </c>
      <c r="D177" t="str">
        <v>FANT</v>
      </c>
      <c r="E177" t="str">
        <v>SENIOR</v>
      </c>
      <c r="F177">
        <v>6</v>
      </c>
      <c r="G177">
        <v>6</v>
      </c>
      <c r="H177">
        <v>0</v>
      </c>
      <c r="I177">
        <v>6</v>
      </c>
      <c r="J177">
        <v>6</v>
      </c>
      <c r="K177">
        <v>171</v>
      </c>
      <c r="L177">
        <v>171</v>
      </c>
      <c r="N177" t="str">
        <v>C131</v>
      </c>
      <c r="O177" t="str">
        <v>IBRAHIM AHRAZ</v>
      </c>
      <c r="P177" t="str">
        <v>FANT</v>
      </c>
      <c r="Q177" t="str">
        <v>SENIOR</v>
      </c>
      <c r="R177">
        <v>6</v>
      </c>
      <c r="S177">
        <v>0</v>
      </c>
      <c r="T177">
        <v>3</v>
      </c>
      <c r="U177">
        <v>3</v>
      </c>
      <c r="V177">
        <v>3</v>
      </c>
      <c r="W177">
        <v>30</v>
      </c>
      <c r="X177">
        <v>46</v>
      </c>
    </row>
    <row r="178" spans="2:24" x14ac:dyDescent="0.45">
      <c r="B178" t="str">
        <v>C132</v>
      </c>
      <c r="C178" t="str">
        <v>MUHAMMAD SHAZIN</v>
      </c>
      <c r="D178" t="str">
        <v>BADF</v>
      </c>
      <c r="E178" t="str">
        <v>SENIOR</v>
      </c>
      <c r="F178">
        <v>6</v>
      </c>
      <c r="G178">
        <v>1</v>
      </c>
      <c r="H178">
        <v>0</v>
      </c>
      <c r="I178">
        <v>1</v>
      </c>
      <c r="J178">
        <v>1</v>
      </c>
      <c r="K178">
        <v>231</v>
      </c>
      <c r="L178">
        <v>231</v>
      </c>
      <c r="N178" t="str">
        <v>C132</v>
      </c>
      <c r="O178" t="str">
        <v>MUHAMMAD SHAZIN</v>
      </c>
      <c r="P178" t="str">
        <v>BADF</v>
      </c>
      <c r="Q178" t="str">
        <v>SENIOR</v>
      </c>
      <c r="R178">
        <v>6</v>
      </c>
      <c r="S178">
        <v>0</v>
      </c>
      <c r="T178">
        <v>0</v>
      </c>
      <c r="U178">
        <v>0</v>
      </c>
      <c r="V178">
        <v>0</v>
      </c>
      <c r="W178">
        <v>76</v>
      </c>
      <c r="X178">
        <v>96</v>
      </c>
    </row>
    <row r="179" spans="2:24" x14ac:dyDescent="0.45">
      <c r="B179" t="str">
        <v>C133</v>
      </c>
      <c r="C179" t="str">
        <v>SALMANUL FARIS</v>
      </c>
      <c r="D179" t="str">
        <v>DAHF</v>
      </c>
      <c r="E179" t="str">
        <v>SENIOR</v>
      </c>
      <c r="F179">
        <v>6</v>
      </c>
      <c r="G179">
        <v>51</v>
      </c>
      <c r="H179">
        <v>0</v>
      </c>
      <c r="I179">
        <v>51</v>
      </c>
      <c r="J179">
        <v>51</v>
      </c>
      <c r="K179">
        <v>13</v>
      </c>
      <c r="L179">
        <v>13</v>
      </c>
      <c r="N179" t="str">
        <v>C133</v>
      </c>
      <c r="O179" t="str">
        <v>SALMANUL FARIS</v>
      </c>
      <c r="P179" t="str">
        <v>DAHF</v>
      </c>
      <c r="Q179" t="str">
        <v>SENIOR</v>
      </c>
      <c r="R179">
        <v>6</v>
      </c>
      <c r="S179">
        <v>0</v>
      </c>
      <c r="T179">
        <v>0</v>
      </c>
      <c r="U179">
        <v>0</v>
      </c>
      <c r="V179">
        <v>0</v>
      </c>
      <c r="W179">
        <v>76</v>
      </c>
      <c r="X179">
        <v>96</v>
      </c>
    </row>
    <row r="180" spans="2:24" x14ac:dyDescent="0.45">
      <c r="B180" t="str">
        <v>C134</v>
      </c>
      <c r="C180" t="str">
        <v>MUHAMMED ABDUL NASIF P.A</v>
      </c>
      <c r="D180" t="str">
        <v>FANT</v>
      </c>
      <c r="E180" t="str">
        <v>SENIOR</v>
      </c>
      <c r="F180">
        <v>6</v>
      </c>
      <c r="G180">
        <v>0</v>
      </c>
      <c r="H180">
        <v>0</v>
      </c>
      <c r="I180">
        <v>0</v>
      </c>
      <c r="J180">
        <v>0</v>
      </c>
      <c r="K180">
        <v>255</v>
      </c>
      <c r="L180">
        <v>255</v>
      </c>
      <c r="N180" t="str">
        <v>C134</v>
      </c>
      <c r="O180" t="str">
        <v>MUHAMMED ABDUL NASIF P.A</v>
      </c>
      <c r="P180" t="str">
        <v>FANT</v>
      </c>
      <c r="Q180" t="str">
        <v>SENIOR</v>
      </c>
      <c r="R180">
        <v>6</v>
      </c>
      <c r="S180">
        <v>0</v>
      </c>
      <c r="T180">
        <v>8</v>
      </c>
      <c r="U180">
        <v>8</v>
      </c>
      <c r="V180">
        <v>8</v>
      </c>
      <c r="W180">
        <v>5</v>
      </c>
      <c r="X180">
        <v>12</v>
      </c>
    </row>
    <row r="181" spans="2:24" x14ac:dyDescent="0.45">
      <c r="B181" t="str">
        <v>C135</v>
      </c>
      <c r="C181" t="str">
        <v>AHAMAD SHABAB P A</v>
      </c>
      <c r="D181" t="str">
        <v>JARF</v>
      </c>
      <c r="E181" t="str">
        <v>SENIOR</v>
      </c>
      <c r="F181">
        <v>6</v>
      </c>
      <c r="G181">
        <v>73</v>
      </c>
      <c r="H181">
        <v>0</v>
      </c>
      <c r="I181">
        <v>73</v>
      </c>
      <c r="J181">
        <v>73</v>
      </c>
      <c r="K181">
        <v>2</v>
      </c>
      <c r="L181">
        <v>2</v>
      </c>
      <c r="N181" t="str">
        <v>C135</v>
      </c>
      <c r="O181" t="str">
        <v>AHAMAD SHABAB P A</v>
      </c>
      <c r="P181" t="str">
        <v>JARF</v>
      </c>
      <c r="Q181" t="str">
        <v>SENIOR</v>
      </c>
      <c r="R181">
        <v>6</v>
      </c>
      <c r="S181">
        <v>0</v>
      </c>
      <c r="T181">
        <v>0</v>
      </c>
      <c r="U181">
        <v>0</v>
      </c>
      <c r="V181">
        <v>0</v>
      </c>
      <c r="W181">
        <v>76</v>
      </c>
      <c r="X181">
        <v>96</v>
      </c>
    </row>
    <row r="182" spans="2:24" x14ac:dyDescent="0.45">
      <c r="B182" t="str">
        <v>C136</v>
      </c>
      <c r="C182" t="str">
        <v>MOHAMMED SHAKIR HUSSAIN K.Y</v>
      </c>
      <c r="D182" t="str">
        <v>DAHF</v>
      </c>
      <c r="E182" t="str">
        <v>SENIOR</v>
      </c>
      <c r="F182">
        <v>6</v>
      </c>
      <c r="G182">
        <v>72</v>
      </c>
      <c r="H182">
        <v>0</v>
      </c>
      <c r="I182">
        <v>72</v>
      </c>
      <c r="J182">
        <v>72</v>
      </c>
      <c r="K182">
        <v>3</v>
      </c>
      <c r="L182">
        <v>3</v>
      </c>
      <c r="N182" t="str">
        <v>C136</v>
      </c>
      <c r="O182" t="str">
        <v>MOHAMMED SHAKIR HUSSAIN K.Y</v>
      </c>
      <c r="P182" t="str">
        <v>DAHF</v>
      </c>
      <c r="Q182" t="str">
        <v>SENIOR</v>
      </c>
      <c r="R182">
        <v>6</v>
      </c>
      <c r="S182">
        <v>0</v>
      </c>
      <c r="T182">
        <v>0</v>
      </c>
      <c r="U182">
        <v>0</v>
      </c>
      <c r="V182">
        <v>0</v>
      </c>
      <c r="W182">
        <v>76</v>
      </c>
      <c r="X182">
        <v>96</v>
      </c>
    </row>
    <row r="183" spans="2:24" x14ac:dyDescent="0.45">
      <c r="B183" t="str">
        <v>C137</v>
      </c>
      <c r="C183" t="str">
        <v>MUHAMMED SHUHAIB S</v>
      </c>
      <c r="D183" t="str">
        <v>FANT</v>
      </c>
      <c r="E183" t="str">
        <v>SENIOR</v>
      </c>
      <c r="F183">
        <v>6</v>
      </c>
      <c r="G183">
        <v>0</v>
      </c>
      <c r="H183">
        <v>0</v>
      </c>
      <c r="I183">
        <v>0</v>
      </c>
      <c r="J183">
        <v>0</v>
      </c>
      <c r="K183">
        <v>255</v>
      </c>
      <c r="L183">
        <v>255</v>
      </c>
      <c r="N183" t="str">
        <v>C137</v>
      </c>
      <c r="O183" t="str">
        <v>MUHAMMED SHUHAIB S</v>
      </c>
      <c r="P183" t="str">
        <v>FANT</v>
      </c>
      <c r="Q183" t="str">
        <v>SENIOR</v>
      </c>
      <c r="R183">
        <v>6</v>
      </c>
      <c r="S183">
        <v>0</v>
      </c>
      <c r="T183">
        <v>0</v>
      </c>
      <c r="U183">
        <v>0</v>
      </c>
      <c r="V183">
        <v>0</v>
      </c>
      <c r="W183">
        <v>76</v>
      </c>
      <c r="X183">
        <v>96</v>
      </c>
    </row>
    <row r="184" spans="2:24" x14ac:dyDescent="0.45">
      <c r="B184" t="str">
        <v>C138</v>
      </c>
      <c r="C184" t="str">
        <v>MOHAMMED MOINUDDEEN CHISTY</v>
      </c>
      <c r="D184" t="str">
        <v>FANT</v>
      </c>
      <c r="E184" t="str">
        <v>SENIOR</v>
      </c>
      <c r="F184">
        <v>6</v>
      </c>
      <c r="G184">
        <v>8</v>
      </c>
      <c r="H184">
        <v>0</v>
      </c>
      <c r="I184">
        <v>8</v>
      </c>
      <c r="J184">
        <v>8</v>
      </c>
      <c r="K184">
        <v>147</v>
      </c>
      <c r="L184">
        <v>147</v>
      </c>
      <c r="N184" t="str">
        <v>C138</v>
      </c>
      <c r="O184" t="str">
        <v>MOHAMMED MOINUDDEEN CHISTY</v>
      </c>
      <c r="P184" t="str">
        <v>FANT</v>
      </c>
      <c r="Q184" t="str">
        <v>SENIOR</v>
      </c>
      <c r="R184">
        <v>6</v>
      </c>
      <c r="S184">
        <v>0</v>
      </c>
      <c r="T184">
        <v>0</v>
      </c>
      <c r="U184">
        <v>0</v>
      </c>
      <c r="V184">
        <v>0</v>
      </c>
      <c r="W184">
        <v>76</v>
      </c>
      <c r="X184">
        <v>96</v>
      </c>
    </row>
    <row r="185" spans="2:24" x14ac:dyDescent="0.45">
      <c r="B185" t="str">
        <v>C139</v>
      </c>
      <c r="C185" t="str">
        <v>SULAIMAN FAHAD AP</v>
      </c>
      <c r="D185" t="str">
        <v>BADF</v>
      </c>
      <c r="E185" t="str">
        <v>SENIOR</v>
      </c>
      <c r="F185">
        <v>6</v>
      </c>
      <c r="G185">
        <v>1</v>
      </c>
      <c r="H185">
        <v>0</v>
      </c>
      <c r="I185">
        <v>1</v>
      </c>
      <c r="J185">
        <v>1</v>
      </c>
      <c r="K185">
        <v>231</v>
      </c>
      <c r="L185">
        <v>231</v>
      </c>
      <c r="N185" t="str">
        <v>C139</v>
      </c>
      <c r="O185" t="str">
        <v>SULAIMAN FAHAD AP</v>
      </c>
      <c r="P185" t="str">
        <v>BADF</v>
      </c>
      <c r="Q185" t="str">
        <v>SENIOR</v>
      </c>
      <c r="R185">
        <v>6</v>
      </c>
      <c r="S185">
        <v>0</v>
      </c>
      <c r="T185">
        <v>4</v>
      </c>
      <c r="U185">
        <v>4</v>
      </c>
      <c r="V185">
        <v>9</v>
      </c>
      <c r="W185">
        <v>29</v>
      </c>
      <c r="X185">
        <v>11</v>
      </c>
    </row>
    <row r="186" spans="2:24" x14ac:dyDescent="0.45">
      <c r="B186" t="str">
        <v>C140</v>
      </c>
      <c r="C186" t="str">
        <v>IJAS EBRAHIM</v>
      </c>
      <c r="D186" t="str">
        <v>JARF</v>
      </c>
      <c r="E186" t="str">
        <v>SENIOR</v>
      </c>
      <c r="F186">
        <v>6</v>
      </c>
      <c r="G186">
        <v>7</v>
      </c>
      <c r="H186">
        <v>0</v>
      </c>
      <c r="I186">
        <v>7</v>
      </c>
      <c r="J186">
        <v>7</v>
      </c>
      <c r="K186">
        <v>167</v>
      </c>
      <c r="L186">
        <v>167</v>
      </c>
      <c r="N186" t="str">
        <v>C140</v>
      </c>
      <c r="O186" t="str">
        <v>IJAS EBRAHIM</v>
      </c>
      <c r="P186" t="str">
        <v>JARF</v>
      </c>
      <c r="Q186" t="str">
        <v>SENIOR</v>
      </c>
      <c r="R186">
        <v>6</v>
      </c>
      <c r="S186">
        <v>0</v>
      </c>
      <c r="T186">
        <v>0</v>
      </c>
      <c r="U186">
        <v>0</v>
      </c>
      <c r="V186">
        <v>0</v>
      </c>
      <c r="W186">
        <v>76</v>
      </c>
      <c r="X186">
        <v>96</v>
      </c>
    </row>
    <row r="187" spans="2:24" x14ac:dyDescent="0.45">
      <c r="B187" t="str">
        <v>C141</v>
      </c>
      <c r="C187" t="str">
        <v>AHMAD MINHAJ</v>
      </c>
      <c r="D187" t="str">
        <v>BADF</v>
      </c>
      <c r="E187" t="str">
        <v>SENIOR</v>
      </c>
      <c r="F187">
        <v>6</v>
      </c>
      <c r="G187">
        <v>8</v>
      </c>
      <c r="H187">
        <v>0</v>
      </c>
      <c r="I187">
        <v>8</v>
      </c>
      <c r="J187">
        <v>8</v>
      </c>
      <c r="K187">
        <v>147</v>
      </c>
      <c r="L187">
        <v>147</v>
      </c>
      <c r="N187" t="str">
        <v>C141</v>
      </c>
      <c r="O187" t="str">
        <v>AHMAD MINHAJ</v>
      </c>
      <c r="P187" t="str">
        <v>BADF</v>
      </c>
      <c r="Q187" t="str">
        <v>SENIOR</v>
      </c>
      <c r="R187">
        <v>6</v>
      </c>
      <c r="S187">
        <v>0</v>
      </c>
      <c r="T187">
        <v>0</v>
      </c>
      <c r="U187">
        <v>0</v>
      </c>
      <c r="V187">
        <v>0</v>
      </c>
      <c r="W187">
        <v>76</v>
      </c>
      <c r="X187">
        <v>96</v>
      </c>
    </row>
    <row r="188" spans="2:24" x14ac:dyDescent="0.45">
      <c r="B188" t="str">
        <v>C142</v>
      </c>
      <c r="C188" t="str">
        <v>AHMAD AMEEN T S</v>
      </c>
      <c r="D188" t="str">
        <v>FANT</v>
      </c>
      <c r="E188" t="str">
        <v>SENIOR</v>
      </c>
      <c r="F188">
        <v>6</v>
      </c>
      <c r="G188">
        <v>4</v>
      </c>
      <c r="H188">
        <v>0</v>
      </c>
      <c r="I188">
        <v>4</v>
      </c>
      <c r="J188">
        <v>4</v>
      </c>
      <c r="K188">
        <v>197</v>
      </c>
      <c r="L188">
        <v>197</v>
      </c>
      <c r="N188" t="str">
        <v>C142</v>
      </c>
      <c r="O188" t="str">
        <v>AHMAD AMEEN T S</v>
      </c>
      <c r="P188" t="str">
        <v>FANT</v>
      </c>
      <c r="Q188" t="str">
        <v>SENIOR</v>
      </c>
      <c r="R188">
        <v>6</v>
      </c>
      <c r="S188">
        <v>0</v>
      </c>
      <c r="T188">
        <v>0</v>
      </c>
      <c r="U188">
        <v>0</v>
      </c>
      <c r="V188">
        <v>0</v>
      </c>
      <c r="W188">
        <v>76</v>
      </c>
      <c r="X188">
        <v>96</v>
      </c>
    </row>
    <row r="189" spans="2:24" x14ac:dyDescent="0.45">
      <c r="B189" t="str">
        <v>C143</v>
      </c>
      <c r="C189" t="str">
        <v>MUHAMMED SINAN M</v>
      </c>
      <c r="D189" t="str">
        <v>JARF</v>
      </c>
      <c r="E189" t="str">
        <v>SENIOR</v>
      </c>
      <c r="F189">
        <v>6</v>
      </c>
      <c r="G189">
        <v>10</v>
      </c>
      <c r="H189">
        <v>0</v>
      </c>
      <c r="I189">
        <v>10</v>
      </c>
      <c r="J189">
        <v>10</v>
      </c>
      <c r="K189">
        <v>131</v>
      </c>
      <c r="L189">
        <v>131</v>
      </c>
      <c r="N189" t="str">
        <v>C143</v>
      </c>
      <c r="O189" t="str">
        <v>MUHAMMED SINAN M</v>
      </c>
      <c r="P189" t="str">
        <v>JARF</v>
      </c>
      <c r="Q189" t="str">
        <v>SENIOR</v>
      </c>
      <c r="R189">
        <v>6</v>
      </c>
      <c r="S189">
        <v>0</v>
      </c>
      <c r="T189">
        <v>3</v>
      </c>
      <c r="U189">
        <v>3</v>
      </c>
      <c r="V189">
        <v>3</v>
      </c>
      <c r="W189">
        <v>30</v>
      </c>
      <c r="X189">
        <v>46</v>
      </c>
    </row>
    <row r="190" spans="2:24" x14ac:dyDescent="0.45">
      <c r="B190" t="str">
        <v>C144</v>
      </c>
      <c r="C190" t="str">
        <v>MUHAMMED ASHKKAR ALI</v>
      </c>
      <c r="D190" t="str">
        <v>DAHF</v>
      </c>
      <c r="E190" t="str">
        <v>SENIOR</v>
      </c>
      <c r="F190">
        <v>6</v>
      </c>
      <c r="G190">
        <v>2</v>
      </c>
      <c r="H190">
        <v>0</v>
      </c>
      <c r="I190">
        <v>2</v>
      </c>
      <c r="J190">
        <v>2</v>
      </c>
      <c r="K190">
        <v>224</v>
      </c>
      <c r="L190">
        <v>224</v>
      </c>
      <c r="N190" t="str">
        <v>C144</v>
      </c>
      <c r="O190" t="str">
        <v>MUHAMMED ASHKKAR ALI</v>
      </c>
      <c r="P190" t="str">
        <v>DAHF</v>
      </c>
      <c r="Q190" t="str">
        <v>SENIOR</v>
      </c>
      <c r="R190">
        <v>6</v>
      </c>
      <c r="S190">
        <v>0</v>
      </c>
      <c r="T190">
        <v>0</v>
      </c>
      <c r="U190">
        <v>0</v>
      </c>
      <c r="V190">
        <v>0</v>
      </c>
      <c r="W190">
        <v>76</v>
      </c>
      <c r="X190">
        <v>96</v>
      </c>
    </row>
    <row r="191" spans="2:24" x14ac:dyDescent="0.45">
      <c r="B191" t="str">
        <v>C145</v>
      </c>
      <c r="C191" t="str">
        <v>SHAMEEL AHAMMED P</v>
      </c>
      <c r="D191" t="str">
        <v>BADF</v>
      </c>
      <c r="E191" t="str">
        <v>SENIOR</v>
      </c>
      <c r="F191">
        <v>6</v>
      </c>
      <c r="G191">
        <v>38</v>
      </c>
      <c r="H191">
        <v>0</v>
      </c>
      <c r="I191">
        <v>38</v>
      </c>
      <c r="J191">
        <v>38</v>
      </c>
      <c r="K191">
        <v>26</v>
      </c>
      <c r="L191">
        <v>26</v>
      </c>
      <c r="N191" t="str">
        <v>C145</v>
      </c>
      <c r="O191" t="str">
        <v>SHAMEEL AHAMMED P</v>
      </c>
      <c r="P191" t="str">
        <v>BADF</v>
      </c>
      <c r="Q191" t="str">
        <v>SENIOR</v>
      </c>
      <c r="R191">
        <v>6</v>
      </c>
      <c r="S191">
        <v>0</v>
      </c>
      <c r="T191">
        <v>0</v>
      </c>
      <c r="U191">
        <v>0</v>
      </c>
      <c r="V191">
        <v>0</v>
      </c>
      <c r="W191">
        <v>76</v>
      </c>
      <c r="X191">
        <v>96</v>
      </c>
    </row>
    <row r="192" spans="2:24" x14ac:dyDescent="0.45">
      <c r="B192" t="str">
        <v>C146</v>
      </c>
      <c r="C192" t="str">
        <v>IMRAN HUSSAIN TI</v>
      </c>
      <c r="D192" t="str">
        <v>JARF</v>
      </c>
      <c r="E192" t="str">
        <v>SENIOR</v>
      </c>
      <c r="F192">
        <v>6</v>
      </c>
      <c r="G192">
        <v>2</v>
      </c>
      <c r="H192">
        <v>0</v>
      </c>
      <c r="I192">
        <v>2</v>
      </c>
      <c r="J192">
        <v>2</v>
      </c>
      <c r="K192">
        <v>224</v>
      </c>
      <c r="L192">
        <v>224</v>
      </c>
      <c r="N192" t="str">
        <v>C146</v>
      </c>
      <c r="O192" t="str">
        <v>IMRAN HUSSAIN TI</v>
      </c>
      <c r="P192" t="str">
        <v>JARF</v>
      </c>
      <c r="Q192" t="str">
        <v>SENIOR</v>
      </c>
      <c r="R192">
        <v>6</v>
      </c>
      <c r="S192">
        <v>0</v>
      </c>
      <c r="T192">
        <v>0</v>
      </c>
      <c r="U192">
        <v>0</v>
      </c>
      <c r="V192">
        <v>0</v>
      </c>
      <c r="W192">
        <v>76</v>
      </c>
      <c r="X192">
        <v>96</v>
      </c>
    </row>
    <row r="193" spans="2:24" x14ac:dyDescent="0.45">
      <c r="B193" t="str">
        <v>C147</v>
      </c>
      <c r="C193" t="str">
        <v>AHAMED ZAKI FOUZAN T.Z</v>
      </c>
      <c r="D193" t="str">
        <v>JARF</v>
      </c>
      <c r="E193" t="str">
        <v>SENIOR</v>
      </c>
      <c r="F193">
        <v>6</v>
      </c>
      <c r="G193">
        <v>11</v>
      </c>
      <c r="H193">
        <v>0</v>
      </c>
      <c r="I193">
        <v>11</v>
      </c>
      <c r="J193">
        <v>11</v>
      </c>
      <c r="K193">
        <v>123</v>
      </c>
      <c r="L193">
        <v>123</v>
      </c>
      <c r="N193" t="str">
        <v>C147</v>
      </c>
      <c r="O193" t="str">
        <v>AHAMED ZAKI FOUZAN T.Z</v>
      </c>
      <c r="P193" t="str">
        <v>JARF</v>
      </c>
      <c r="Q193" t="str">
        <v>SENIOR</v>
      </c>
      <c r="R193">
        <v>6</v>
      </c>
      <c r="S193">
        <v>0</v>
      </c>
      <c r="T193">
        <v>0</v>
      </c>
      <c r="U193">
        <v>0</v>
      </c>
      <c r="V193">
        <v>12</v>
      </c>
      <c r="W193">
        <v>76</v>
      </c>
      <c r="X193">
        <v>5</v>
      </c>
    </row>
    <row r="194" spans="2:24" x14ac:dyDescent="0.45">
      <c r="B194" t="str">
        <v>C148</v>
      </c>
      <c r="C194" t="str">
        <v>MUHAMMED SHABEEB</v>
      </c>
      <c r="D194" t="str">
        <v>BADF</v>
      </c>
      <c r="E194" t="str">
        <v>SENIOR</v>
      </c>
      <c r="F194">
        <v>6</v>
      </c>
      <c r="G194">
        <v>20</v>
      </c>
      <c r="H194">
        <v>0</v>
      </c>
      <c r="I194">
        <v>20</v>
      </c>
      <c r="J194">
        <v>20</v>
      </c>
      <c r="K194">
        <v>74</v>
      </c>
      <c r="L194">
        <v>74</v>
      </c>
      <c r="N194" t="str">
        <v>C148</v>
      </c>
      <c r="O194" t="str">
        <v>MUHAMMED SHABEEB</v>
      </c>
      <c r="P194" t="str">
        <v>BADF</v>
      </c>
      <c r="Q194" t="str">
        <v>SENIOR</v>
      </c>
      <c r="R194">
        <v>6</v>
      </c>
      <c r="S194">
        <v>0</v>
      </c>
      <c r="T194">
        <v>0</v>
      </c>
      <c r="U194">
        <v>0</v>
      </c>
      <c r="V194">
        <v>3</v>
      </c>
      <c r="W194">
        <v>76</v>
      </c>
      <c r="X194">
        <v>46</v>
      </c>
    </row>
    <row r="195" spans="2:24" x14ac:dyDescent="0.45">
      <c r="B195" t="str">
        <v>C149</v>
      </c>
      <c r="C195" t="str">
        <v>ABDUL BAAIS N.A</v>
      </c>
      <c r="D195" t="str">
        <v>FANT</v>
      </c>
      <c r="E195" t="str">
        <v>SENIOR</v>
      </c>
      <c r="F195">
        <v>6</v>
      </c>
      <c r="G195">
        <v>6</v>
      </c>
      <c r="H195">
        <v>0</v>
      </c>
      <c r="I195">
        <v>6</v>
      </c>
      <c r="J195">
        <v>6</v>
      </c>
      <c r="K195">
        <v>171</v>
      </c>
      <c r="L195">
        <v>171</v>
      </c>
      <c r="N195" t="str">
        <v>C149</v>
      </c>
      <c r="O195" t="str">
        <v>ABDUL BAAIS N.A</v>
      </c>
      <c r="P195" t="str">
        <v>FANT</v>
      </c>
      <c r="Q195" t="str">
        <v>SENIOR</v>
      </c>
      <c r="R195">
        <v>6</v>
      </c>
      <c r="S195">
        <v>0</v>
      </c>
      <c r="T195">
        <v>0</v>
      </c>
      <c r="U195">
        <v>0</v>
      </c>
      <c r="V195">
        <v>0</v>
      </c>
      <c r="W195">
        <v>76</v>
      </c>
      <c r="X195">
        <v>96</v>
      </c>
    </row>
    <row r="196" spans="2:24" x14ac:dyDescent="0.45">
      <c r="B196" t="str">
        <v>C150</v>
      </c>
      <c r="C196" t="str">
        <v>MUHAMMED PK</v>
      </c>
      <c r="D196" t="str">
        <v>DAHF</v>
      </c>
      <c r="E196" t="str">
        <v>SENIOR</v>
      </c>
      <c r="F196">
        <v>6</v>
      </c>
      <c r="G196">
        <v>14</v>
      </c>
      <c r="H196">
        <v>0</v>
      </c>
      <c r="I196">
        <v>14</v>
      </c>
      <c r="J196">
        <v>14</v>
      </c>
      <c r="K196">
        <v>104</v>
      </c>
      <c r="L196">
        <v>104</v>
      </c>
      <c r="N196" t="str">
        <v>C150</v>
      </c>
      <c r="O196" t="str">
        <v>MUHAMMED PK</v>
      </c>
      <c r="P196" t="str">
        <v>DAHF</v>
      </c>
      <c r="Q196" t="str">
        <v>SENIOR</v>
      </c>
      <c r="R196">
        <v>6</v>
      </c>
      <c r="S196">
        <v>0</v>
      </c>
      <c r="T196">
        <v>0</v>
      </c>
      <c r="U196">
        <v>0</v>
      </c>
      <c r="V196">
        <v>0</v>
      </c>
      <c r="W196">
        <v>76</v>
      </c>
      <c r="X196">
        <v>96</v>
      </c>
    </row>
    <row r="197" spans="2:24" x14ac:dyDescent="0.45">
      <c r="B197" t="str">
        <v>C151</v>
      </c>
      <c r="C197" t="str">
        <v>MOHAMMED ASHMIL K A</v>
      </c>
      <c r="D197" t="str">
        <v>JARF</v>
      </c>
      <c r="E197" t="str">
        <v>SENIOR</v>
      </c>
      <c r="F197">
        <v>6</v>
      </c>
      <c r="G197">
        <v>6</v>
      </c>
      <c r="H197">
        <v>0</v>
      </c>
      <c r="I197">
        <v>6</v>
      </c>
      <c r="J197">
        <v>6</v>
      </c>
      <c r="K197">
        <v>171</v>
      </c>
      <c r="L197">
        <v>171</v>
      </c>
      <c r="N197" t="str">
        <v>C151</v>
      </c>
      <c r="O197" t="str">
        <v>MOHAMMED ASHMIL K A</v>
      </c>
      <c r="P197" t="str">
        <v>JARF</v>
      </c>
      <c r="Q197" t="str">
        <v>SENIOR</v>
      </c>
      <c r="R197">
        <v>6</v>
      </c>
      <c r="S197">
        <v>5</v>
      </c>
      <c r="T197">
        <v>0</v>
      </c>
      <c r="U197">
        <v>5</v>
      </c>
      <c r="V197">
        <v>5</v>
      </c>
      <c r="W197">
        <v>13</v>
      </c>
      <c r="X197">
        <v>24</v>
      </c>
    </row>
    <row r="198" spans="2:24" x14ac:dyDescent="0.45">
      <c r="B198" t="str">
        <v>C152</v>
      </c>
      <c r="C198" t="str">
        <v>MUHAMMED SABITH ALI TM</v>
      </c>
      <c r="D198" t="str">
        <v>JARF</v>
      </c>
      <c r="E198" t="str">
        <v>SENIOR</v>
      </c>
      <c r="F198">
        <v>6</v>
      </c>
      <c r="G198">
        <v>6</v>
      </c>
      <c r="H198">
        <v>0</v>
      </c>
      <c r="I198">
        <v>6</v>
      </c>
      <c r="J198">
        <v>6</v>
      </c>
      <c r="K198">
        <v>171</v>
      </c>
      <c r="L198">
        <v>171</v>
      </c>
      <c r="N198" t="str">
        <v>C152</v>
      </c>
      <c r="O198" t="str">
        <v>MUHAMMED SABITH ALI TM</v>
      </c>
      <c r="P198" t="str">
        <v>JARF</v>
      </c>
      <c r="Q198" t="str">
        <v>SENIOR</v>
      </c>
      <c r="R198">
        <v>6</v>
      </c>
      <c r="S198">
        <v>0</v>
      </c>
      <c r="T198">
        <v>0</v>
      </c>
      <c r="U198">
        <v>0</v>
      </c>
      <c r="V198">
        <v>3</v>
      </c>
      <c r="W198">
        <v>76</v>
      </c>
      <c r="X198">
        <v>46</v>
      </c>
    </row>
    <row r="199" spans="2:24" x14ac:dyDescent="0.45">
      <c r="B199" t="str">
        <v>C153</v>
      </c>
      <c r="C199" t="str">
        <v>MUHAMMED AHMASH K</v>
      </c>
      <c r="D199" t="str">
        <v>DAHF</v>
      </c>
      <c r="E199" t="str">
        <v>SENIOR</v>
      </c>
      <c r="F199">
        <v>6</v>
      </c>
      <c r="G199">
        <v>4</v>
      </c>
      <c r="H199">
        <v>0</v>
      </c>
      <c r="I199">
        <v>4</v>
      </c>
      <c r="J199">
        <v>4</v>
      </c>
      <c r="K199">
        <v>197</v>
      </c>
      <c r="L199">
        <v>197</v>
      </c>
      <c r="N199" t="str">
        <v>C153</v>
      </c>
      <c r="O199" t="str">
        <v>MUHAMMED AHMASH K</v>
      </c>
      <c r="P199" t="str">
        <v>DAHF</v>
      </c>
      <c r="Q199" t="str">
        <v>SENIOR</v>
      </c>
      <c r="R199">
        <v>6</v>
      </c>
      <c r="S199">
        <v>0</v>
      </c>
      <c r="T199">
        <v>0</v>
      </c>
      <c r="U199">
        <v>0</v>
      </c>
      <c r="V199">
        <v>0</v>
      </c>
      <c r="W199">
        <v>76</v>
      </c>
      <c r="X199">
        <v>96</v>
      </c>
    </row>
    <row r="200" spans="2:24" x14ac:dyDescent="0.45">
      <c r="B200" t="str">
        <v>C154</v>
      </c>
      <c r="C200" t="str">
        <v>MOHAMMED RAZEEN S.P</v>
      </c>
      <c r="D200" t="str">
        <v>DAHF</v>
      </c>
      <c r="E200" t="str">
        <v>SENIOR</v>
      </c>
      <c r="F200">
        <v>6</v>
      </c>
      <c r="G200">
        <v>26.5</v>
      </c>
      <c r="H200">
        <v>0</v>
      </c>
      <c r="I200">
        <v>26.5</v>
      </c>
      <c r="J200">
        <v>26.5</v>
      </c>
      <c r="K200">
        <v>56</v>
      </c>
      <c r="L200">
        <v>56</v>
      </c>
      <c r="N200" t="str">
        <v>C154</v>
      </c>
      <c r="O200" t="str">
        <v>MOHAMMED RAZEEN S.P</v>
      </c>
      <c r="P200" t="str">
        <v>DAHF</v>
      </c>
      <c r="Q200" t="str">
        <v>SENIOR</v>
      </c>
      <c r="R200">
        <v>6</v>
      </c>
      <c r="S200">
        <v>0</v>
      </c>
      <c r="T200">
        <v>0</v>
      </c>
      <c r="U200">
        <v>0</v>
      </c>
      <c r="V200">
        <v>0</v>
      </c>
      <c r="W200">
        <v>76</v>
      </c>
      <c r="X200">
        <v>96</v>
      </c>
    </row>
    <row r="201" spans="2:24" x14ac:dyDescent="0.45">
      <c r="B201" t="str">
        <v>C155</v>
      </c>
      <c r="C201" t="str">
        <v>HASSAN ZARKASH</v>
      </c>
      <c r="D201" t="str">
        <v>FANT</v>
      </c>
      <c r="E201" t="str">
        <v>SENIOR</v>
      </c>
      <c r="F201">
        <v>6</v>
      </c>
      <c r="G201">
        <v>33</v>
      </c>
      <c r="H201">
        <v>0</v>
      </c>
      <c r="I201">
        <v>33</v>
      </c>
      <c r="J201">
        <v>33</v>
      </c>
      <c r="K201">
        <v>37</v>
      </c>
      <c r="L201">
        <v>37</v>
      </c>
      <c r="N201" t="str">
        <v>C155</v>
      </c>
      <c r="O201" t="str">
        <v>HASSAN ZARKASH</v>
      </c>
      <c r="P201" t="str">
        <v>FANT</v>
      </c>
      <c r="Q201" t="str">
        <v>SENIOR</v>
      </c>
      <c r="R201">
        <v>6</v>
      </c>
      <c r="S201">
        <v>0</v>
      </c>
      <c r="T201">
        <v>0</v>
      </c>
      <c r="U201">
        <v>0</v>
      </c>
      <c r="V201">
        <v>0</v>
      </c>
      <c r="W201">
        <v>76</v>
      </c>
      <c r="X201">
        <v>96</v>
      </c>
    </row>
    <row r="202" spans="2:24" x14ac:dyDescent="0.45">
      <c r="B202" t="str">
        <v>C156</v>
      </c>
      <c r="C202" t="str">
        <v>ABDULLA RAMSHAD</v>
      </c>
      <c r="D202" t="str">
        <v>FANT</v>
      </c>
      <c r="E202" t="str">
        <v>SENIOR</v>
      </c>
      <c r="F202">
        <v>6</v>
      </c>
      <c r="G202">
        <v>14</v>
      </c>
      <c r="H202">
        <v>0</v>
      </c>
      <c r="I202">
        <v>14</v>
      </c>
      <c r="J202">
        <v>14</v>
      </c>
      <c r="K202">
        <v>104</v>
      </c>
      <c r="L202">
        <v>104</v>
      </c>
      <c r="N202" t="str">
        <v>C156</v>
      </c>
      <c r="O202" t="str">
        <v>ABDULLA RAMSHAD</v>
      </c>
      <c r="P202" t="str">
        <v>FANT</v>
      </c>
      <c r="Q202" t="str">
        <v>SENIOR</v>
      </c>
      <c r="R202">
        <v>6</v>
      </c>
      <c r="S202">
        <v>0</v>
      </c>
      <c r="T202">
        <v>0</v>
      </c>
      <c r="U202">
        <v>0</v>
      </c>
      <c r="V202">
        <v>0</v>
      </c>
      <c r="W202">
        <v>76</v>
      </c>
      <c r="X202">
        <v>96</v>
      </c>
    </row>
    <row r="203" spans="2:24" x14ac:dyDescent="0.45">
      <c r="B203" t="str">
        <v>C157</v>
      </c>
      <c r="C203" t="str">
        <v>HASAN YASIR</v>
      </c>
      <c r="D203" t="str">
        <v>BADF</v>
      </c>
      <c r="E203" t="str">
        <v>SENIOR</v>
      </c>
      <c r="F203">
        <v>6</v>
      </c>
      <c r="G203">
        <v>1</v>
      </c>
      <c r="H203">
        <v>0</v>
      </c>
      <c r="I203">
        <v>1</v>
      </c>
      <c r="J203">
        <v>1</v>
      </c>
      <c r="K203">
        <v>231</v>
      </c>
      <c r="L203">
        <v>231</v>
      </c>
      <c r="N203" t="str">
        <v>C157</v>
      </c>
      <c r="O203" t="str">
        <v>HASAN YASIR</v>
      </c>
      <c r="P203" t="str">
        <v>BADF</v>
      </c>
      <c r="Q203" t="str">
        <v>SENIOR</v>
      </c>
      <c r="R203">
        <v>6</v>
      </c>
      <c r="S203">
        <v>0</v>
      </c>
      <c r="T203">
        <v>0</v>
      </c>
      <c r="U203">
        <v>0</v>
      </c>
      <c r="V203">
        <v>0</v>
      </c>
      <c r="W203">
        <v>76</v>
      </c>
      <c r="X203">
        <v>96</v>
      </c>
    </row>
    <row r="204" spans="2:24" x14ac:dyDescent="0.45">
      <c r="B204" t="str">
        <v>C158</v>
      </c>
      <c r="C204" t="str">
        <v>ABDUL FATHAH AHAMMED C</v>
      </c>
      <c r="D204" t="str">
        <v>DAHF</v>
      </c>
      <c r="E204" t="str">
        <v>SENIOR</v>
      </c>
      <c r="F204">
        <v>6</v>
      </c>
      <c r="G204">
        <v>6</v>
      </c>
      <c r="H204">
        <v>0</v>
      </c>
      <c r="I204">
        <v>6</v>
      </c>
      <c r="J204">
        <v>6</v>
      </c>
      <c r="K204">
        <v>171</v>
      </c>
      <c r="L204">
        <v>171</v>
      </c>
      <c r="N204" t="str">
        <v>C158</v>
      </c>
      <c r="O204" t="str">
        <v>ABDUL FATHAH AHAMMED C</v>
      </c>
      <c r="P204" t="str">
        <v>DAHF</v>
      </c>
      <c r="Q204" t="str">
        <v>SENIOR</v>
      </c>
      <c r="R204">
        <v>6</v>
      </c>
      <c r="S204">
        <v>0</v>
      </c>
      <c r="T204">
        <v>0</v>
      </c>
      <c r="U204">
        <v>0</v>
      </c>
      <c r="V204">
        <v>0</v>
      </c>
      <c r="W204">
        <v>76</v>
      </c>
      <c r="X204">
        <v>96</v>
      </c>
    </row>
    <row r="205" spans="2:24" x14ac:dyDescent="0.45">
      <c r="B205" t="str">
        <v>C159</v>
      </c>
      <c r="C205" t="str">
        <v>MUHAMMED KAIF BS</v>
      </c>
      <c r="D205" t="str">
        <v>BADF</v>
      </c>
      <c r="E205" t="str">
        <v>SENIOR</v>
      </c>
      <c r="F205">
        <v>6</v>
      </c>
      <c r="G205">
        <v>12</v>
      </c>
      <c r="H205">
        <v>0</v>
      </c>
      <c r="I205">
        <v>12</v>
      </c>
      <c r="J205">
        <v>12</v>
      </c>
      <c r="K205">
        <v>119</v>
      </c>
      <c r="L205">
        <v>119</v>
      </c>
      <c r="N205" t="str">
        <v>C159</v>
      </c>
      <c r="O205" t="str">
        <v>MUHAMMED KAIF BS</v>
      </c>
      <c r="P205" t="str">
        <v>BADF</v>
      </c>
      <c r="Q205" t="str">
        <v>SENIOR</v>
      </c>
      <c r="R205">
        <v>6</v>
      </c>
      <c r="S205">
        <v>0</v>
      </c>
      <c r="T205">
        <v>0</v>
      </c>
      <c r="U205">
        <v>0</v>
      </c>
      <c r="V205">
        <v>0</v>
      </c>
      <c r="W205">
        <v>76</v>
      </c>
      <c r="X205">
        <v>96</v>
      </c>
    </row>
    <row r="206" spans="2:24" x14ac:dyDescent="0.45">
      <c r="B206" t="str">
        <v>C160</v>
      </c>
      <c r="C206" t="str">
        <v>AJMAL AM</v>
      </c>
      <c r="D206" t="str">
        <v>BADF</v>
      </c>
      <c r="E206" t="str">
        <v>SENIOR</v>
      </c>
      <c r="F206">
        <v>7</v>
      </c>
      <c r="G206">
        <v>3</v>
      </c>
      <c r="H206">
        <v>0</v>
      </c>
      <c r="I206">
        <v>3</v>
      </c>
      <c r="J206">
        <v>3</v>
      </c>
      <c r="K206">
        <v>209</v>
      </c>
      <c r="L206">
        <v>209</v>
      </c>
      <c r="N206" t="str">
        <v>C160</v>
      </c>
      <c r="O206" t="str">
        <v>AJMAL AM</v>
      </c>
      <c r="P206" t="str">
        <v>BADF</v>
      </c>
      <c r="Q206" t="str">
        <v>SENIOR</v>
      </c>
      <c r="R206">
        <v>7</v>
      </c>
      <c r="S206">
        <v>0</v>
      </c>
      <c r="T206">
        <v>0</v>
      </c>
      <c r="U206">
        <v>0</v>
      </c>
      <c r="V206">
        <v>0</v>
      </c>
      <c r="W206">
        <v>76</v>
      </c>
      <c r="X206">
        <v>96</v>
      </c>
    </row>
    <row r="207" spans="2:24" x14ac:dyDescent="0.45">
      <c r="B207" t="str">
        <v>C161</v>
      </c>
      <c r="C207" t="str">
        <v>MOHAMMED ABDUL KHADER NABAVI E A</v>
      </c>
      <c r="D207" t="str">
        <v>DAHF</v>
      </c>
      <c r="E207" t="str">
        <v>SENIOR</v>
      </c>
      <c r="F207">
        <v>7</v>
      </c>
      <c r="G207">
        <v>0</v>
      </c>
      <c r="H207">
        <v>0</v>
      </c>
      <c r="I207">
        <v>0</v>
      </c>
      <c r="J207">
        <v>0</v>
      </c>
      <c r="K207">
        <v>255</v>
      </c>
      <c r="L207">
        <v>255</v>
      </c>
      <c r="N207" t="str">
        <v>C161</v>
      </c>
      <c r="O207" t="str">
        <v>MOHAMMED ABDUL KHADER NABAVI E A</v>
      </c>
      <c r="P207" t="str">
        <v>DAHF</v>
      </c>
      <c r="Q207" t="str">
        <v>SENIOR</v>
      </c>
      <c r="R207">
        <v>7</v>
      </c>
      <c r="S207">
        <v>3</v>
      </c>
      <c r="T207">
        <v>0</v>
      </c>
      <c r="U207">
        <v>3</v>
      </c>
      <c r="V207">
        <v>4</v>
      </c>
      <c r="W207">
        <v>30</v>
      </c>
      <c r="X207">
        <v>40</v>
      </c>
    </row>
    <row r="208" spans="2:24" x14ac:dyDescent="0.45">
      <c r="B208" t="str">
        <v>C162</v>
      </c>
      <c r="C208" t="str">
        <v>MUHAMMAD K.A</v>
      </c>
      <c r="D208" t="str">
        <v>FANT</v>
      </c>
      <c r="E208" t="str">
        <v>SENIOR</v>
      </c>
      <c r="F208">
        <v>7</v>
      </c>
      <c r="G208">
        <v>11</v>
      </c>
      <c r="H208">
        <v>0</v>
      </c>
      <c r="I208">
        <v>11</v>
      </c>
      <c r="J208">
        <v>11</v>
      </c>
      <c r="K208">
        <v>123</v>
      </c>
      <c r="L208">
        <v>123</v>
      </c>
      <c r="N208" t="str">
        <v>C162</v>
      </c>
      <c r="O208" t="str">
        <v>MUHAMMAD K.A</v>
      </c>
      <c r="P208" t="str">
        <v>FANT</v>
      </c>
      <c r="Q208" t="str">
        <v>SENIOR</v>
      </c>
      <c r="R208">
        <v>7</v>
      </c>
      <c r="S208">
        <v>0</v>
      </c>
      <c r="T208">
        <v>3</v>
      </c>
      <c r="U208">
        <v>3</v>
      </c>
      <c r="V208">
        <v>8</v>
      </c>
      <c r="W208">
        <v>30</v>
      </c>
      <c r="X208">
        <v>12</v>
      </c>
    </row>
    <row r="209" spans="2:24" x14ac:dyDescent="0.45">
      <c r="B209" t="str">
        <v>C163</v>
      </c>
      <c r="C209" t="str">
        <v>MOHAMMED SAHEED A.K</v>
      </c>
      <c r="D209" t="str">
        <v>JARF</v>
      </c>
      <c r="E209" t="str">
        <v>SENIOR</v>
      </c>
      <c r="F209">
        <v>7</v>
      </c>
      <c r="G209">
        <v>12</v>
      </c>
      <c r="H209">
        <v>0</v>
      </c>
      <c r="I209">
        <v>12</v>
      </c>
      <c r="J209">
        <v>12</v>
      </c>
      <c r="K209">
        <v>119</v>
      </c>
      <c r="L209">
        <v>119</v>
      </c>
      <c r="N209" t="str">
        <v>C163</v>
      </c>
      <c r="O209" t="str">
        <v>MOHAMMED SAHEED A.K</v>
      </c>
      <c r="P209" t="str">
        <v>JARF</v>
      </c>
      <c r="Q209" t="str">
        <v>SENIOR</v>
      </c>
      <c r="R209">
        <v>7</v>
      </c>
      <c r="S209">
        <v>0</v>
      </c>
      <c r="T209">
        <v>0</v>
      </c>
      <c r="U209">
        <v>0</v>
      </c>
      <c r="V209">
        <v>0</v>
      </c>
      <c r="W209">
        <v>76</v>
      </c>
      <c r="X209">
        <v>96</v>
      </c>
    </row>
    <row r="210" spans="2:24" x14ac:dyDescent="0.45">
      <c r="B210" t="str">
        <v>C164</v>
      </c>
      <c r="C210" t="str">
        <v>AHMED FAHEEM MA</v>
      </c>
      <c r="D210" t="str">
        <v>FANT</v>
      </c>
      <c r="E210" t="str">
        <v>SENIOR</v>
      </c>
      <c r="F210">
        <v>7</v>
      </c>
      <c r="G210">
        <v>9</v>
      </c>
      <c r="H210">
        <v>0</v>
      </c>
      <c r="I210">
        <v>9</v>
      </c>
      <c r="J210">
        <v>9</v>
      </c>
      <c r="K210">
        <v>139</v>
      </c>
      <c r="L210">
        <v>139</v>
      </c>
      <c r="N210" t="str">
        <v>C164</v>
      </c>
      <c r="O210" t="str">
        <v>AHMED FAHEEM MA</v>
      </c>
      <c r="P210" t="str">
        <v>FANT</v>
      </c>
      <c r="Q210" t="str">
        <v>SENIOR</v>
      </c>
      <c r="R210">
        <v>7</v>
      </c>
      <c r="S210">
        <v>0</v>
      </c>
      <c r="T210">
        <v>0</v>
      </c>
      <c r="U210">
        <v>0</v>
      </c>
      <c r="V210">
        <v>0</v>
      </c>
      <c r="W210">
        <v>76</v>
      </c>
      <c r="X210">
        <v>96</v>
      </c>
    </row>
    <row r="211" spans="2:24" x14ac:dyDescent="0.45">
      <c r="B211" t="str">
        <v>C165</v>
      </c>
      <c r="C211" t="str">
        <v>MUHAMMAD IBN AHMAD</v>
      </c>
      <c r="D211" t="str">
        <v>JARF</v>
      </c>
      <c r="E211" t="str">
        <v>SENIOR</v>
      </c>
      <c r="F211">
        <v>7</v>
      </c>
      <c r="G211">
        <v>52</v>
      </c>
      <c r="H211">
        <v>0</v>
      </c>
      <c r="I211">
        <v>52</v>
      </c>
      <c r="J211">
        <v>52</v>
      </c>
      <c r="K211">
        <v>11</v>
      </c>
      <c r="L211">
        <v>11</v>
      </c>
      <c r="N211" t="str">
        <v>C165</v>
      </c>
      <c r="O211" t="str">
        <v>MUHAMMAD IBN AHMAD</v>
      </c>
      <c r="P211" t="str">
        <v>JARF</v>
      </c>
      <c r="Q211" t="str">
        <v>SENIOR</v>
      </c>
      <c r="R211">
        <v>7</v>
      </c>
      <c r="S211">
        <v>0</v>
      </c>
      <c r="T211">
        <v>0</v>
      </c>
      <c r="U211">
        <v>0</v>
      </c>
      <c r="V211">
        <v>0</v>
      </c>
      <c r="W211">
        <v>76</v>
      </c>
      <c r="X211">
        <v>96</v>
      </c>
    </row>
    <row r="212" spans="2:24" x14ac:dyDescent="0.45">
      <c r="B212" t="str">
        <v>C166</v>
      </c>
      <c r="C212" t="str">
        <v>RESWAN</v>
      </c>
      <c r="D212" t="str">
        <v>DAHF</v>
      </c>
      <c r="E212" t="str">
        <v>SENIOR</v>
      </c>
      <c r="F212">
        <v>7</v>
      </c>
      <c r="G212">
        <v>14</v>
      </c>
      <c r="H212">
        <v>0</v>
      </c>
      <c r="I212">
        <v>14</v>
      </c>
      <c r="J212">
        <v>14</v>
      </c>
      <c r="K212">
        <v>104</v>
      </c>
      <c r="L212">
        <v>104</v>
      </c>
      <c r="N212" t="str">
        <v>C166</v>
      </c>
      <c r="O212" t="str">
        <v>RESWAN</v>
      </c>
      <c r="P212" t="str">
        <v>DAHF</v>
      </c>
      <c r="Q212" t="str">
        <v>SENIOR</v>
      </c>
      <c r="R212">
        <v>7</v>
      </c>
      <c r="S212">
        <v>0</v>
      </c>
      <c r="T212">
        <v>0</v>
      </c>
      <c r="U212">
        <v>0</v>
      </c>
      <c r="V212">
        <v>1</v>
      </c>
      <c r="W212">
        <v>76</v>
      </c>
      <c r="X212">
        <v>69</v>
      </c>
    </row>
    <row r="213" spans="2:24" x14ac:dyDescent="0.45">
      <c r="B213" t="str">
        <v>C167</v>
      </c>
      <c r="C213" t="str">
        <v>MUHAMMED MUJTHABA MK</v>
      </c>
      <c r="D213" t="str">
        <v>JARF</v>
      </c>
      <c r="E213" t="str">
        <v>SENIOR</v>
      </c>
      <c r="F213">
        <v>7</v>
      </c>
      <c r="G213">
        <v>18</v>
      </c>
      <c r="H213">
        <v>0</v>
      </c>
      <c r="I213">
        <v>18</v>
      </c>
      <c r="J213">
        <v>18</v>
      </c>
      <c r="K213">
        <v>81</v>
      </c>
      <c r="L213">
        <v>81</v>
      </c>
      <c r="N213" t="str">
        <v>C167</v>
      </c>
      <c r="O213" t="str">
        <v>MUHAMMED MUJTHABA MK</v>
      </c>
      <c r="P213" t="str">
        <v>JARF</v>
      </c>
      <c r="Q213" t="str">
        <v>SENIOR</v>
      </c>
      <c r="R213">
        <v>7</v>
      </c>
      <c r="S213">
        <v>0</v>
      </c>
      <c r="T213">
        <v>0</v>
      </c>
      <c r="U213">
        <v>0</v>
      </c>
      <c r="V213">
        <v>0</v>
      </c>
      <c r="W213">
        <v>76</v>
      </c>
      <c r="X213">
        <v>96</v>
      </c>
    </row>
    <row r="214" spans="2:24" x14ac:dyDescent="0.45">
      <c r="B214" t="str">
        <v>C168</v>
      </c>
      <c r="C214" t="str">
        <v>MUHAMMED SHAHAN P.S</v>
      </c>
      <c r="D214" t="str">
        <v>FANT</v>
      </c>
      <c r="E214" t="str">
        <v>SENIOR</v>
      </c>
      <c r="F214">
        <v>7</v>
      </c>
      <c r="G214">
        <v>41</v>
      </c>
      <c r="H214">
        <v>0</v>
      </c>
      <c r="I214">
        <v>41</v>
      </c>
      <c r="J214">
        <v>41</v>
      </c>
      <c r="K214">
        <v>21</v>
      </c>
      <c r="L214">
        <v>21</v>
      </c>
      <c r="N214" t="str">
        <v>C168</v>
      </c>
      <c r="O214" t="str">
        <v>MUHAMMED SHAHAN P.S</v>
      </c>
      <c r="P214" t="str">
        <v>FANT</v>
      </c>
      <c r="Q214" t="str">
        <v>SENIOR</v>
      </c>
      <c r="R214">
        <v>7</v>
      </c>
      <c r="S214">
        <v>0</v>
      </c>
      <c r="T214">
        <v>0</v>
      </c>
      <c r="U214">
        <v>0</v>
      </c>
      <c r="V214">
        <v>0</v>
      </c>
      <c r="W214">
        <v>76</v>
      </c>
      <c r="X214">
        <v>96</v>
      </c>
    </row>
    <row r="215" spans="2:24" x14ac:dyDescent="0.45">
      <c r="B215" t="str">
        <v>C169</v>
      </c>
      <c r="C215" t="str">
        <v>MOHAMMED THAJUDDEEN A R P</v>
      </c>
      <c r="D215" t="str">
        <v>BADF</v>
      </c>
      <c r="E215" t="str">
        <v>SENIOR</v>
      </c>
      <c r="F215">
        <v>7</v>
      </c>
      <c r="G215">
        <v>0</v>
      </c>
      <c r="H215">
        <v>0</v>
      </c>
      <c r="I215">
        <v>0</v>
      </c>
      <c r="J215">
        <v>0</v>
      </c>
      <c r="K215">
        <v>255</v>
      </c>
      <c r="L215">
        <v>255</v>
      </c>
      <c r="N215" t="str">
        <v>C169</v>
      </c>
      <c r="O215" t="str">
        <v>MOHAMMED THAJUDDEEN A R P</v>
      </c>
      <c r="P215" t="str">
        <v>BADF</v>
      </c>
      <c r="Q215" t="str">
        <v>SENIOR</v>
      </c>
      <c r="R215">
        <v>7</v>
      </c>
      <c r="S215">
        <v>0</v>
      </c>
      <c r="T215">
        <v>1</v>
      </c>
      <c r="U215">
        <v>1</v>
      </c>
      <c r="V215">
        <v>4</v>
      </c>
      <c r="W215">
        <v>54</v>
      </c>
      <c r="X215">
        <v>40</v>
      </c>
    </row>
    <row r="216" spans="2:24" x14ac:dyDescent="0.45">
      <c r="B216" t="str">
        <v>C170</v>
      </c>
      <c r="C216" t="str">
        <v>RUMAIZALI R IBRAHIM</v>
      </c>
      <c r="D216" t="str">
        <v>BADF</v>
      </c>
      <c r="E216" t="str">
        <v>SENIOR</v>
      </c>
      <c r="F216">
        <v>7</v>
      </c>
      <c r="G216">
        <v>52</v>
      </c>
      <c r="H216">
        <v>0</v>
      </c>
      <c r="I216">
        <v>52</v>
      </c>
      <c r="J216">
        <v>52</v>
      </c>
      <c r="K216">
        <v>11</v>
      </c>
      <c r="L216">
        <v>11</v>
      </c>
      <c r="N216" t="str">
        <v>C170</v>
      </c>
      <c r="O216" t="str">
        <v>RUMAIZALI R IBRAHIM</v>
      </c>
      <c r="P216" t="str">
        <v>BADF</v>
      </c>
      <c r="Q216" t="str">
        <v>SENIOR</v>
      </c>
      <c r="R216">
        <v>7</v>
      </c>
      <c r="S216">
        <v>0</v>
      </c>
      <c r="T216">
        <v>1</v>
      </c>
      <c r="U216">
        <v>1</v>
      </c>
      <c r="V216">
        <v>1</v>
      </c>
      <c r="W216">
        <v>54</v>
      </c>
      <c r="X216">
        <v>69</v>
      </c>
    </row>
    <row r="217" spans="2:24" x14ac:dyDescent="0.45">
      <c r="B217" t="str">
        <v>C171</v>
      </c>
      <c r="C217" t="str">
        <v>MUHAMMED THASLEEM</v>
      </c>
      <c r="D217" t="str">
        <v>BADF</v>
      </c>
      <c r="E217" t="str">
        <v>SENIOR</v>
      </c>
      <c r="F217">
        <v>7</v>
      </c>
      <c r="G217">
        <v>23</v>
      </c>
      <c r="H217">
        <v>0</v>
      </c>
      <c r="I217">
        <v>23</v>
      </c>
      <c r="J217">
        <v>23</v>
      </c>
      <c r="K217">
        <v>68</v>
      </c>
      <c r="L217">
        <v>68</v>
      </c>
      <c r="N217" t="str">
        <v>C171</v>
      </c>
      <c r="O217" t="str">
        <v>MUHAMMED THASLEEM</v>
      </c>
      <c r="P217" t="str">
        <v>BADF</v>
      </c>
      <c r="Q217" t="str">
        <v>SENIOR</v>
      </c>
      <c r="R217">
        <v>7</v>
      </c>
      <c r="S217">
        <v>1</v>
      </c>
      <c r="T217">
        <v>1</v>
      </c>
      <c r="U217">
        <v>2</v>
      </c>
      <c r="V217">
        <v>10</v>
      </c>
      <c r="W217">
        <v>53</v>
      </c>
      <c r="X217">
        <v>7</v>
      </c>
    </row>
    <row r="218" spans="2:24" x14ac:dyDescent="0.45">
      <c r="B218" t="str">
        <v>C172</v>
      </c>
      <c r="C218" t="str">
        <v>AHAMED SHAMMAS C.M</v>
      </c>
      <c r="D218" t="str">
        <v>DAHF</v>
      </c>
      <c r="E218" t="str">
        <v>SENIOR</v>
      </c>
      <c r="F218">
        <v>7</v>
      </c>
      <c r="G218">
        <v>11</v>
      </c>
      <c r="H218">
        <v>0</v>
      </c>
      <c r="I218">
        <v>11</v>
      </c>
      <c r="J218">
        <v>11</v>
      </c>
      <c r="K218">
        <v>123</v>
      </c>
      <c r="L218">
        <v>123</v>
      </c>
      <c r="N218" t="str">
        <v>C172</v>
      </c>
      <c r="O218" t="str">
        <v>AHAMED SHAMMAS C.M</v>
      </c>
      <c r="P218" t="str">
        <v>DAHF</v>
      </c>
      <c r="Q218" t="str">
        <v>SENIOR</v>
      </c>
      <c r="R218">
        <v>7</v>
      </c>
      <c r="S218">
        <v>0</v>
      </c>
      <c r="T218">
        <v>1</v>
      </c>
      <c r="U218">
        <v>1</v>
      </c>
      <c r="V218">
        <v>4</v>
      </c>
      <c r="W218">
        <v>54</v>
      </c>
      <c r="X218">
        <v>40</v>
      </c>
    </row>
    <row r="219" spans="2:24" x14ac:dyDescent="0.45">
      <c r="B219" t="str">
        <v>C173</v>
      </c>
      <c r="C219" t="str">
        <v>ABDUL HADIL P.M</v>
      </c>
      <c r="D219" t="str">
        <v>FANT</v>
      </c>
      <c r="E219" t="str">
        <v>SENIOR</v>
      </c>
      <c r="F219">
        <v>7</v>
      </c>
      <c r="G219">
        <v>32</v>
      </c>
      <c r="H219">
        <v>0</v>
      </c>
      <c r="I219">
        <v>32</v>
      </c>
      <c r="J219">
        <v>32</v>
      </c>
      <c r="K219">
        <v>40</v>
      </c>
      <c r="L219">
        <v>40</v>
      </c>
      <c r="N219" t="str">
        <v>C173</v>
      </c>
      <c r="O219" t="str">
        <v>ABDUL HADIL P.M</v>
      </c>
      <c r="P219" t="str">
        <v>FANT</v>
      </c>
      <c r="Q219" t="str">
        <v>SENIOR</v>
      </c>
      <c r="R219">
        <v>7</v>
      </c>
      <c r="S219">
        <v>0</v>
      </c>
      <c r="T219">
        <v>0</v>
      </c>
      <c r="U219">
        <v>0</v>
      </c>
      <c r="V219">
        <v>0</v>
      </c>
      <c r="W219">
        <v>76</v>
      </c>
      <c r="X219">
        <v>96</v>
      </c>
    </row>
    <row r="220" spans="2:24" x14ac:dyDescent="0.45">
      <c r="B220" t="str">
        <v>C174</v>
      </c>
      <c r="C220" t="str">
        <v>MUHAMMAD MUSTHAFA K.M</v>
      </c>
      <c r="D220" t="str">
        <v>BADF</v>
      </c>
      <c r="E220" t="str">
        <v>SENIOR</v>
      </c>
      <c r="F220">
        <v>7</v>
      </c>
      <c r="G220">
        <v>34</v>
      </c>
      <c r="H220">
        <v>0</v>
      </c>
      <c r="I220">
        <v>34</v>
      </c>
      <c r="J220">
        <v>34</v>
      </c>
      <c r="K220">
        <v>34</v>
      </c>
      <c r="L220">
        <v>34</v>
      </c>
      <c r="N220" t="str">
        <v>C174</v>
      </c>
      <c r="O220" t="str">
        <v>MUHAMMAD MUSTHAFA K.M</v>
      </c>
      <c r="P220" t="str">
        <v>BADF</v>
      </c>
      <c r="Q220" t="str">
        <v>SENIOR</v>
      </c>
      <c r="R220">
        <v>7</v>
      </c>
      <c r="S220">
        <v>0</v>
      </c>
      <c r="T220">
        <v>0</v>
      </c>
      <c r="U220">
        <v>0</v>
      </c>
      <c r="V220">
        <v>0</v>
      </c>
      <c r="W220">
        <v>76</v>
      </c>
      <c r="X220">
        <v>96</v>
      </c>
    </row>
    <row r="221" spans="2:24" x14ac:dyDescent="0.45">
      <c r="B221" t="str">
        <v>C175</v>
      </c>
      <c r="C221" t="str">
        <v>ABDULLAH MAZIN</v>
      </c>
      <c r="D221" t="str">
        <v>JARF</v>
      </c>
      <c r="E221" t="str">
        <v>SENIOR</v>
      </c>
      <c r="F221">
        <v>7</v>
      </c>
      <c r="G221">
        <v>8</v>
      </c>
      <c r="H221">
        <v>0</v>
      </c>
      <c r="I221">
        <v>8</v>
      </c>
      <c r="J221">
        <v>8</v>
      </c>
      <c r="K221">
        <v>147</v>
      </c>
      <c r="L221">
        <v>147</v>
      </c>
      <c r="N221" t="str">
        <v>C175</v>
      </c>
      <c r="O221" t="str">
        <v>ABDULLAH MAZIN</v>
      </c>
      <c r="P221" t="str">
        <v>JARF</v>
      </c>
      <c r="Q221" t="str">
        <v>SENIOR</v>
      </c>
      <c r="R221">
        <v>7</v>
      </c>
      <c r="S221">
        <v>0</v>
      </c>
      <c r="T221">
        <v>0</v>
      </c>
      <c r="U221">
        <v>0</v>
      </c>
      <c r="V221">
        <v>0</v>
      </c>
      <c r="W221">
        <v>76</v>
      </c>
      <c r="X221">
        <v>96</v>
      </c>
    </row>
    <row r="222" spans="2:24" x14ac:dyDescent="0.45">
      <c r="B222" t="str">
        <v>C176</v>
      </c>
      <c r="C222" t="str">
        <v>MUHAMMED T A</v>
      </c>
      <c r="D222" t="str">
        <v>FANT</v>
      </c>
      <c r="E222" t="str">
        <v>SENIOR</v>
      </c>
      <c r="F222">
        <v>7</v>
      </c>
      <c r="G222">
        <v>17</v>
      </c>
      <c r="H222">
        <v>0</v>
      </c>
      <c r="I222">
        <v>17</v>
      </c>
      <c r="J222">
        <v>17</v>
      </c>
      <c r="K222">
        <v>87</v>
      </c>
      <c r="L222">
        <v>87</v>
      </c>
      <c r="N222" t="str">
        <v>C176</v>
      </c>
      <c r="O222" t="str">
        <v>MUHAMMED T A</v>
      </c>
      <c r="P222" t="str">
        <v>FANT</v>
      </c>
      <c r="Q222" t="str">
        <v>SENIOR</v>
      </c>
      <c r="R222">
        <v>7</v>
      </c>
      <c r="S222">
        <v>0</v>
      </c>
      <c r="T222">
        <v>0</v>
      </c>
      <c r="U222">
        <v>0</v>
      </c>
      <c r="V222">
        <v>0</v>
      </c>
      <c r="W222">
        <v>76</v>
      </c>
      <c r="X222">
        <v>96</v>
      </c>
    </row>
    <row r="223" spans="2:24" x14ac:dyDescent="0.45">
      <c r="B223" t="str">
        <v>C177</v>
      </c>
      <c r="C223" t="str">
        <v>MOHAMMED HUSSAIN</v>
      </c>
      <c r="D223" t="str">
        <v>DAHF</v>
      </c>
      <c r="E223" t="str">
        <v>SENIOR</v>
      </c>
      <c r="F223">
        <v>7</v>
      </c>
      <c r="G223">
        <v>0</v>
      </c>
      <c r="H223">
        <v>0</v>
      </c>
      <c r="I223">
        <v>0</v>
      </c>
      <c r="J223">
        <v>0</v>
      </c>
      <c r="K223">
        <v>255</v>
      </c>
      <c r="L223">
        <v>255</v>
      </c>
      <c r="N223" t="str">
        <v>C177</v>
      </c>
      <c r="O223" t="str">
        <v>MOHAMMED HUSSAIN</v>
      </c>
      <c r="P223" t="str">
        <v>DAHF</v>
      </c>
      <c r="Q223" t="str">
        <v>SENIOR</v>
      </c>
      <c r="R223">
        <v>7</v>
      </c>
      <c r="S223">
        <v>0</v>
      </c>
      <c r="T223">
        <v>0</v>
      </c>
      <c r="U223">
        <v>0</v>
      </c>
      <c r="V223">
        <v>0</v>
      </c>
      <c r="W223">
        <v>76</v>
      </c>
      <c r="X223">
        <v>96</v>
      </c>
    </row>
    <row r="224" spans="2:24" x14ac:dyDescent="0.45">
      <c r="B224" t="str">
        <v>C178</v>
      </c>
      <c r="C224" t="str">
        <v>MUHAMMED ZAYAN N.S</v>
      </c>
      <c r="D224" t="str">
        <v>JARF</v>
      </c>
      <c r="E224" t="str">
        <v>SENIOR</v>
      </c>
      <c r="F224">
        <v>7</v>
      </c>
      <c r="G224">
        <v>8</v>
      </c>
      <c r="H224">
        <v>0</v>
      </c>
      <c r="I224">
        <v>8</v>
      </c>
      <c r="J224">
        <v>8</v>
      </c>
      <c r="K224">
        <v>147</v>
      </c>
      <c r="L224">
        <v>147</v>
      </c>
      <c r="N224" t="str">
        <v>C178</v>
      </c>
      <c r="O224" t="str">
        <v>MUHAMMED ZAYAN N.S</v>
      </c>
      <c r="P224" t="str">
        <v>JARF</v>
      </c>
      <c r="Q224" t="str">
        <v>SENIOR</v>
      </c>
      <c r="R224">
        <v>7</v>
      </c>
      <c r="S224">
        <v>0</v>
      </c>
      <c r="T224">
        <v>0</v>
      </c>
      <c r="U224">
        <v>0</v>
      </c>
      <c r="V224">
        <v>0</v>
      </c>
      <c r="W224">
        <v>76</v>
      </c>
      <c r="X224">
        <v>96</v>
      </c>
    </row>
    <row r="225" spans="2:24" x14ac:dyDescent="0.45">
      <c r="B225" t="str">
        <v>C179</v>
      </c>
      <c r="C225" t="str">
        <v>MUHAMMED FARHAN</v>
      </c>
      <c r="D225" t="str">
        <v>DAHF</v>
      </c>
      <c r="E225" t="str">
        <v>SENIOR</v>
      </c>
      <c r="F225">
        <v>7</v>
      </c>
      <c r="G225">
        <v>16</v>
      </c>
      <c r="H225">
        <v>0</v>
      </c>
      <c r="I225">
        <v>16</v>
      </c>
      <c r="J225">
        <v>16</v>
      </c>
      <c r="K225">
        <v>94</v>
      </c>
      <c r="L225">
        <v>94</v>
      </c>
      <c r="N225" t="str">
        <v>C179</v>
      </c>
      <c r="O225" t="str">
        <v>MUHAMMED FARHAN</v>
      </c>
      <c r="P225" t="str">
        <v>DAHF</v>
      </c>
      <c r="Q225" t="str">
        <v>SENIOR</v>
      </c>
      <c r="R225">
        <v>7</v>
      </c>
      <c r="S225">
        <v>5</v>
      </c>
      <c r="T225">
        <v>5</v>
      </c>
      <c r="U225">
        <v>10</v>
      </c>
      <c r="V225">
        <v>10</v>
      </c>
      <c r="W225">
        <v>1</v>
      </c>
      <c r="X225">
        <v>7</v>
      </c>
    </row>
    <row r="226" spans="2:24" x14ac:dyDescent="0.45">
      <c r="B226" t="str">
        <v>D100</v>
      </c>
      <c r="C226" t="str">
        <v>MOHAMMED RAZI</v>
      </c>
      <c r="D226" t="str">
        <v>JARF</v>
      </c>
      <c r="E226" t="str">
        <v>SUPER SENIOR</v>
      </c>
      <c r="F226">
        <v>8</v>
      </c>
      <c r="G226">
        <v>4</v>
      </c>
      <c r="H226">
        <v>0</v>
      </c>
      <c r="I226">
        <v>4</v>
      </c>
      <c r="J226">
        <v>4</v>
      </c>
      <c r="K226">
        <v>197</v>
      </c>
      <c r="L226">
        <v>197</v>
      </c>
      <c r="N226" t="str">
        <v>D100</v>
      </c>
      <c r="O226" t="str">
        <v>MOHAMMED RAZI</v>
      </c>
      <c r="P226" t="str">
        <v>JARF</v>
      </c>
      <c r="Q226" t="str">
        <v>SUPER SENIOR</v>
      </c>
      <c r="R226">
        <v>8</v>
      </c>
      <c r="S226">
        <v>0</v>
      </c>
      <c r="T226">
        <v>0</v>
      </c>
      <c r="U226">
        <v>0</v>
      </c>
      <c r="V226">
        <v>3</v>
      </c>
      <c r="W226">
        <v>76</v>
      </c>
      <c r="X226">
        <v>46</v>
      </c>
    </row>
    <row r="227" spans="2:24" x14ac:dyDescent="0.45">
      <c r="B227" t="str">
        <v>D101</v>
      </c>
      <c r="C227" t="str">
        <v>MOHAMMED AFSAL</v>
      </c>
      <c r="D227" t="str">
        <v>JARF</v>
      </c>
      <c r="E227" t="str">
        <v>SUPER SENIOR</v>
      </c>
      <c r="F227">
        <v>8</v>
      </c>
      <c r="G227">
        <v>8</v>
      </c>
      <c r="H227">
        <v>0</v>
      </c>
      <c r="I227">
        <v>8</v>
      </c>
      <c r="J227">
        <v>8</v>
      </c>
      <c r="K227">
        <v>147</v>
      </c>
      <c r="L227">
        <v>147</v>
      </c>
      <c r="N227" t="str">
        <v>D101</v>
      </c>
      <c r="O227" t="str">
        <v>MOHAMMED AFSAL</v>
      </c>
      <c r="P227" t="str">
        <v>JARF</v>
      </c>
      <c r="Q227" t="str">
        <v>SUPER SENIOR</v>
      </c>
      <c r="R227">
        <v>8</v>
      </c>
      <c r="S227">
        <v>0</v>
      </c>
      <c r="T227">
        <v>0</v>
      </c>
      <c r="U227">
        <v>0</v>
      </c>
      <c r="V227">
        <v>0</v>
      </c>
      <c r="W227">
        <v>76</v>
      </c>
      <c r="X227">
        <v>96</v>
      </c>
    </row>
    <row r="228" spans="2:24" x14ac:dyDescent="0.45">
      <c r="B228" t="str">
        <v>D102</v>
      </c>
      <c r="C228" t="str">
        <v>JALALUDHEEN K</v>
      </c>
      <c r="D228" t="str">
        <v>DAHF</v>
      </c>
      <c r="E228" t="str">
        <v>SUPER SENIOR</v>
      </c>
      <c r="F228">
        <v>8</v>
      </c>
      <c r="G228">
        <v>4</v>
      </c>
      <c r="H228">
        <v>0</v>
      </c>
      <c r="I228">
        <v>4</v>
      </c>
      <c r="J228">
        <v>4</v>
      </c>
      <c r="K228">
        <v>197</v>
      </c>
      <c r="L228">
        <v>197</v>
      </c>
      <c r="N228" t="str">
        <v>D102</v>
      </c>
      <c r="O228" t="str">
        <v>JALALUDHEEN K</v>
      </c>
      <c r="P228" t="str">
        <v>DAHF</v>
      </c>
      <c r="Q228" t="str">
        <v>SUPER SENIOR</v>
      </c>
      <c r="R228">
        <v>8</v>
      </c>
      <c r="S228">
        <v>0</v>
      </c>
      <c r="T228">
        <v>5</v>
      </c>
      <c r="U228">
        <v>5</v>
      </c>
      <c r="V228">
        <v>5</v>
      </c>
      <c r="W228">
        <v>13</v>
      </c>
      <c r="X228">
        <v>24</v>
      </c>
    </row>
    <row r="229" spans="2:24" x14ac:dyDescent="0.45">
      <c r="B229" t="str">
        <v>D103</v>
      </c>
      <c r="C229" t="str">
        <v>MUHAMMAD RAZI</v>
      </c>
      <c r="D229" t="str">
        <v>DAHF</v>
      </c>
      <c r="E229" t="str">
        <v>SUPER SENIOR</v>
      </c>
      <c r="F229">
        <v>8</v>
      </c>
      <c r="G229">
        <v>0</v>
      </c>
      <c r="H229">
        <v>0</v>
      </c>
      <c r="I229">
        <v>0</v>
      </c>
      <c r="J229">
        <v>0</v>
      </c>
      <c r="K229">
        <v>255</v>
      </c>
      <c r="L229">
        <v>255</v>
      </c>
      <c r="N229" t="str">
        <v>D103</v>
      </c>
      <c r="O229" t="str">
        <v>MUHAMMAD RAZI</v>
      </c>
      <c r="P229" t="str">
        <v>DAHF</v>
      </c>
      <c r="Q229" t="str">
        <v>SUPER SENIOR</v>
      </c>
      <c r="R229">
        <v>8</v>
      </c>
      <c r="S229">
        <v>0</v>
      </c>
      <c r="T229">
        <v>0</v>
      </c>
      <c r="U229">
        <v>0</v>
      </c>
      <c r="V229">
        <v>0</v>
      </c>
      <c r="W229">
        <v>76</v>
      </c>
      <c r="X229">
        <v>96</v>
      </c>
    </row>
    <row r="230" spans="2:24" x14ac:dyDescent="0.45">
      <c r="B230" t="str">
        <v>D104</v>
      </c>
      <c r="C230" t="str">
        <v>MUHAMMAD SHANEED.</v>
      </c>
      <c r="D230" t="str">
        <v>JARF</v>
      </c>
      <c r="E230" t="str">
        <v>SUPER SENIOR</v>
      </c>
      <c r="F230">
        <v>8</v>
      </c>
      <c r="G230">
        <v>3</v>
      </c>
      <c r="H230">
        <v>0</v>
      </c>
      <c r="I230">
        <v>3</v>
      </c>
      <c r="J230">
        <v>3</v>
      </c>
      <c r="K230">
        <v>209</v>
      </c>
      <c r="L230">
        <v>209</v>
      </c>
      <c r="N230" t="str">
        <v>D104</v>
      </c>
      <c r="O230" t="str">
        <v>MUHAMMAD SHANEED.</v>
      </c>
      <c r="P230" t="str">
        <v>JARF</v>
      </c>
      <c r="Q230" t="str">
        <v>SUPER SENIOR</v>
      </c>
      <c r="R230">
        <v>8</v>
      </c>
      <c r="S230">
        <v>0</v>
      </c>
      <c r="T230">
        <v>0</v>
      </c>
      <c r="U230">
        <v>0</v>
      </c>
      <c r="V230">
        <v>3</v>
      </c>
      <c r="W230">
        <v>76</v>
      </c>
      <c r="X230">
        <v>46</v>
      </c>
    </row>
    <row r="231" spans="2:24" x14ac:dyDescent="0.45">
      <c r="B231" t="str">
        <v>D105</v>
      </c>
      <c r="C231" t="str">
        <v>ABDUL WADHOOD</v>
      </c>
      <c r="D231" t="str">
        <v>FANT</v>
      </c>
      <c r="E231" t="str">
        <v>SUPER SENIOR</v>
      </c>
      <c r="F231">
        <v>8</v>
      </c>
      <c r="G231">
        <v>8</v>
      </c>
      <c r="H231">
        <v>0</v>
      </c>
      <c r="I231">
        <v>8</v>
      </c>
      <c r="J231">
        <v>8</v>
      </c>
      <c r="K231">
        <v>147</v>
      </c>
      <c r="L231">
        <v>147</v>
      </c>
      <c r="N231" t="str">
        <v>D105</v>
      </c>
      <c r="O231" t="str">
        <v>ABDUL WADHOOD</v>
      </c>
      <c r="P231" t="str">
        <v>FANT</v>
      </c>
      <c r="Q231" t="str">
        <v>SUPER SENIOR</v>
      </c>
      <c r="R231">
        <v>8</v>
      </c>
      <c r="S231">
        <v>0</v>
      </c>
      <c r="T231">
        <v>0</v>
      </c>
      <c r="U231">
        <v>0</v>
      </c>
      <c r="V231">
        <v>0</v>
      </c>
      <c r="W231">
        <v>76</v>
      </c>
      <c r="X231">
        <v>96</v>
      </c>
    </row>
    <row r="232" spans="2:24" x14ac:dyDescent="0.45">
      <c r="B232" t="str">
        <v>D106</v>
      </c>
      <c r="C232" t="str">
        <v>MOHAMMED SHAMMAS S.I</v>
      </c>
      <c r="D232" t="str">
        <v>DAHF</v>
      </c>
      <c r="E232" t="str">
        <v>SUPER SENIOR</v>
      </c>
      <c r="F232">
        <v>8</v>
      </c>
      <c r="G232">
        <v>0</v>
      </c>
      <c r="H232">
        <v>0</v>
      </c>
      <c r="I232">
        <v>0</v>
      </c>
      <c r="J232">
        <v>0</v>
      </c>
      <c r="K232">
        <v>255</v>
      </c>
      <c r="L232">
        <v>255</v>
      </c>
      <c r="N232" t="str">
        <v>D106</v>
      </c>
      <c r="O232" t="str">
        <v>MOHAMMED SHAMMAS S.I</v>
      </c>
      <c r="P232" t="str">
        <v>DAHF</v>
      </c>
      <c r="Q232" t="str">
        <v>SUPER SENIOR</v>
      </c>
      <c r="R232">
        <v>8</v>
      </c>
      <c r="S232">
        <v>0</v>
      </c>
      <c r="T232">
        <v>0</v>
      </c>
      <c r="U232">
        <v>0</v>
      </c>
      <c r="V232">
        <v>0</v>
      </c>
      <c r="W232">
        <v>76</v>
      </c>
      <c r="X232">
        <v>96</v>
      </c>
    </row>
    <row r="233" spans="2:24" x14ac:dyDescent="0.45">
      <c r="B233" t="str">
        <v>D107</v>
      </c>
      <c r="C233" t="str">
        <v>AHMMED HASHIM M</v>
      </c>
      <c r="D233" t="str">
        <v>DAHF</v>
      </c>
      <c r="E233" t="str">
        <v>SUPER SENIOR</v>
      </c>
      <c r="F233">
        <v>8</v>
      </c>
      <c r="G233">
        <v>1</v>
      </c>
      <c r="H233">
        <v>0</v>
      </c>
      <c r="I233">
        <v>1</v>
      </c>
      <c r="J233">
        <v>1</v>
      </c>
      <c r="K233">
        <v>231</v>
      </c>
      <c r="L233">
        <v>231</v>
      </c>
      <c r="N233" t="str">
        <v>D107</v>
      </c>
      <c r="O233" t="str">
        <v>AHMMED HASHIM M</v>
      </c>
      <c r="P233" t="str">
        <v>DAHF</v>
      </c>
      <c r="Q233" t="str">
        <v>SUPER SENIOR</v>
      </c>
      <c r="R233">
        <v>8</v>
      </c>
      <c r="S233">
        <v>0</v>
      </c>
      <c r="T233">
        <v>0</v>
      </c>
      <c r="U233">
        <v>0</v>
      </c>
      <c r="V233">
        <v>0</v>
      </c>
      <c r="W233">
        <v>76</v>
      </c>
      <c r="X233">
        <v>96</v>
      </c>
    </row>
    <row r="234" spans="2:24" x14ac:dyDescent="0.45">
      <c r="B234" t="str">
        <v>D108</v>
      </c>
      <c r="C234" t="str">
        <v>MOHAMMED HASHIR</v>
      </c>
      <c r="D234" t="str">
        <v>DAHF</v>
      </c>
      <c r="E234" t="str">
        <v>SUPER SENIOR</v>
      </c>
      <c r="F234">
        <v>8</v>
      </c>
      <c r="G234">
        <v>46</v>
      </c>
      <c r="H234">
        <v>0</v>
      </c>
      <c r="I234">
        <v>46</v>
      </c>
      <c r="J234">
        <v>46</v>
      </c>
      <c r="K234">
        <v>17</v>
      </c>
      <c r="L234">
        <v>17</v>
      </c>
      <c r="N234" t="str">
        <v>D108</v>
      </c>
      <c r="O234" t="str">
        <v>MOHAMMED HASHIR</v>
      </c>
      <c r="P234" t="str">
        <v>DAHF</v>
      </c>
      <c r="Q234" t="str">
        <v>SUPER SENIOR</v>
      </c>
      <c r="R234">
        <v>8</v>
      </c>
      <c r="S234">
        <v>0</v>
      </c>
      <c r="T234">
        <v>0</v>
      </c>
      <c r="U234">
        <v>0</v>
      </c>
      <c r="V234">
        <v>0</v>
      </c>
      <c r="W234">
        <v>76</v>
      </c>
      <c r="X234">
        <v>96</v>
      </c>
    </row>
    <row r="235" spans="2:24" x14ac:dyDescent="0.45">
      <c r="B235" t="str">
        <v>D109</v>
      </c>
      <c r="C235" t="str">
        <v>AHAMMED AJEER</v>
      </c>
      <c r="D235" t="str">
        <v>BADF</v>
      </c>
      <c r="E235" t="str">
        <v>SUPER SENIOR</v>
      </c>
      <c r="F235">
        <v>8</v>
      </c>
      <c r="G235">
        <v>0</v>
      </c>
      <c r="H235">
        <v>0</v>
      </c>
      <c r="I235">
        <v>0</v>
      </c>
      <c r="J235">
        <v>0</v>
      </c>
      <c r="K235">
        <v>255</v>
      </c>
      <c r="L235">
        <v>255</v>
      </c>
      <c r="N235" t="str">
        <v>D109</v>
      </c>
      <c r="O235" t="str">
        <v>AHAMMED AJEER</v>
      </c>
      <c r="P235" t="str">
        <v>BADF</v>
      </c>
      <c r="Q235" t="str">
        <v>SUPER SENIOR</v>
      </c>
      <c r="R235">
        <v>8</v>
      </c>
      <c r="S235">
        <v>0</v>
      </c>
      <c r="T235">
        <v>1</v>
      </c>
      <c r="U235">
        <v>1</v>
      </c>
      <c r="V235">
        <v>1</v>
      </c>
      <c r="W235">
        <v>54</v>
      </c>
      <c r="X235">
        <v>69</v>
      </c>
    </row>
    <row r="236" spans="2:24" x14ac:dyDescent="0.45">
      <c r="B236" t="str">
        <v>D110</v>
      </c>
      <c r="C236" t="str">
        <v>ABBAS AZNAB M.A</v>
      </c>
      <c r="D236" t="str">
        <v>BADF</v>
      </c>
      <c r="E236" t="str">
        <v>SUPER SENIOR</v>
      </c>
      <c r="F236">
        <v>8</v>
      </c>
      <c r="G236">
        <v>8</v>
      </c>
      <c r="H236">
        <v>0</v>
      </c>
      <c r="I236">
        <v>8</v>
      </c>
      <c r="J236">
        <v>8</v>
      </c>
      <c r="K236">
        <v>147</v>
      </c>
      <c r="L236">
        <v>147</v>
      </c>
      <c r="N236" t="str">
        <v>D110</v>
      </c>
      <c r="O236" t="str">
        <v>ABBAS AZNAB M.A</v>
      </c>
      <c r="P236" t="str">
        <v>BADF</v>
      </c>
      <c r="Q236" t="str">
        <v>SUPER SENIOR</v>
      </c>
      <c r="R236">
        <v>8</v>
      </c>
      <c r="S236">
        <v>0</v>
      </c>
      <c r="T236">
        <v>0</v>
      </c>
      <c r="U236">
        <v>0</v>
      </c>
      <c r="V236">
        <v>0</v>
      </c>
      <c r="W236">
        <v>76</v>
      </c>
      <c r="X236">
        <v>96</v>
      </c>
    </row>
    <row r="237" spans="2:24" x14ac:dyDescent="0.45">
      <c r="B237" t="str">
        <v>D111</v>
      </c>
      <c r="C237" t="str">
        <v>MAHAMMED SHAMEEL</v>
      </c>
      <c r="D237" t="str">
        <v>JARF</v>
      </c>
      <c r="E237" t="str">
        <v>SUPER SENIOR</v>
      </c>
      <c r="F237">
        <v>8</v>
      </c>
      <c r="G237">
        <v>70.5</v>
      </c>
      <c r="H237">
        <v>0</v>
      </c>
      <c r="I237">
        <v>70.5</v>
      </c>
      <c r="J237">
        <v>70.5</v>
      </c>
      <c r="K237">
        <v>4</v>
      </c>
      <c r="L237">
        <v>4</v>
      </c>
      <c r="N237" t="str">
        <v>D111</v>
      </c>
      <c r="O237" t="str">
        <v>MAHAMMED SHAMEEL</v>
      </c>
      <c r="P237" t="str">
        <v>JARF</v>
      </c>
      <c r="Q237" t="str">
        <v>SUPER SENIOR</v>
      </c>
      <c r="R237">
        <v>8</v>
      </c>
      <c r="S237">
        <v>0</v>
      </c>
      <c r="T237">
        <v>0</v>
      </c>
      <c r="U237">
        <v>0</v>
      </c>
      <c r="V237">
        <v>0</v>
      </c>
      <c r="W237">
        <v>76</v>
      </c>
      <c r="X237">
        <v>96</v>
      </c>
    </row>
    <row r="238" spans="2:24" x14ac:dyDescent="0.45">
      <c r="B238" t="str">
        <v>D112</v>
      </c>
      <c r="C238" t="str">
        <v>AMEEN ABDULLA</v>
      </c>
      <c r="D238" t="str">
        <v>FANT</v>
      </c>
      <c r="E238" t="str">
        <v>SUPER SENIOR</v>
      </c>
      <c r="F238">
        <v>8</v>
      </c>
      <c r="G238">
        <v>16</v>
      </c>
      <c r="H238">
        <v>0</v>
      </c>
      <c r="I238">
        <v>16</v>
      </c>
      <c r="J238">
        <v>16</v>
      </c>
      <c r="K238">
        <v>94</v>
      </c>
      <c r="L238">
        <v>94</v>
      </c>
      <c r="N238" t="str">
        <v>D112</v>
      </c>
      <c r="O238" t="str">
        <v>AMEEN ABDULLA</v>
      </c>
      <c r="P238" t="str">
        <v>FANT</v>
      </c>
      <c r="Q238" t="str">
        <v>SUPER SENIOR</v>
      </c>
      <c r="R238">
        <v>8</v>
      </c>
      <c r="S238">
        <v>0</v>
      </c>
      <c r="T238">
        <v>0</v>
      </c>
      <c r="U238">
        <v>0</v>
      </c>
      <c r="V238">
        <v>0</v>
      </c>
      <c r="W238">
        <v>76</v>
      </c>
      <c r="X238">
        <v>96</v>
      </c>
    </row>
    <row r="239" spans="2:24" x14ac:dyDescent="0.45">
      <c r="B239" t="str">
        <v>D113</v>
      </c>
      <c r="C239" t="str">
        <v>ZULFIKARALI</v>
      </c>
      <c r="D239" t="str">
        <v>JARF</v>
      </c>
      <c r="E239" t="str">
        <v>SUPER SENIOR</v>
      </c>
      <c r="F239">
        <v>8</v>
      </c>
      <c r="G239">
        <v>4</v>
      </c>
      <c r="H239">
        <v>0</v>
      </c>
      <c r="I239">
        <v>4</v>
      </c>
      <c r="J239">
        <v>4</v>
      </c>
      <c r="K239">
        <v>197</v>
      </c>
      <c r="L239">
        <v>197</v>
      </c>
      <c r="N239" t="str">
        <v>D113</v>
      </c>
      <c r="O239" t="str">
        <v>ZULFIKARALI</v>
      </c>
      <c r="P239" t="str">
        <v>JARF</v>
      </c>
      <c r="Q239" t="str">
        <v>SUPER SENIOR</v>
      </c>
      <c r="R239">
        <v>8</v>
      </c>
      <c r="S239">
        <v>0</v>
      </c>
      <c r="T239">
        <v>0</v>
      </c>
      <c r="U239">
        <v>0</v>
      </c>
      <c r="V239">
        <v>0</v>
      </c>
      <c r="W239">
        <v>76</v>
      </c>
      <c r="X239">
        <v>96</v>
      </c>
    </row>
    <row r="240" spans="2:24" x14ac:dyDescent="0.45">
      <c r="B240" t="str">
        <v>D114</v>
      </c>
      <c r="C240" t="str">
        <v>MUHAMMED ANAS M.N</v>
      </c>
      <c r="D240" t="str">
        <v>FANT</v>
      </c>
      <c r="E240" t="str">
        <v>SUPER SENIOR</v>
      </c>
      <c r="F240">
        <v>8</v>
      </c>
      <c r="G240">
        <v>1</v>
      </c>
      <c r="H240">
        <v>0</v>
      </c>
      <c r="I240">
        <v>1</v>
      </c>
      <c r="J240">
        <v>1</v>
      </c>
      <c r="K240">
        <v>231</v>
      </c>
      <c r="L240">
        <v>231</v>
      </c>
      <c r="N240" t="str">
        <v>D114</v>
      </c>
      <c r="O240" t="str">
        <v>MUHAMMED ANAS M.N</v>
      </c>
      <c r="P240" t="str">
        <v>FANT</v>
      </c>
      <c r="Q240" t="str">
        <v>SUPER SENIOR</v>
      </c>
      <c r="R240">
        <v>8</v>
      </c>
      <c r="S240">
        <v>0</v>
      </c>
      <c r="T240">
        <v>0</v>
      </c>
      <c r="U240">
        <v>0</v>
      </c>
      <c r="V240">
        <v>0</v>
      </c>
      <c r="W240">
        <v>76</v>
      </c>
      <c r="X240">
        <v>96</v>
      </c>
    </row>
    <row r="241" spans="2:24" x14ac:dyDescent="0.45">
      <c r="B241" t="str">
        <v>D115</v>
      </c>
      <c r="C241" t="str">
        <v>ABDULLA M HAKEEM</v>
      </c>
      <c r="D241" t="str">
        <v>DAHF</v>
      </c>
      <c r="E241" t="str">
        <v>SUPER SENIOR</v>
      </c>
      <c r="F241">
        <v>8</v>
      </c>
      <c r="G241">
        <v>4</v>
      </c>
      <c r="H241">
        <v>0</v>
      </c>
      <c r="I241">
        <v>4</v>
      </c>
      <c r="J241">
        <v>4</v>
      </c>
      <c r="K241">
        <v>197</v>
      </c>
      <c r="L241">
        <v>197</v>
      </c>
      <c r="N241" t="str">
        <v>D115</v>
      </c>
      <c r="O241" t="str">
        <v>ABDULLA M HAKEEM</v>
      </c>
      <c r="P241" t="str">
        <v>DAHF</v>
      </c>
      <c r="Q241" t="str">
        <v>SUPER SENIOR</v>
      </c>
      <c r="R241">
        <v>8</v>
      </c>
      <c r="S241">
        <v>0</v>
      </c>
      <c r="T241">
        <v>1</v>
      </c>
      <c r="U241">
        <v>1</v>
      </c>
      <c r="V241">
        <v>1</v>
      </c>
      <c r="W241">
        <v>54</v>
      </c>
      <c r="X241">
        <v>69</v>
      </c>
    </row>
    <row r="242" spans="2:24" x14ac:dyDescent="0.45">
      <c r="B242" t="str">
        <v>D116</v>
      </c>
      <c r="C242" t="str">
        <v>HASSAN SHADDAD UM</v>
      </c>
      <c r="D242" t="str">
        <v>JARF</v>
      </c>
      <c r="E242" t="str">
        <v>SUPER SENIOR</v>
      </c>
      <c r="F242">
        <v>8</v>
      </c>
      <c r="G242">
        <v>1</v>
      </c>
      <c r="H242">
        <v>0</v>
      </c>
      <c r="I242">
        <v>1</v>
      </c>
      <c r="J242">
        <v>1</v>
      </c>
      <c r="K242">
        <v>231</v>
      </c>
      <c r="L242">
        <v>231</v>
      </c>
      <c r="N242" t="str">
        <v>D116</v>
      </c>
      <c r="O242" t="str">
        <v>HASSAN SHADDAD UM</v>
      </c>
      <c r="P242" t="str">
        <v>JARF</v>
      </c>
      <c r="Q242" t="str">
        <v>SUPER SENIOR</v>
      </c>
      <c r="R242">
        <v>8</v>
      </c>
      <c r="S242">
        <v>0</v>
      </c>
      <c r="T242">
        <v>1</v>
      </c>
      <c r="U242">
        <v>1</v>
      </c>
      <c r="V242">
        <v>1</v>
      </c>
      <c r="W242">
        <v>54</v>
      </c>
      <c r="X242">
        <v>69</v>
      </c>
    </row>
    <row r="243" spans="2:24" x14ac:dyDescent="0.45">
      <c r="B243" t="str">
        <v>D117</v>
      </c>
      <c r="C243" t="str">
        <v>MOHAMMED SAHL CS</v>
      </c>
      <c r="D243" t="str">
        <v>FANT</v>
      </c>
      <c r="E243" t="str">
        <v>SUPER SENIOR</v>
      </c>
      <c r="F243">
        <v>8</v>
      </c>
      <c r="G243">
        <v>16</v>
      </c>
      <c r="H243">
        <v>0</v>
      </c>
      <c r="I243">
        <v>16</v>
      </c>
      <c r="J243">
        <v>16</v>
      </c>
      <c r="K243">
        <v>94</v>
      </c>
      <c r="L243">
        <v>94</v>
      </c>
      <c r="N243" t="str">
        <v>D117</v>
      </c>
      <c r="O243" t="str">
        <v>MOHAMMED SAHL CS</v>
      </c>
      <c r="P243" t="str">
        <v>FANT</v>
      </c>
      <c r="Q243" t="str">
        <v>SUPER SENIOR</v>
      </c>
      <c r="R243">
        <v>8</v>
      </c>
      <c r="S243">
        <v>0</v>
      </c>
      <c r="T243">
        <v>5</v>
      </c>
      <c r="U243">
        <v>5</v>
      </c>
      <c r="V243">
        <v>10</v>
      </c>
      <c r="W243">
        <v>13</v>
      </c>
      <c r="X243">
        <v>7</v>
      </c>
    </row>
    <row r="244" spans="2:24" x14ac:dyDescent="0.45">
      <c r="B244" t="str">
        <v>D118</v>
      </c>
      <c r="C244" t="str">
        <v>MOHAMMAD KHALANDAR ZIYAD</v>
      </c>
      <c r="D244" t="str">
        <v>BADF</v>
      </c>
      <c r="E244" t="str">
        <v>SUPER SENIOR</v>
      </c>
      <c r="F244">
        <v>8</v>
      </c>
      <c r="G244">
        <v>31</v>
      </c>
      <c r="H244">
        <v>0</v>
      </c>
      <c r="I244">
        <v>31</v>
      </c>
      <c r="J244">
        <v>31</v>
      </c>
      <c r="K244">
        <v>42</v>
      </c>
      <c r="L244">
        <v>42</v>
      </c>
      <c r="N244" t="str">
        <v>D118</v>
      </c>
      <c r="O244" t="str">
        <v>MOHAMMAD KHALANDAR ZIYAD</v>
      </c>
      <c r="P244" t="str">
        <v>BADF</v>
      </c>
      <c r="Q244" t="str">
        <v>SUPER SENIOR</v>
      </c>
      <c r="R244">
        <v>8</v>
      </c>
      <c r="S244">
        <v>0</v>
      </c>
      <c r="T244">
        <v>0</v>
      </c>
      <c r="U244">
        <v>0</v>
      </c>
      <c r="V244">
        <v>0</v>
      </c>
      <c r="W244">
        <v>76</v>
      </c>
      <c r="X244">
        <v>96</v>
      </c>
    </row>
    <row r="245" spans="2:24" x14ac:dyDescent="0.45">
      <c r="B245" t="str">
        <v>D119</v>
      </c>
      <c r="C245" t="str">
        <v>ABU THAHIR</v>
      </c>
      <c r="D245" t="str">
        <v>BADF</v>
      </c>
      <c r="E245" t="str">
        <v>SUPER SENIOR</v>
      </c>
      <c r="F245">
        <v>8</v>
      </c>
      <c r="G245">
        <v>10</v>
      </c>
      <c r="H245">
        <v>0</v>
      </c>
      <c r="I245">
        <v>10</v>
      </c>
      <c r="J245">
        <v>10</v>
      </c>
      <c r="K245">
        <v>131</v>
      </c>
      <c r="L245">
        <v>131</v>
      </c>
      <c r="N245" t="str">
        <v>D119</v>
      </c>
      <c r="O245" t="str">
        <v>ABU THAHIR</v>
      </c>
      <c r="P245" t="str">
        <v>BADF</v>
      </c>
      <c r="Q245" t="str">
        <v>SUPER SENIOR</v>
      </c>
      <c r="R245">
        <v>8</v>
      </c>
      <c r="S245">
        <v>0</v>
      </c>
      <c r="T245">
        <v>0</v>
      </c>
      <c r="U245">
        <v>0</v>
      </c>
      <c r="V245">
        <v>4</v>
      </c>
      <c r="W245">
        <v>76</v>
      </c>
      <c r="X245">
        <v>40</v>
      </c>
    </row>
    <row r="246" spans="2:24" x14ac:dyDescent="0.45">
      <c r="B246" t="str">
        <v>D120</v>
      </c>
      <c r="C246" t="str">
        <v>MUHAMMAD SINAN NP</v>
      </c>
      <c r="D246" t="str">
        <v>FANT</v>
      </c>
      <c r="E246" t="str">
        <v>SUPER SENIOR</v>
      </c>
      <c r="F246">
        <v>8</v>
      </c>
      <c r="G246">
        <v>0</v>
      </c>
      <c r="H246">
        <v>0</v>
      </c>
      <c r="I246">
        <v>0</v>
      </c>
      <c r="J246">
        <v>0</v>
      </c>
      <c r="K246">
        <v>255</v>
      </c>
      <c r="L246">
        <v>255</v>
      </c>
      <c r="N246" t="str">
        <v>D120</v>
      </c>
      <c r="O246" t="str">
        <v>MUHAMMAD SINAN NP</v>
      </c>
      <c r="P246" t="str">
        <v>FANT</v>
      </c>
      <c r="Q246" t="str">
        <v>SUPER SENIOR</v>
      </c>
      <c r="R246">
        <v>8</v>
      </c>
      <c r="S246">
        <v>0</v>
      </c>
      <c r="T246">
        <v>0</v>
      </c>
      <c r="U246">
        <v>0</v>
      </c>
      <c r="V246">
        <v>0</v>
      </c>
      <c r="W246">
        <v>76</v>
      </c>
      <c r="X246">
        <v>96</v>
      </c>
    </row>
    <row r="247" spans="2:24" x14ac:dyDescent="0.45">
      <c r="B247" t="str">
        <v>D121</v>
      </c>
      <c r="C247" t="str">
        <v>ABDUL RAHMAN MUNZIR</v>
      </c>
      <c r="D247" t="str">
        <v>DAHF</v>
      </c>
      <c r="E247" t="str">
        <v>SUPER SENIOR</v>
      </c>
      <c r="F247">
        <v>8</v>
      </c>
      <c r="G247">
        <v>0</v>
      </c>
      <c r="H247">
        <v>0</v>
      </c>
      <c r="I247">
        <v>0</v>
      </c>
      <c r="J247">
        <v>0</v>
      </c>
      <c r="K247">
        <v>255</v>
      </c>
      <c r="L247">
        <v>255</v>
      </c>
      <c r="N247" t="str">
        <v>D121</v>
      </c>
      <c r="O247" t="str">
        <v>ABDUL RAHMAN MUNZIR</v>
      </c>
      <c r="P247" t="str">
        <v>DAHF</v>
      </c>
      <c r="Q247" t="str">
        <v>SUPER SENIOR</v>
      </c>
      <c r="R247">
        <v>8</v>
      </c>
      <c r="S247">
        <v>3</v>
      </c>
      <c r="T247">
        <v>0</v>
      </c>
      <c r="U247">
        <v>3</v>
      </c>
      <c r="V247">
        <v>6</v>
      </c>
      <c r="W247">
        <v>30</v>
      </c>
      <c r="X247">
        <v>21</v>
      </c>
    </row>
    <row r="248" spans="2:24" x14ac:dyDescent="0.45">
      <c r="B248" t="str">
        <v>D122</v>
      </c>
      <c r="C248" t="str">
        <v>MUHAMMED MUZAMMIL P.M</v>
      </c>
      <c r="D248">
        <v>0</v>
      </c>
      <c r="E248" t="str">
        <v>SUPER SENIOR</v>
      </c>
      <c r="F248">
        <v>8</v>
      </c>
      <c r="G248">
        <v>0</v>
      </c>
      <c r="H248">
        <v>0</v>
      </c>
      <c r="I248">
        <v>0</v>
      </c>
      <c r="J248">
        <v>0</v>
      </c>
      <c r="K248">
        <v>255</v>
      </c>
      <c r="L248">
        <v>255</v>
      </c>
      <c r="N248" t="str">
        <v>D122</v>
      </c>
      <c r="O248" t="str">
        <v>MUHAMMED MUZAMMIL P.M</v>
      </c>
      <c r="P248">
        <v>0</v>
      </c>
      <c r="Q248" t="str">
        <v>SUPER SENIOR</v>
      </c>
      <c r="R248">
        <v>8</v>
      </c>
      <c r="S248">
        <v>0</v>
      </c>
      <c r="T248">
        <v>0</v>
      </c>
      <c r="U248">
        <v>0</v>
      </c>
      <c r="V248">
        <v>0</v>
      </c>
      <c r="W248">
        <v>76</v>
      </c>
      <c r="X248">
        <v>96</v>
      </c>
    </row>
    <row r="249" spans="2:24" x14ac:dyDescent="0.45">
      <c r="B249" t="str">
        <v>D123</v>
      </c>
      <c r="C249" t="str">
        <v>MOHAMMED SALIH</v>
      </c>
      <c r="D249" t="str">
        <v>JARF</v>
      </c>
      <c r="E249" t="str">
        <v>SUPER SENIOR</v>
      </c>
      <c r="F249">
        <v>8</v>
      </c>
      <c r="G249">
        <v>8</v>
      </c>
      <c r="H249">
        <v>0</v>
      </c>
      <c r="I249">
        <v>8</v>
      </c>
      <c r="J249">
        <v>8</v>
      </c>
      <c r="K249">
        <v>147</v>
      </c>
      <c r="L249">
        <v>147</v>
      </c>
      <c r="N249" t="str">
        <v>D123</v>
      </c>
      <c r="O249" t="str">
        <v>MOHAMMED SALIH</v>
      </c>
      <c r="P249" t="str">
        <v>JARF</v>
      </c>
      <c r="Q249" t="str">
        <v>SUPER SENIOR</v>
      </c>
      <c r="R249">
        <v>8</v>
      </c>
      <c r="S249">
        <v>0</v>
      </c>
      <c r="T249">
        <v>0</v>
      </c>
      <c r="U249">
        <v>0</v>
      </c>
      <c r="V249">
        <v>3</v>
      </c>
      <c r="W249">
        <v>76</v>
      </c>
      <c r="X249">
        <v>46</v>
      </c>
    </row>
    <row r="250" spans="2:24" x14ac:dyDescent="0.45">
      <c r="B250" t="str">
        <v>D124</v>
      </c>
      <c r="C250" t="str">
        <v>MUHAMMED SUFAZ P</v>
      </c>
      <c r="D250" t="str">
        <v>BADF</v>
      </c>
      <c r="E250" t="str">
        <v>SUPER SENIOR</v>
      </c>
      <c r="F250">
        <v>8</v>
      </c>
      <c r="G250">
        <v>0</v>
      </c>
      <c r="H250">
        <v>0</v>
      </c>
      <c r="I250">
        <v>0</v>
      </c>
      <c r="J250">
        <v>0</v>
      </c>
      <c r="K250">
        <v>255</v>
      </c>
      <c r="L250">
        <v>255</v>
      </c>
      <c r="N250" t="str">
        <v>D124</v>
      </c>
      <c r="O250" t="str">
        <v>MUHAMMED SUFAZ P</v>
      </c>
      <c r="P250" t="str">
        <v>BADF</v>
      </c>
      <c r="Q250" t="str">
        <v>SUPER SENIOR</v>
      </c>
      <c r="R250">
        <v>8</v>
      </c>
      <c r="S250">
        <v>0</v>
      </c>
      <c r="T250">
        <v>0</v>
      </c>
      <c r="U250">
        <v>0</v>
      </c>
      <c r="V250">
        <v>0</v>
      </c>
      <c r="W250">
        <v>76</v>
      </c>
      <c r="X250">
        <v>96</v>
      </c>
    </row>
    <row r="251" spans="2:24" x14ac:dyDescent="0.45">
      <c r="B251" t="str">
        <v>D125</v>
      </c>
      <c r="C251" t="str">
        <v>SAYYAD MOHAMMED VASIL</v>
      </c>
      <c r="D251" t="str">
        <v>DAHF</v>
      </c>
      <c r="E251" t="str">
        <v>SUPER SENIOR</v>
      </c>
      <c r="F251">
        <v>8</v>
      </c>
      <c r="G251">
        <v>0</v>
      </c>
      <c r="H251">
        <v>0</v>
      </c>
      <c r="I251">
        <v>0</v>
      </c>
      <c r="J251">
        <v>0</v>
      </c>
      <c r="K251">
        <v>255</v>
      </c>
      <c r="L251">
        <v>255</v>
      </c>
      <c r="N251" t="str">
        <v>D125</v>
      </c>
      <c r="O251" t="str">
        <v>SAYYAD MOHAMMED VASIL</v>
      </c>
      <c r="P251" t="str">
        <v>DAHF</v>
      </c>
      <c r="Q251" t="str">
        <v>SUPER SENIOR</v>
      </c>
      <c r="R251">
        <v>8</v>
      </c>
      <c r="S251">
        <v>0</v>
      </c>
      <c r="T251">
        <v>0</v>
      </c>
      <c r="U251">
        <v>0</v>
      </c>
      <c r="V251">
        <v>0</v>
      </c>
      <c r="W251">
        <v>76</v>
      </c>
      <c r="X251">
        <v>96</v>
      </c>
    </row>
    <row r="252" spans="2:24" x14ac:dyDescent="0.45">
      <c r="B252" t="str">
        <v>D126</v>
      </c>
      <c r="C252" t="str">
        <v>MUHAMMED MIDHLAJ KK</v>
      </c>
      <c r="D252" t="str">
        <v>BADF</v>
      </c>
      <c r="E252" t="str">
        <v>SUPER SENIOR</v>
      </c>
      <c r="F252">
        <v>8</v>
      </c>
      <c r="G252">
        <v>10</v>
      </c>
      <c r="H252">
        <v>0</v>
      </c>
      <c r="I252">
        <v>10</v>
      </c>
      <c r="J252">
        <v>10</v>
      </c>
      <c r="K252">
        <v>131</v>
      </c>
      <c r="L252">
        <v>131</v>
      </c>
      <c r="N252" t="str">
        <v>D126</v>
      </c>
      <c r="O252" t="str">
        <v>MUHAMMED MIDHLAJ KK</v>
      </c>
      <c r="P252" t="str">
        <v>BADF</v>
      </c>
      <c r="Q252" t="str">
        <v>SUPER SENIOR</v>
      </c>
      <c r="R252">
        <v>8</v>
      </c>
      <c r="S252">
        <v>0</v>
      </c>
      <c r="T252">
        <v>0</v>
      </c>
      <c r="U252">
        <v>0</v>
      </c>
      <c r="V252">
        <v>0</v>
      </c>
      <c r="W252">
        <v>76</v>
      </c>
      <c r="X252">
        <v>96</v>
      </c>
    </row>
    <row r="253" spans="2:24" x14ac:dyDescent="0.45">
      <c r="B253" t="str">
        <v>D127</v>
      </c>
      <c r="C253" t="str">
        <v>SHADIN G</v>
      </c>
      <c r="D253" t="str">
        <v>FANT</v>
      </c>
      <c r="E253" t="str">
        <v>SUPER SENIOR</v>
      </c>
      <c r="F253">
        <v>8</v>
      </c>
      <c r="G253">
        <v>50</v>
      </c>
      <c r="H253">
        <v>0</v>
      </c>
      <c r="I253">
        <v>50</v>
      </c>
      <c r="J253">
        <v>50</v>
      </c>
      <c r="K253">
        <v>15</v>
      </c>
      <c r="L253">
        <v>15</v>
      </c>
      <c r="N253" t="str">
        <v>D127</v>
      </c>
      <c r="O253" t="str">
        <v>SHADIN G</v>
      </c>
      <c r="P253" t="str">
        <v>FANT</v>
      </c>
      <c r="Q253" t="str">
        <v>SUPER SENIOR</v>
      </c>
      <c r="R253">
        <v>8</v>
      </c>
      <c r="S253">
        <v>0</v>
      </c>
      <c r="T253">
        <v>0</v>
      </c>
      <c r="U253">
        <v>0</v>
      </c>
      <c r="V253">
        <v>0</v>
      </c>
      <c r="W253">
        <v>76</v>
      </c>
      <c r="X253">
        <v>96</v>
      </c>
    </row>
    <row r="254" spans="2:24" x14ac:dyDescent="0.45">
      <c r="B254" t="str">
        <v>D128</v>
      </c>
      <c r="C254" t="str">
        <v>MEHAZIN AMAN T</v>
      </c>
      <c r="D254" t="str">
        <v>FANT</v>
      </c>
      <c r="E254" t="str">
        <v>SUPER SENIOR</v>
      </c>
      <c r="F254">
        <v>8</v>
      </c>
      <c r="G254">
        <v>28</v>
      </c>
      <c r="H254">
        <v>0</v>
      </c>
      <c r="I254">
        <v>28</v>
      </c>
      <c r="J254">
        <v>28</v>
      </c>
      <c r="K254">
        <v>51</v>
      </c>
      <c r="L254">
        <v>51</v>
      </c>
      <c r="N254" t="str">
        <v>D128</v>
      </c>
      <c r="O254" t="str">
        <v>MEHAZIN AMAN T</v>
      </c>
      <c r="P254" t="str">
        <v>FANT</v>
      </c>
      <c r="Q254" t="str">
        <v>SUPER SENIOR</v>
      </c>
      <c r="R254">
        <v>8</v>
      </c>
      <c r="S254">
        <v>0</v>
      </c>
      <c r="T254">
        <v>0</v>
      </c>
      <c r="U254">
        <v>0</v>
      </c>
      <c r="V254">
        <v>0</v>
      </c>
      <c r="W254">
        <v>76</v>
      </c>
      <c r="X254">
        <v>96</v>
      </c>
    </row>
    <row r="255" spans="2:24" x14ac:dyDescent="0.45">
      <c r="B255" t="str">
        <v>D129</v>
      </c>
      <c r="C255" t="str">
        <v>MUHAMMED UNAIS CK</v>
      </c>
      <c r="D255" t="str">
        <v>BADF</v>
      </c>
      <c r="E255" t="str">
        <v>SUPER SENIOR</v>
      </c>
      <c r="F255">
        <v>8</v>
      </c>
      <c r="G255">
        <v>25</v>
      </c>
      <c r="H255">
        <v>0</v>
      </c>
      <c r="I255">
        <v>25</v>
      </c>
      <c r="J255">
        <v>25</v>
      </c>
      <c r="K255">
        <v>60</v>
      </c>
      <c r="L255">
        <v>60</v>
      </c>
      <c r="N255" t="str">
        <v>D129</v>
      </c>
      <c r="O255" t="str">
        <v>MUHAMMED UNAIS CK</v>
      </c>
      <c r="P255" t="str">
        <v>BADF</v>
      </c>
      <c r="Q255" t="str">
        <v>SUPER SENIOR</v>
      </c>
      <c r="R255">
        <v>8</v>
      </c>
      <c r="S255">
        <v>0</v>
      </c>
      <c r="T255">
        <v>3</v>
      </c>
      <c r="U255">
        <v>3</v>
      </c>
      <c r="V255">
        <v>8</v>
      </c>
      <c r="W255">
        <v>30</v>
      </c>
      <c r="X255">
        <v>12</v>
      </c>
    </row>
    <row r="256" spans="2:24" x14ac:dyDescent="0.45">
      <c r="B256" t="str">
        <v>D130</v>
      </c>
      <c r="C256" t="str">
        <v>ZAINUDEEN</v>
      </c>
      <c r="D256" t="str">
        <v>DAHF</v>
      </c>
      <c r="E256" t="str">
        <v>SUPER SENIOR</v>
      </c>
      <c r="F256">
        <v>9</v>
      </c>
      <c r="G256">
        <v>0</v>
      </c>
      <c r="H256">
        <v>0</v>
      </c>
      <c r="I256">
        <v>0</v>
      </c>
      <c r="J256">
        <v>0</v>
      </c>
      <c r="K256">
        <v>255</v>
      </c>
      <c r="L256">
        <v>255</v>
      </c>
      <c r="N256" t="str">
        <v>D130</v>
      </c>
      <c r="O256" t="str">
        <v>ZAINUDEEN</v>
      </c>
      <c r="P256" t="str">
        <v>DAHF</v>
      </c>
      <c r="Q256" t="str">
        <v>SUPER SENIOR</v>
      </c>
      <c r="R256">
        <v>9</v>
      </c>
      <c r="S256">
        <v>0</v>
      </c>
      <c r="T256">
        <v>0</v>
      </c>
      <c r="U256">
        <v>0</v>
      </c>
      <c r="V256">
        <v>0</v>
      </c>
      <c r="W256">
        <v>76</v>
      </c>
      <c r="X256">
        <v>96</v>
      </c>
    </row>
    <row r="257" spans="2:24" x14ac:dyDescent="0.45">
      <c r="B257" t="str">
        <v>D131</v>
      </c>
      <c r="C257" t="str">
        <v>MAHAMMAD RIYAZ</v>
      </c>
      <c r="D257" t="str">
        <v>DAHF</v>
      </c>
      <c r="E257" t="str">
        <v>SUPER SENIOR</v>
      </c>
      <c r="F257">
        <v>9</v>
      </c>
      <c r="G257">
        <v>6</v>
      </c>
      <c r="H257">
        <v>0</v>
      </c>
      <c r="I257">
        <v>6</v>
      </c>
      <c r="J257">
        <v>6</v>
      </c>
      <c r="K257">
        <v>171</v>
      </c>
      <c r="L257">
        <v>171</v>
      </c>
      <c r="N257" t="str">
        <v>D131</v>
      </c>
      <c r="O257" t="str">
        <v>MAHAMMAD RIYAZ</v>
      </c>
      <c r="P257" t="str">
        <v>DAHF</v>
      </c>
      <c r="Q257" t="str">
        <v>SUPER SENIOR</v>
      </c>
      <c r="R257">
        <v>9</v>
      </c>
      <c r="S257">
        <v>0</v>
      </c>
      <c r="T257">
        <v>0</v>
      </c>
      <c r="U257">
        <v>0</v>
      </c>
      <c r="V257">
        <v>0</v>
      </c>
      <c r="W257">
        <v>76</v>
      </c>
      <c r="X257">
        <v>96</v>
      </c>
    </row>
    <row r="258" spans="2:24" x14ac:dyDescent="0.45">
      <c r="B258" t="str">
        <v>D132</v>
      </c>
      <c r="C258" t="str">
        <v>ABOOBAKR MA'ROOF</v>
      </c>
      <c r="D258" t="str">
        <v>FANT</v>
      </c>
      <c r="E258" t="str">
        <v>SUPER SENIOR</v>
      </c>
      <c r="F258">
        <v>9</v>
      </c>
      <c r="G258">
        <v>7</v>
      </c>
      <c r="H258">
        <v>0</v>
      </c>
      <c r="I258">
        <v>7</v>
      </c>
      <c r="J258">
        <v>7</v>
      </c>
      <c r="K258">
        <v>167</v>
      </c>
      <c r="L258">
        <v>167</v>
      </c>
      <c r="N258" t="str">
        <v>D132</v>
      </c>
      <c r="O258" t="str">
        <v>ABOOBAKR MA'ROOF</v>
      </c>
      <c r="P258" t="str">
        <v>FANT</v>
      </c>
      <c r="Q258" t="str">
        <v>SUPER SENIOR</v>
      </c>
      <c r="R258">
        <v>9</v>
      </c>
      <c r="S258">
        <v>0</v>
      </c>
      <c r="T258">
        <v>1</v>
      </c>
      <c r="U258">
        <v>1</v>
      </c>
      <c r="V258">
        <v>1</v>
      </c>
      <c r="W258">
        <v>54</v>
      </c>
      <c r="X258">
        <v>69</v>
      </c>
    </row>
    <row r="259" spans="2:24" x14ac:dyDescent="0.45">
      <c r="B259" t="str">
        <v>D133</v>
      </c>
      <c r="C259" t="str">
        <v>MOHAMMED SHAMSHEER</v>
      </c>
      <c r="D259" t="str">
        <v>FANT</v>
      </c>
      <c r="E259" t="str">
        <v>SUPER SENIOR</v>
      </c>
      <c r="F259">
        <v>9</v>
      </c>
      <c r="G259">
        <v>25</v>
      </c>
      <c r="H259">
        <v>0</v>
      </c>
      <c r="I259">
        <v>25</v>
      </c>
      <c r="J259">
        <v>25</v>
      </c>
      <c r="K259">
        <v>60</v>
      </c>
      <c r="L259">
        <v>60</v>
      </c>
      <c r="N259" t="str">
        <v>D133</v>
      </c>
      <c r="O259" t="str">
        <v>MOHAMMED SHAMSHEER</v>
      </c>
      <c r="P259" t="str">
        <v>FANT</v>
      </c>
      <c r="Q259" t="str">
        <v>SUPER SENIOR</v>
      </c>
      <c r="R259">
        <v>9</v>
      </c>
      <c r="S259">
        <v>0</v>
      </c>
      <c r="T259">
        <v>0</v>
      </c>
      <c r="U259">
        <v>0</v>
      </c>
      <c r="V259">
        <v>0</v>
      </c>
      <c r="W259">
        <v>76</v>
      </c>
      <c r="X259">
        <v>96</v>
      </c>
    </row>
    <row r="260" spans="2:24" x14ac:dyDescent="0.45">
      <c r="B260" t="str">
        <v>D134</v>
      </c>
      <c r="C260" t="str">
        <v>AJMAL ANEES</v>
      </c>
      <c r="D260" t="str">
        <v>FANT</v>
      </c>
      <c r="E260" t="str">
        <v>SUPER SENIOR</v>
      </c>
      <c r="F260">
        <v>9</v>
      </c>
      <c r="G260">
        <v>0</v>
      </c>
      <c r="H260">
        <v>0</v>
      </c>
      <c r="I260">
        <v>0</v>
      </c>
      <c r="J260">
        <v>0</v>
      </c>
      <c r="K260">
        <v>255</v>
      </c>
      <c r="L260">
        <v>255</v>
      </c>
      <c r="N260" t="str">
        <v>D134</v>
      </c>
      <c r="O260" t="str">
        <v>AJMAL ANEES</v>
      </c>
      <c r="P260" t="str">
        <v>FANT</v>
      </c>
      <c r="Q260" t="str">
        <v>SUPER SENIOR</v>
      </c>
      <c r="R260">
        <v>9</v>
      </c>
      <c r="S260">
        <v>1</v>
      </c>
      <c r="T260">
        <v>0</v>
      </c>
      <c r="U260">
        <v>1</v>
      </c>
      <c r="V260">
        <v>1</v>
      </c>
      <c r="W260">
        <v>54</v>
      </c>
      <c r="X260">
        <v>69</v>
      </c>
    </row>
    <row r="261" spans="2:24" x14ac:dyDescent="0.45">
      <c r="B261" t="str">
        <v>D135</v>
      </c>
      <c r="C261" t="str">
        <v>HASHIR HUSSAIN IK</v>
      </c>
      <c r="D261" t="str">
        <v>DAHF</v>
      </c>
      <c r="E261" t="str">
        <v>SUPER SENIOR</v>
      </c>
      <c r="F261">
        <v>9</v>
      </c>
      <c r="G261">
        <v>10</v>
      </c>
      <c r="H261">
        <v>0</v>
      </c>
      <c r="I261">
        <v>10</v>
      </c>
      <c r="J261">
        <v>10</v>
      </c>
      <c r="K261">
        <v>131</v>
      </c>
      <c r="L261">
        <v>131</v>
      </c>
      <c r="N261" t="str">
        <v>D135</v>
      </c>
      <c r="O261" t="str">
        <v>HASHIR HUSSAIN IK</v>
      </c>
      <c r="P261" t="str">
        <v>DAHF</v>
      </c>
      <c r="Q261" t="str">
        <v>SUPER SENIOR</v>
      </c>
      <c r="R261">
        <v>9</v>
      </c>
      <c r="S261">
        <v>0</v>
      </c>
      <c r="T261">
        <v>0</v>
      </c>
      <c r="U261">
        <v>0</v>
      </c>
      <c r="V261">
        <v>0</v>
      </c>
      <c r="W261">
        <v>76</v>
      </c>
      <c r="X261">
        <v>96</v>
      </c>
    </row>
    <row r="262" spans="2:24" x14ac:dyDescent="0.45">
      <c r="B262" t="str">
        <v>D136</v>
      </c>
      <c r="C262" t="str">
        <v>MUHAMMED ASBAQUE</v>
      </c>
      <c r="D262" t="str">
        <v>JARF</v>
      </c>
      <c r="E262" t="str">
        <v>SUPER SENIOR</v>
      </c>
      <c r="F262">
        <v>9</v>
      </c>
      <c r="G262">
        <v>0</v>
      </c>
      <c r="H262">
        <v>0</v>
      </c>
      <c r="I262">
        <v>0</v>
      </c>
      <c r="J262">
        <v>0</v>
      </c>
      <c r="K262">
        <v>255</v>
      </c>
      <c r="L262">
        <v>255</v>
      </c>
      <c r="N262" t="str">
        <v>D136</v>
      </c>
      <c r="O262" t="str">
        <v>MUHAMMED ASBAQUE</v>
      </c>
      <c r="P262" t="str">
        <v>JARF</v>
      </c>
      <c r="Q262" t="str">
        <v>SUPER SENIOR</v>
      </c>
      <c r="R262">
        <v>9</v>
      </c>
      <c r="S262">
        <v>5</v>
      </c>
      <c r="T262">
        <v>0</v>
      </c>
      <c r="U262">
        <v>5</v>
      </c>
      <c r="V262">
        <v>11</v>
      </c>
      <c r="W262">
        <v>13</v>
      </c>
      <c r="X262">
        <v>6</v>
      </c>
    </row>
    <row r="263" spans="2:24" x14ac:dyDescent="0.45">
      <c r="B263" t="str">
        <v>D137</v>
      </c>
      <c r="C263" t="str">
        <v>AYYOOB V.N</v>
      </c>
      <c r="D263" t="str">
        <v>BADF</v>
      </c>
      <c r="E263" t="str">
        <v>SUPER SENIOR</v>
      </c>
      <c r="F263">
        <v>9</v>
      </c>
      <c r="G263">
        <v>9</v>
      </c>
      <c r="H263">
        <v>0</v>
      </c>
      <c r="I263">
        <v>9</v>
      </c>
      <c r="J263">
        <v>9</v>
      </c>
      <c r="K263">
        <v>139</v>
      </c>
      <c r="L263">
        <v>139</v>
      </c>
      <c r="N263" t="str">
        <v>D137</v>
      </c>
      <c r="O263" t="str">
        <v>AYYOOB V.N</v>
      </c>
      <c r="P263" t="str">
        <v>BADF</v>
      </c>
      <c r="Q263" t="str">
        <v>SUPER SENIOR</v>
      </c>
      <c r="R263">
        <v>9</v>
      </c>
      <c r="S263">
        <v>0</v>
      </c>
      <c r="T263">
        <v>0</v>
      </c>
      <c r="U263">
        <v>0</v>
      </c>
      <c r="V263">
        <v>0</v>
      </c>
      <c r="W263">
        <v>76</v>
      </c>
      <c r="X263">
        <v>96</v>
      </c>
    </row>
    <row r="264" spans="2:24" x14ac:dyDescent="0.45">
      <c r="B264" t="str">
        <v>D138</v>
      </c>
      <c r="C264" t="str">
        <v>MOHAMMED JAWAD A</v>
      </c>
      <c r="D264" t="str">
        <v>FANT</v>
      </c>
      <c r="E264" t="str">
        <v>SUPER SENIOR</v>
      </c>
      <c r="F264">
        <v>9</v>
      </c>
      <c r="G264">
        <v>0</v>
      </c>
      <c r="H264">
        <v>0</v>
      </c>
      <c r="I264">
        <v>0</v>
      </c>
      <c r="J264">
        <v>0</v>
      </c>
      <c r="K264">
        <v>255</v>
      </c>
      <c r="L264">
        <v>255</v>
      </c>
      <c r="N264" t="str">
        <v>D138</v>
      </c>
      <c r="O264" t="str">
        <v>MOHAMMED JAWAD A</v>
      </c>
      <c r="P264" t="str">
        <v>FANT</v>
      </c>
      <c r="Q264" t="str">
        <v>SUPER SENIOR</v>
      </c>
      <c r="R264">
        <v>9</v>
      </c>
      <c r="S264">
        <v>0</v>
      </c>
      <c r="T264">
        <v>0</v>
      </c>
      <c r="U264">
        <v>0</v>
      </c>
      <c r="V264">
        <v>0</v>
      </c>
      <c r="W264">
        <v>76</v>
      </c>
      <c r="X264">
        <v>96</v>
      </c>
    </row>
    <row r="265" spans="2:24" x14ac:dyDescent="0.45">
      <c r="B265" t="str">
        <v>D139</v>
      </c>
      <c r="C265" t="str">
        <v>AHAMMED MUBARAK KA</v>
      </c>
      <c r="D265" t="str">
        <v>JARF</v>
      </c>
      <c r="E265" t="str">
        <v>SUPER SENIOR</v>
      </c>
      <c r="F265">
        <v>9</v>
      </c>
      <c r="G265">
        <v>0</v>
      </c>
      <c r="H265">
        <v>0</v>
      </c>
      <c r="I265">
        <v>0</v>
      </c>
      <c r="J265">
        <v>0</v>
      </c>
      <c r="K265">
        <v>255</v>
      </c>
      <c r="L265">
        <v>255</v>
      </c>
      <c r="N265" t="str">
        <v>D139</v>
      </c>
      <c r="O265" t="str">
        <v>AHAMMED MUBARAK KA</v>
      </c>
      <c r="P265" t="str">
        <v>JARF</v>
      </c>
      <c r="Q265" t="str">
        <v>SUPER SENIOR</v>
      </c>
      <c r="R265">
        <v>9</v>
      </c>
      <c r="S265">
        <v>3</v>
      </c>
      <c r="T265">
        <v>0</v>
      </c>
      <c r="U265">
        <v>3</v>
      </c>
      <c r="V265">
        <v>3</v>
      </c>
      <c r="W265">
        <v>30</v>
      </c>
      <c r="X265">
        <v>46</v>
      </c>
    </row>
    <row r="266" spans="2:24" x14ac:dyDescent="0.45">
      <c r="B266" t="str">
        <v>D140</v>
      </c>
      <c r="C266" t="str">
        <v>MUHAMMED FAISAL A K</v>
      </c>
      <c r="D266" t="str">
        <v>DAHF</v>
      </c>
      <c r="E266" t="str">
        <v>SUPER SENIOR</v>
      </c>
      <c r="F266">
        <v>9</v>
      </c>
      <c r="G266">
        <v>75</v>
      </c>
      <c r="H266">
        <v>0</v>
      </c>
      <c r="I266">
        <v>75</v>
      </c>
      <c r="J266">
        <v>75</v>
      </c>
      <c r="K266">
        <v>1</v>
      </c>
      <c r="L266">
        <v>1</v>
      </c>
      <c r="N266" t="str">
        <v>D140</v>
      </c>
      <c r="O266" t="str">
        <v>MUHAMMED FAISAL A K</v>
      </c>
      <c r="P266" t="str">
        <v>DAHF</v>
      </c>
      <c r="Q266" t="str">
        <v>SUPER SENIOR</v>
      </c>
      <c r="R266">
        <v>9</v>
      </c>
      <c r="S266">
        <v>0</v>
      </c>
      <c r="T266">
        <v>0</v>
      </c>
      <c r="U266">
        <v>0</v>
      </c>
      <c r="V266">
        <v>0</v>
      </c>
      <c r="W266">
        <v>76</v>
      </c>
      <c r="X266">
        <v>96</v>
      </c>
    </row>
    <row r="267" spans="2:24" x14ac:dyDescent="0.45">
      <c r="B267" t="str">
        <v>D141</v>
      </c>
      <c r="C267" t="str">
        <v>MUHAMMAD MUSTHAFA P.K</v>
      </c>
      <c r="D267" t="str">
        <v>BADF</v>
      </c>
      <c r="E267" t="str">
        <v>SUPER SENIOR</v>
      </c>
      <c r="F267">
        <v>9</v>
      </c>
      <c r="G267">
        <v>14</v>
      </c>
      <c r="H267">
        <v>0</v>
      </c>
      <c r="I267">
        <v>14</v>
      </c>
      <c r="J267">
        <v>14</v>
      </c>
      <c r="K267">
        <v>104</v>
      </c>
      <c r="L267">
        <v>104</v>
      </c>
      <c r="N267" t="str">
        <v>D141</v>
      </c>
      <c r="O267" t="str">
        <v>MUHAMMAD MUSTHAFA P.K</v>
      </c>
      <c r="P267" t="str">
        <v>BADF</v>
      </c>
      <c r="Q267" t="str">
        <v>SUPER SENIOR</v>
      </c>
      <c r="R267">
        <v>9</v>
      </c>
      <c r="S267">
        <v>0</v>
      </c>
      <c r="T267">
        <v>0</v>
      </c>
      <c r="U267">
        <v>0</v>
      </c>
      <c r="V267">
        <v>1</v>
      </c>
      <c r="W267">
        <v>76</v>
      </c>
      <c r="X267">
        <v>69</v>
      </c>
    </row>
    <row r="268" spans="2:24" x14ac:dyDescent="0.45">
      <c r="B268" t="str">
        <v>D142</v>
      </c>
      <c r="C268" t="str">
        <v>ISHAM V.K</v>
      </c>
      <c r="D268" t="str">
        <v>FANT</v>
      </c>
      <c r="E268" t="str">
        <v>SUPER SENIOR</v>
      </c>
      <c r="F268">
        <v>9</v>
      </c>
      <c r="G268">
        <v>0</v>
      </c>
      <c r="H268">
        <v>0</v>
      </c>
      <c r="I268">
        <v>0</v>
      </c>
      <c r="J268">
        <v>0</v>
      </c>
      <c r="K268">
        <v>255</v>
      </c>
      <c r="L268">
        <v>255</v>
      </c>
      <c r="N268" t="str">
        <v>D142</v>
      </c>
      <c r="O268" t="str">
        <v>ISHAM V.K</v>
      </c>
      <c r="P268" t="str">
        <v>FANT</v>
      </c>
      <c r="Q268" t="str">
        <v>SUPER SENIOR</v>
      </c>
      <c r="R268">
        <v>9</v>
      </c>
      <c r="S268">
        <v>0</v>
      </c>
      <c r="T268">
        <v>0</v>
      </c>
      <c r="U268">
        <v>0</v>
      </c>
      <c r="V268">
        <v>0</v>
      </c>
      <c r="W268">
        <v>76</v>
      </c>
      <c r="X268">
        <v>96</v>
      </c>
    </row>
    <row r="269" spans="2:24" x14ac:dyDescent="0.45">
      <c r="B269" t="str">
        <v>D143</v>
      </c>
      <c r="C269" t="str">
        <v>MUHAMMED MA</v>
      </c>
      <c r="D269" t="str">
        <v>BADF</v>
      </c>
      <c r="E269" t="str">
        <v>SUPER SENIOR</v>
      </c>
      <c r="F269">
        <v>9</v>
      </c>
      <c r="G269">
        <v>6</v>
      </c>
      <c r="H269">
        <v>0</v>
      </c>
      <c r="I269">
        <v>6</v>
      </c>
      <c r="J269">
        <v>6</v>
      </c>
      <c r="K269">
        <v>171</v>
      </c>
      <c r="L269">
        <v>171</v>
      </c>
      <c r="N269" t="str">
        <v>D143</v>
      </c>
      <c r="O269" t="str">
        <v>MUHAMMED MA</v>
      </c>
      <c r="P269" t="str">
        <v>BADF</v>
      </c>
      <c r="Q269" t="str">
        <v>SUPER SENIOR</v>
      </c>
      <c r="R269">
        <v>9</v>
      </c>
      <c r="S269">
        <v>0</v>
      </c>
      <c r="T269">
        <v>0</v>
      </c>
      <c r="U269">
        <v>0</v>
      </c>
      <c r="V269">
        <v>1</v>
      </c>
      <c r="W269">
        <v>76</v>
      </c>
      <c r="X269">
        <v>69</v>
      </c>
    </row>
    <row r="270" spans="2:24" x14ac:dyDescent="0.45">
      <c r="B270" t="str">
        <v>D144</v>
      </c>
      <c r="C270" t="str">
        <v>MUHAMMED RASHAD KA</v>
      </c>
      <c r="D270" t="str">
        <v>JARF</v>
      </c>
      <c r="E270" t="str">
        <v>SUPER SENIOR</v>
      </c>
      <c r="F270">
        <v>9</v>
      </c>
      <c r="G270">
        <v>0</v>
      </c>
      <c r="H270">
        <v>0</v>
      </c>
      <c r="I270">
        <v>0</v>
      </c>
      <c r="J270">
        <v>0</v>
      </c>
      <c r="K270">
        <v>255</v>
      </c>
      <c r="L270">
        <v>255</v>
      </c>
      <c r="N270" t="str">
        <v>D144</v>
      </c>
      <c r="O270" t="str">
        <v>MUHAMMED RASHAD KA</v>
      </c>
      <c r="P270" t="str">
        <v>JARF</v>
      </c>
      <c r="Q270" t="str">
        <v>SUPER SENIOR</v>
      </c>
      <c r="R270">
        <v>9</v>
      </c>
      <c r="S270">
        <v>0</v>
      </c>
      <c r="T270">
        <v>0</v>
      </c>
      <c r="U270">
        <v>0</v>
      </c>
      <c r="V270">
        <v>0</v>
      </c>
      <c r="W270">
        <v>76</v>
      </c>
      <c r="X270">
        <v>96</v>
      </c>
    </row>
    <row r="271" spans="2:24" x14ac:dyDescent="0.45">
      <c r="B271" t="str">
        <v>D145</v>
      </c>
      <c r="C271" t="str">
        <v>ABBAS ARFAS O.R</v>
      </c>
      <c r="D271" t="str">
        <v>BADF</v>
      </c>
      <c r="E271" t="str">
        <v>SUPER SENIOR</v>
      </c>
      <c r="F271">
        <v>9</v>
      </c>
      <c r="G271">
        <v>10</v>
      </c>
      <c r="H271">
        <v>0</v>
      </c>
      <c r="I271">
        <v>10</v>
      </c>
      <c r="J271">
        <v>10</v>
      </c>
      <c r="K271">
        <v>131</v>
      </c>
      <c r="L271">
        <v>131</v>
      </c>
      <c r="N271" t="str">
        <v>D145</v>
      </c>
      <c r="O271" t="str">
        <v>ABBAS ARFAS O.R</v>
      </c>
      <c r="P271" t="str">
        <v>BADF</v>
      </c>
      <c r="Q271" t="str">
        <v>SUPER SENIOR</v>
      </c>
      <c r="R271">
        <v>9</v>
      </c>
      <c r="S271">
        <v>0</v>
      </c>
      <c r="T271">
        <v>0</v>
      </c>
      <c r="U271">
        <v>0</v>
      </c>
      <c r="V271">
        <v>0</v>
      </c>
      <c r="W271">
        <v>76</v>
      </c>
      <c r="X271">
        <v>96</v>
      </c>
    </row>
    <row r="272" spans="2:24" x14ac:dyDescent="0.45">
      <c r="B272" t="str">
        <v>D146</v>
      </c>
      <c r="C272" t="str">
        <v>ABDUL YOUNUS</v>
      </c>
      <c r="D272" t="str">
        <v>DAHF</v>
      </c>
      <c r="E272" t="str">
        <v>SUPER SENIOR</v>
      </c>
      <c r="F272">
        <v>9</v>
      </c>
      <c r="G272">
        <v>6</v>
      </c>
      <c r="H272">
        <v>0</v>
      </c>
      <c r="I272">
        <v>6</v>
      </c>
      <c r="J272">
        <v>6</v>
      </c>
      <c r="K272">
        <v>171</v>
      </c>
      <c r="L272">
        <v>171</v>
      </c>
      <c r="N272" t="str">
        <v>D146</v>
      </c>
      <c r="O272" t="str">
        <v>ABDUL YOUNUS</v>
      </c>
      <c r="P272" t="str">
        <v>DAHF</v>
      </c>
      <c r="Q272" t="str">
        <v>SUPER SENIOR</v>
      </c>
      <c r="R272">
        <v>9</v>
      </c>
      <c r="S272">
        <v>0</v>
      </c>
      <c r="T272">
        <v>0</v>
      </c>
      <c r="U272">
        <v>0</v>
      </c>
      <c r="V272">
        <v>0</v>
      </c>
      <c r="W272">
        <v>76</v>
      </c>
      <c r="X272">
        <v>96</v>
      </c>
    </row>
    <row r="273" spans="2:24" x14ac:dyDescent="0.45">
      <c r="B273" t="str">
        <v>D147</v>
      </c>
      <c r="C273" t="str">
        <v>MOHAMMED SHAHZAN T.K</v>
      </c>
      <c r="D273" t="str">
        <v>FANT</v>
      </c>
      <c r="E273" t="str">
        <v>SUPER SENIOR</v>
      </c>
      <c r="F273">
        <v>9</v>
      </c>
      <c r="G273">
        <v>54</v>
      </c>
      <c r="H273">
        <v>0</v>
      </c>
      <c r="I273">
        <v>54</v>
      </c>
      <c r="J273">
        <v>54</v>
      </c>
      <c r="K273">
        <v>9</v>
      </c>
      <c r="L273">
        <v>9</v>
      </c>
      <c r="N273" t="str">
        <v>D147</v>
      </c>
      <c r="O273" t="str">
        <v>MOHAMMED SHAHZAN T.K</v>
      </c>
      <c r="P273" t="str">
        <v>FANT</v>
      </c>
      <c r="Q273" t="str">
        <v>SUPER SENIOR</v>
      </c>
      <c r="R273">
        <v>9</v>
      </c>
      <c r="S273">
        <v>0</v>
      </c>
      <c r="T273">
        <v>3</v>
      </c>
      <c r="U273">
        <v>3</v>
      </c>
      <c r="V273">
        <v>3</v>
      </c>
      <c r="W273">
        <v>30</v>
      </c>
      <c r="X273">
        <v>46</v>
      </c>
    </row>
    <row r="274" spans="2:24" x14ac:dyDescent="0.45">
      <c r="B274" t="str">
        <v>D148</v>
      </c>
      <c r="C274" t="str">
        <v>UMARUL FAROOK K .K</v>
      </c>
      <c r="D274" t="str">
        <v>DAHF</v>
      </c>
      <c r="E274" t="str">
        <v>SUPER SENIOR</v>
      </c>
      <c r="F274">
        <v>9</v>
      </c>
      <c r="G274">
        <v>0</v>
      </c>
      <c r="H274">
        <v>0</v>
      </c>
      <c r="I274">
        <v>0</v>
      </c>
      <c r="J274">
        <v>0</v>
      </c>
      <c r="K274">
        <v>255</v>
      </c>
      <c r="L274">
        <v>255</v>
      </c>
      <c r="N274" t="str">
        <v>D148</v>
      </c>
      <c r="O274" t="str">
        <v>UMARUL FAROOK K .K</v>
      </c>
      <c r="P274" t="str">
        <v>DAHF</v>
      </c>
      <c r="Q274" t="str">
        <v>SUPER SENIOR</v>
      </c>
      <c r="R274">
        <v>9</v>
      </c>
      <c r="S274">
        <v>0</v>
      </c>
      <c r="T274">
        <v>0</v>
      </c>
      <c r="U274">
        <v>0</v>
      </c>
      <c r="V274">
        <v>0</v>
      </c>
      <c r="W274">
        <v>76</v>
      </c>
      <c r="X274">
        <v>96</v>
      </c>
    </row>
    <row r="275" spans="2:24" x14ac:dyDescent="0.45">
      <c r="B275" t="str">
        <v>D149</v>
      </c>
      <c r="C275" t="str">
        <v>MOHAMMED MARZOOK AM</v>
      </c>
      <c r="D275" t="str">
        <v>JARF</v>
      </c>
      <c r="E275" t="str">
        <v>SUPER SENIOR</v>
      </c>
      <c r="F275">
        <v>9</v>
      </c>
      <c r="G275">
        <v>8</v>
      </c>
      <c r="H275">
        <v>0</v>
      </c>
      <c r="I275">
        <v>8</v>
      </c>
      <c r="J275">
        <v>8</v>
      </c>
      <c r="K275">
        <v>147</v>
      </c>
      <c r="L275">
        <v>147</v>
      </c>
      <c r="N275" t="str">
        <v>D149</v>
      </c>
      <c r="O275" t="str">
        <v>MOHAMMED MARZOOK AM</v>
      </c>
      <c r="P275" t="str">
        <v>JARF</v>
      </c>
      <c r="Q275" t="str">
        <v>SUPER SENIOR</v>
      </c>
      <c r="R275">
        <v>9</v>
      </c>
      <c r="S275">
        <v>0</v>
      </c>
      <c r="T275">
        <v>0</v>
      </c>
      <c r="U275">
        <v>0</v>
      </c>
      <c r="V275">
        <v>0</v>
      </c>
      <c r="W275">
        <v>76</v>
      </c>
      <c r="X275">
        <v>96</v>
      </c>
    </row>
    <row r="276" spans="2:24" x14ac:dyDescent="0.45">
      <c r="B276" t="str">
        <v>D150</v>
      </c>
      <c r="C276" t="str">
        <v>ABDUL KHADER</v>
      </c>
      <c r="D276" t="str">
        <v>DAHF</v>
      </c>
      <c r="E276" t="str">
        <v>SUPER SENIOR</v>
      </c>
      <c r="F276">
        <v>9</v>
      </c>
      <c r="G276">
        <v>44</v>
      </c>
      <c r="H276">
        <v>0</v>
      </c>
      <c r="I276">
        <v>44</v>
      </c>
      <c r="J276">
        <v>44</v>
      </c>
      <c r="K276">
        <v>19</v>
      </c>
      <c r="L276">
        <v>19</v>
      </c>
      <c r="N276" t="str">
        <v>D150</v>
      </c>
      <c r="O276" t="str">
        <v>ABDUL KHADER</v>
      </c>
      <c r="P276" t="str">
        <v>DAHF</v>
      </c>
      <c r="Q276" t="str">
        <v>SUPER SENIOR</v>
      </c>
      <c r="R276">
        <v>9</v>
      </c>
      <c r="S276">
        <v>0</v>
      </c>
      <c r="T276">
        <v>0</v>
      </c>
      <c r="U276">
        <v>0</v>
      </c>
      <c r="V276">
        <v>5</v>
      </c>
      <c r="W276">
        <v>76</v>
      </c>
      <c r="X276">
        <v>24</v>
      </c>
    </row>
    <row r="277" spans="2:24" x14ac:dyDescent="0.45">
      <c r="B277" t="str">
        <v>D151</v>
      </c>
      <c r="C277" t="str">
        <v>MUHAMMED SHANAVAS M.A</v>
      </c>
      <c r="D277" t="str">
        <v>JARF</v>
      </c>
      <c r="E277" t="str">
        <v>SUPER SENIOR</v>
      </c>
      <c r="F277">
        <v>9</v>
      </c>
      <c r="G277">
        <v>3</v>
      </c>
      <c r="H277">
        <v>0</v>
      </c>
      <c r="I277">
        <v>3</v>
      </c>
      <c r="J277">
        <v>3</v>
      </c>
      <c r="K277">
        <v>209</v>
      </c>
      <c r="L277">
        <v>209</v>
      </c>
      <c r="N277" t="str">
        <v>D151</v>
      </c>
      <c r="O277" t="str">
        <v>MUHAMMED SHANAVAS M.A</v>
      </c>
      <c r="P277" t="str">
        <v>JARF</v>
      </c>
      <c r="Q277" t="str">
        <v>SUPER SENIOR</v>
      </c>
      <c r="R277">
        <v>9</v>
      </c>
      <c r="S277">
        <v>0</v>
      </c>
      <c r="T277">
        <v>0</v>
      </c>
      <c r="U277">
        <v>0</v>
      </c>
      <c r="V277">
        <v>0</v>
      </c>
      <c r="W277">
        <v>76</v>
      </c>
      <c r="X277">
        <v>96</v>
      </c>
    </row>
    <row r="278" spans="2:24" x14ac:dyDescent="0.45">
      <c r="B278" t="str">
        <v>D152</v>
      </c>
      <c r="C278" t="str">
        <v>MOHAMMAD ISMAIL SINAN KM</v>
      </c>
      <c r="D278" t="str">
        <v>DAHF</v>
      </c>
      <c r="E278" t="str">
        <v>SUPER SENIOR</v>
      </c>
      <c r="F278">
        <v>9</v>
      </c>
      <c r="G278">
        <v>4</v>
      </c>
      <c r="H278">
        <v>0</v>
      </c>
      <c r="I278">
        <v>4</v>
      </c>
      <c r="J278">
        <v>4</v>
      </c>
      <c r="K278">
        <v>197</v>
      </c>
      <c r="L278">
        <v>197</v>
      </c>
      <c r="N278" t="str">
        <v>D152</v>
      </c>
      <c r="O278" t="str">
        <v>MOHAMMAD ISMAIL SINAN KM</v>
      </c>
      <c r="P278" t="str">
        <v>DAHF</v>
      </c>
      <c r="Q278" t="str">
        <v>SUPER SENIOR</v>
      </c>
      <c r="R278">
        <v>9</v>
      </c>
      <c r="S278">
        <v>0</v>
      </c>
      <c r="T278">
        <v>0</v>
      </c>
      <c r="U278">
        <v>0</v>
      </c>
      <c r="V278">
        <v>0</v>
      </c>
      <c r="W278">
        <v>76</v>
      </c>
      <c r="X278">
        <v>96</v>
      </c>
    </row>
    <row r="279" spans="2:24" x14ac:dyDescent="0.45">
      <c r="B279" t="str">
        <v>D153</v>
      </c>
      <c r="C279" t="str">
        <v>MUHAMMED UNAIS PT</v>
      </c>
      <c r="D279" t="str">
        <v>JARF</v>
      </c>
      <c r="E279" t="str">
        <v>SUPER SENIOR</v>
      </c>
      <c r="F279">
        <v>9</v>
      </c>
      <c r="G279">
        <v>11</v>
      </c>
      <c r="H279">
        <v>0</v>
      </c>
      <c r="I279">
        <v>11</v>
      </c>
      <c r="J279">
        <v>11</v>
      </c>
      <c r="K279">
        <v>123</v>
      </c>
      <c r="L279">
        <v>123</v>
      </c>
      <c r="N279" t="str">
        <v>D153</v>
      </c>
      <c r="O279" t="str">
        <v>MUHAMMED UNAIS PT</v>
      </c>
      <c r="P279" t="str">
        <v>JARF</v>
      </c>
      <c r="Q279" t="str">
        <v>SUPER SENIOR</v>
      </c>
      <c r="R279">
        <v>9</v>
      </c>
      <c r="S279">
        <v>0</v>
      </c>
      <c r="T279">
        <v>0</v>
      </c>
      <c r="U279">
        <v>0</v>
      </c>
      <c r="V279">
        <v>0</v>
      </c>
      <c r="W279">
        <v>76</v>
      </c>
      <c r="X279">
        <v>96</v>
      </c>
    </row>
    <row r="280" spans="2:24" x14ac:dyDescent="0.45">
      <c r="B280" t="str">
        <v>D154</v>
      </c>
      <c r="C280" t="str">
        <v>ASHIKK.I</v>
      </c>
      <c r="D280" t="str">
        <v>JARF</v>
      </c>
      <c r="E280" t="str">
        <v>SUPER SENIOR</v>
      </c>
      <c r="F280">
        <v>9</v>
      </c>
      <c r="G280">
        <v>0</v>
      </c>
      <c r="H280">
        <v>0</v>
      </c>
      <c r="I280">
        <v>0</v>
      </c>
      <c r="J280">
        <v>0</v>
      </c>
      <c r="K280">
        <v>255</v>
      </c>
      <c r="L280">
        <v>255</v>
      </c>
      <c r="N280" t="str">
        <v>D154</v>
      </c>
      <c r="O280" t="str">
        <v>ASHIKK.I</v>
      </c>
      <c r="P280" t="str">
        <v>JARF</v>
      </c>
      <c r="Q280" t="str">
        <v>SUPER SENIOR</v>
      </c>
      <c r="R280">
        <v>9</v>
      </c>
      <c r="S280">
        <v>0</v>
      </c>
      <c r="T280">
        <v>0</v>
      </c>
      <c r="U280">
        <v>0</v>
      </c>
      <c r="V280">
        <v>0</v>
      </c>
      <c r="W280">
        <v>76</v>
      </c>
      <c r="X280">
        <v>96</v>
      </c>
    </row>
    <row r="281" spans="2:24" x14ac:dyDescent="0.45">
      <c r="B281" t="str">
        <v>D155</v>
      </c>
      <c r="C281" t="str">
        <v>MUHAMMED YASIR K</v>
      </c>
      <c r="D281" t="str">
        <v>BADF</v>
      </c>
      <c r="E281" t="str">
        <v>SUPER SENIOR</v>
      </c>
      <c r="F281">
        <v>9</v>
      </c>
      <c r="G281">
        <v>24</v>
      </c>
      <c r="H281">
        <v>0</v>
      </c>
      <c r="I281">
        <v>24</v>
      </c>
      <c r="J281">
        <v>24</v>
      </c>
      <c r="K281">
        <v>64</v>
      </c>
      <c r="L281">
        <v>64</v>
      </c>
      <c r="N281" t="str">
        <v>D155</v>
      </c>
      <c r="O281" t="str">
        <v>MUHAMMED YASIR K</v>
      </c>
      <c r="P281" t="str">
        <v>BADF</v>
      </c>
      <c r="Q281" t="str">
        <v>SUPER SENIOR</v>
      </c>
      <c r="R281">
        <v>9</v>
      </c>
      <c r="S281">
        <v>0</v>
      </c>
      <c r="T281">
        <v>0</v>
      </c>
      <c r="U281">
        <v>0</v>
      </c>
      <c r="V281">
        <v>0</v>
      </c>
      <c r="W281">
        <v>76</v>
      </c>
      <c r="X281">
        <v>96</v>
      </c>
    </row>
    <row r="282" spans="2:24" x14ac:dyDescent="0.45">
      <c r="B282" t="str">
        <v>D156</v>
      </c>
      <c r="C282" t="str">
        <v>MUHAMMED BIN ABDUL KADHAR</v>
      </c>
      <c r="D282">
        <v>0</v>
      </c>
      <c r="E282" t="str">
        <v>SUPER SENIOR</v>
      </c>
      <c r="F282">
        <v>9</v>
      </c>
      <c r="G282">
        <v>0</v>
      </c>
      <c r="H282">
        <v>0</v>
      </c>
      <c r="I282">
        <v>0</v>
      </c>
      <c r="J282">
        <v>0</v>
      </c>
      <c r="K282">
        <v>255</v>
      </c>
      <c r="L282">
        <v>255</v>
      </c>
      <c r="N282" t="str">
        <v>D156</v>
      </c>
      <c r="O282" t="str">
        <v>MUHAMMED BIN ABDUL KADHAR</v>
      </c>
      <c r="P282">
        <v>0</v>
      </c>
      <c r="Q282" t="str">
        <v>SUPER SENIOR</v>
      </c>
      <c r="R282">
        <v>9</v>
      </c>
      <c r="S282">
        <v>0</v>
      </c>
      <c r="T282">
        <v>0</v>
      </c>
      <c r="U282">
        <v>0</v>
      </c>
      <c r="V282">
        <v>0</v>
      </c>
      <c r="W282">
        <v>76</v>
      </c>
      <c r="X282">
        <v>96</v>
      </c>
    </row>
    <row r="283" spans="2:24" x14ac:dyDescent="0.45">
      <c r="B283" t="str">
        <v>D157</v>
      </c>
      <c r="C283" t="str">
        <v>MUHAMMAD MUZAMMIL E.A</v>
      </c>
      <c r="D283" t="str">
        <v>BADF</v>
      </c>
      <c r="E283" t="str">
        <v>SUPER SENIOR</v>
      </c>
      <c r="F283">
        <v>9</v>
      </c>
      <c r="G283">
        <v>8</v>
      </c>
      <c r="H283">
        <v>0</v>
      </c>
      <c r="I283">
        <v>8</v>
      </c>
      <c r="J283">
        <v>8</v>
      </c>
      <c r="K283">
        <v>147</v>
      </c>
      <c r="L283">
        <v>147</v>
      </c>
      <c r="N283" t="str">
        <v>D157</v>
      </c>
      <c r="O283" t="str">
        <v>MUHAMMAD MUZAMMIL E.A</v>
      </c>
      <c r="P283" t="str">
        <v>BADF</v>
      </c>
      <c r="Q283" t="str">
        <v>SUPER SENIOR</v>
      </c>
      <c r="R283">
        <v>9</v>
      </c>
      <c r="S283">
        <v>0</v>
      </c>
      <c r="T283">
        <v>0</v>
      </c>
      <c r="U283">
        <v>0</v>
      </c>
      <c r="V283">
        <v>0</v>
      </c>
      <c r="W283">
        <v>76</v>
      </c>
      <c r="X283">
        <v>96</v>
      </c>
    </row>
    <row r="284" spans="2:24" x14ac:dyDescent="0.45">
      <c r="B284" t="str">
        <v>D158</v>
      </c>
      <c r="C284" t="str">
        <v>MUHAMMED UNAIS</v>
      </c>
      <c r="D284">
        <v>0</v>
      </c>
      <c r="E284" t="str">
        <v>SUPER SENIOR</v>
      </c>
      <c r="F284">
        <v>9</v>
      </c>
      <c r="G284">
        <v>0</v>
      </c>
      <c r="H284">
        <v>0</v>
      </c>
      <c r="I284">
        <v>0</v>
      </c>
      <c r="J284">
        <v>0</v>
      </c>
      <c r="K284">
        <v>255</v>
      </c>
      <c r="L284">
        <v>255</v>
      </c>
      <c r="N284" t="str">
        <v>D158</v>
      </c>
      <c r="O284" t="str">
        <v>MUHAMMED UNAIS</v>
      </c>
      <c r="P284">
        <v>0</v>
      </c>
      <c r="Q284" t="str">
        <v>SUPER SENIOR</v>
      </c>
      <c r="R284">
        <v>9</v>
      </c>
      <c r="S284">
        <v>0</v>
      </c>
      <c r="T284">
        <v>0</v>
      </c>
      <c r="U284">
        <v>0</v>
      </c>
      <c r="V284">
        <v>0</v>
      </c>
      <c r="W284">
        <v>76</v>
      </c>
      <c r="X284">
        <v>96</v>
      </c>
    </row>
    <row r="285" spans="2:24" x14ac:dyDescent="0.45">
      <c r="B285" t="str">
        <v>D159</v>
      </c>
      <c r="C285" t="str">
        <v>MUHAMMED MUZAMMIL</v>
      </c>
      <c r="D285" t="str">
        <v>FANT</v>
      </c>
      <c r="E285" t="str">
        <v>SUPER SENIOR</v>
      </c>
      <c r="F285">
        <v>9</v>
      </c>
      <c r="G285">
        <v>1</v>
      </c>
      <c r="H285">
        <v>0</v>
      </c>
      <c r="I285">
        <v>1</v>
      </c>
      <c r="J285">
        <v>1</v>
      </c>
      <c r="K285">
        <v>231</v>
      </c>
      <c r="L285">
        <v>231</v>
      </c>
      <c r="N285" t="str">
        <v>D159</v>
      </c>
      <c r="O285" t="str">
        <v>MUHAMMED MUZAMMIL</v>
      </c>
      <c r="P285" t="str">
        <v>FANT</v>
      </c>
      <c r="Q285" t="str">
        <v>SUPER SENIOR</v>
      </c>
      <c r="R285">
        <v>9</v>
      </c>
      <c r="S285">
        <v>0</v>
      </c>
      <c r="T285">
        <v>0</v>
      </c>
      <c r="U285">
        <v>0</v>
      </c>
      <c r="V285">
        <v>0</v>
      </c>
      <c r="W285">
        <v>76</v>
      </c>
      <c r="X285">
        <v>96</v>
      </c>
    </row>
    <row r="286" spans="2:24" x14ac:dyDescent="0.45">
      <c r="B286" t="str">
        <v>D160</v>
      </c>
      <c r="C286" t="str">
        <v>SALMAN FARIS</v>
      </c>
      <c r="D286" t="str">
        <v>JARF</v>
      </c>
      <c r="E286" t="str">
        <v>SUPER SENIOR</v>
      </c>
      <c r="F286">
        <v>9</v>
      </c>
      <c r="G286">
        <v>1</v>
      </c>
      <c r="H286">
        <v>0</v>
      </c>
      <c r="I286">
        <v>1</v>
      </c>
      <c r="J286">
        <v>1</v>
      </c>
      <c r="K286">
        <v>231</v>
      </c>
      <c r="L286">
        <v>231</v>
      </c>
      <c r="N286" t="str">
        <v>D160</v>
      </c>
      <c r="O286" t="str">
        <v>SALMAN FARIS</v>
      </c>
      <c r="P286" t="str">
        <v>JARF</v>
      </c>
      <c r="Q286" t="str">
        <v>SUPER SENIOR</v>
      </c>
      <c r="R286">
        <v>9</v>
      </c>
      <c r="S286">
        <v>0</v>
      </c>
      <c r="T286">
        <v>0</v>
      </c>
      <c r="U286">
        <v>0</v>
      </c>
      <c r="V286">
        <v>0</v>
      </c>
      <c r="W286">
        <v>76</v>
      </c>
      <c r="X286">
        <v>96</v>
      </c>
    </row>
    <row r="287" spans="2:24" x14ac:dyDescent="0.45">
      <c r="B287" t="str">
        <v>D161</v>
      </c>
      <c r="C287" t="str">
        <v>MOHAMMED ATHHAR THAYYIB MS</v>
      </c>
      <c r="D287" t="str">
        <v>BADF</v>
      </c>
      <c r="E287" t="str">
        <v>SUPER SENIOR</v>
      </c>
      <c r="F287">
        <v>9</v>
      </c>
      <c r="G287">
        <v>3</v>
      </c>
      <c r="H287">
        <v>0</v>
      </c>
      <c r="I287">
        <v>3</v>
      </c>
      <c r="J287">
        <v>3</v>
      </c>
      <c r="K287">
        <v>209</v>
      </c>
      <c r="L287">
        <v>209</v>
      </c>
      <c r="N287" t="str">
        <v>D161</v>
      </c>
      <c r="O287" t="str">
        <v>MOHAMMED ATHHAR THAYYIB MS</v>
      </c>
      <c r="P287" t="str">
        <v>BADF</v>
      </c>
      <c r="Q287" t="str">
        <v>SUPER SENIOR</v>
      </c>
      <c r="R287">
        <v>9</v>
      </c>
      <c r="S287">
        <v>0</v>
      </c>
      <c r="T287">
        <v>0</v>
      </c>
      <c r="U287">
        <v>0</v>
      </c>
      <c r="V287">
        <v>0</v>
      </c>
      <c r="W287">
        <v>76</v>
      </c>
      <c r="X287">
        <v>96</v>
      </c>
    </row>
    <row r="288" spans="2:24" x14ac:dyDescent="0.45">
      <c r="B288" t="str">
        <v>D162</v>
      </c>
      <c r="C288" t="str">
        <v>ABDURAHMAN P.H</v>
      </c>
      <c r="D288" t="str">
        <v>BADF</v>
      </c>
      <c r="E288" t="str">
        <v>SUPER SENIOR</v>
      </c>
      <c r="F288">
        <v>9</v>
      </c>
      <c r="G288">
        <v>38</v>
      </c>
      <c r="H288">
        <v>0</v>
      </c>
      <c r="I288">
        <v>38</v>
      </c>
      <c r="J288">
        <v>38</v>
      </c>
      <c r="K288">
        <v>26</v>
      </c>
      <c r="L288">
        <v>26</v>
      </c>
      <c r="N288" t="str">
        <v>D162</v>
      </c>
      <c r="O288" t="str">
        <v>ABDURAHMAN P.H</v>
      </c>
      <c r="P288" t="str">
        <v>BADF</v>
      </c>
      <c r="Q288" t="str">
        <v>SUPER SENIOR</v>
      </c>
      <c r="R288">
        <v>9</v>
      </c>
      <c r="S288">
        <v>0</v>
      </c>
      <c r="T288">
        <v>0</v>
      </c>
      <c r="U288">
        <v>0</v>
      </c>
      <c r="V288">
        <v>0</v>
      </c>
      <c r="W288">
        <v>76</v>
      </c>
      <c r="X288">
        <v>96</v>
      </c>
    </row>
    <row r="289" spans="2:24" x14ac:dyDescent="0.45">
      <c r="B289" t="str">
        <v>D163</v>
      </c>
      <c r="C289" t="str">
        <v>ABDUL JANIS</v>
      </c>
      <c r="D289" t="str">
        <v>FANT</v>
      </c>
      <c r="E289" t="str">
        <v>SUPER SENIOR</v>
      </c>
      <c r="F289">
        <v>9</v>
      </c>
      <c r="G289">
        <v>0</v>
      </c>
      <c r="H289">
        <v>0</v>
      </c>
      <c r="I289">
        <v>0</v>
      </c>
      <c r="J289">
        <v>0</v>
      </c>
      <c r="K289">
        <v>255</v>
      </c>
      <c r="L289">
        <v>255</v>
      </c>
      <c r="N289" t="str">
        <v>D163</v>
      </c>
      <c r="O289" t="str">
        <v>ABDUL JANIS</v>
      </c>
      <c r="P289" t="str">
        <v>FANT</v>
      </c>
      <c r="Q289" t="str">
        <v>SUPER SENIOR</v>
      </c>
      <c r="R289">
        <v>9</v>
      </c>
      <c r="S289">
        <v>5</v>
      </c>
      <c r="T289">
        <v>0</v>
      </c>
      <c r="U289">
        <v>5</v>
      </c>
      <c r="V289">
        <v>5</v>
      </c>
      <c r="W289">
        <v>13</v>
      </c>
      <c r="X289">
        <v>24</v>
      </c>
    </row>
    <row r="290" spans="2:24" x14ac:dyDescent="0.45">
      <c r="B290" t="str">
        <v>D164</v>
      </c>
      <c r="C290" t="str">
        <v>AHMED SULTHAN</v>
      </c>
      <c r="D290" t="str">
        <v>JARF</v>
      </c>
      <c r="E290" t="str">
        <v>SUPER SENIOR</v>
      </c>
      <c r="F290">
        <v>9</v>
      </c>
      <c r="G290">
        <v>37</v>
      </c>
      <c r="H290">
        <v>0</v>
      </c>
      <c r="I290">
        <v>37</v>
      </c>
      <c r="J290">
        <v>37</v>
      </c>
      <c r="K290">
        <v>30</v>
      </c>
      <c r="L290">
        <v>30</v>
      </c>
      <c r="N290" t="str">
        <v>D164</v>
      </c>
      <c r="O290" t="str">
        <v>AHMED SULTHAN</v>
      </c>
      <c r="P290" t="str">
        <v>JARF</v>
      </c>
      <c r="Q290" t="str">
        <v>SUPER SENIOR</v>
      </c>
      <c r="R290">
        <v>9</v>
      </c>
      <c r="S290">
        <v>0</v>
      </c>
      <c r="T290">
        <v>0</v>
      </c>
      <c r="U290">
        <v>0</v>
      </c>
      <c r="V290">
        <v>0</v>
      </c>
      <c r="W290">
        <v>76</v>
      </c>
      <c r="X290">
        <v>96</v>
      </c>
    </row>
    <row r="291" spans="2:24" x14ac:dyDescent="0.45">
      <c r="B291" t="str">
        <v>D165</v>
      </c>
      <c r="C291" t="str">
        <v>AJMAL KI</v>
      </c>
      <c r="D291" t="str">
        <v>FANT</v>
      </c>
      <c r="E291" t="str">
        <v>SUPER SENIOR</v>
      </c>
      <c r="F291">
        <v>9</v>
      </c>
      <c r="G291">
        <v>42.5</v>
      </c>
      <c r="H291">
        <v>0</v>
      </c>
      <c r="I291">
        <v>42.5</v>
      </c>
      <c r="J291">
        <v>42.5</v>
      </c>
      <c r="K291">
        <v>20</v>
      </c>
      <c r="L291">
        <v>20</v>
      </c>
      <c r="N291" t="str">
        <v>D165</v>
      </c>
      <c r="O291" t="str">
        <v>AJMAL KI</v>
      </c>
      <c r="P291" t="str">
        <v>FANT</v>
      </c>
      <c r="Q291" t="str">
        <v>SUPER SENIOR</v>
      </c>
      <c r="R291">
        <v>9</v>
      </c>
      <c r="S291">
        <v>0</v>
      </c>
      <c r="T291">
        <v>0</v>
      </c>
      <c r="U291">
        <v>0</v>
      </c>
      <c r="V291">
        <v>0</v>
      </c>
      <c r="W291">
        <v>76</v>
      </c>
      <c r="X291">
        <v>96</v>
      </c>
    </row>
    <row r="292" spans="2:24" x14ac:dyDescent="0.45">
      <c r="B292" t="str">
        <v>D166</v>
      </c>
      <c r="C292" t="str">
        <v>MOHAMMED IRFAN C</v>
      </c>
      <c r="D292" t="str">
        <v>DAHF</v>
      </c>
      <c r="E292" t="str">
        <v>SUPER SENIOR</v>
      </c>
      <c r="F292">
        <v>9</v>
      </c>
      <c r="G292">
        <v>32</v>
      </c>
      <c r="H292">
        <v>0</v>
      </c>
      <c r="I292">
        <v>32</v>
      </c>
      <c r="J292">
        <v>32</v>
      </c>
      <c r="K292">
        <v>40</v>
      </c>
      <c r="L292">
        <v>40</v>
      </c>
      <c r="N292" t="str">
        <v>D166</v>
      </c>
      <c r="O292" t="str">
        <v>MOHAMMED IRFAN C</v>
      </c>
      <c r="P292" t="str">
        <v>DAHF</v>
      </c>
      <c r="Q292" t="str">
        <v>SUPER SENIOR</v>
      </c>
      <c r="R292">
        <v>9</v>
      </c>
      <c r="S292">
        <v>0</v>
      </c>
      <c r="T292">
        <v>3</v>
      </c>
      <c r="U292">
        <v>3</v>
      </c>
      <c r="V292">
        <v>4</v>
      </c>
      <c r="W292">
        <v>30</v>
      </c>
      <c r="X292">
        <v>40</v>
      </c>
    </row>
    <row r="293" spans="2:24" x14ac:dyDescent="0.45">
      <c r="B293" t="str">
        <v>D167</v>
      </c>
      <c r="C293" t="str">
        <v>AHMAD BINYAMUL ASHIQUE</v>
      </c>
      <c r="D293" t="str">
        <v>JARF</v>
      </c>
      <c r="E293" t="str">
        <v>SUPER SENIOR</v>
      </c>
      <c r="F293">
        <v>10</v>
      </c>
      <c r="G293">
        <v>0</v>
      </c>
      <c r="H293">
        <v>0</v>
      </c>
      <c r="I293">
        <v>0</v>
      </c>
      <c r="J293">
        <v>0</v>
      </c>
      <c r="K293">
        <v>255</v>
      </c>
      <c r="L293">
        <v>255</v>
      </c>
      <c r="N293" t="str">
        <v>D167</v>
      </c>
      <c r="O293" t="str">
        <v>AHMAD BINYAMUL ASHIQUE</v>
      </c>
      <c r="P293" t="str">
        <v>JARF</v>
      </c>
      <c r="Q293" t="str">
        <v>SUPER SENIOR</v>
      </c>
      <c r="R293">
        <v>10</v>
      </c>
      <c r="S293">
        <v>0</v>
      </c>
      <c r="T293">
        <v>0</v>
      </c>
      <c r="U293">
        <v>0</v>
      </c>
      <c r="V293">
        <v>0</v>
      </c>
      <c r="W293">
        <v>76</v>
      </c>
      <c r="X293">
        <v>96</v>
      </c>
    </row>
    <row r="294" spans="2:24" x14ac:dyDescent="0.45">
      <c r="B294" t="str">
        <v>D168</v>
      </c>
      <c r="C294" t="str">
        <v>MOHAMMED NAFIH KA</v>
      </c>
      <c r="D294" t="str">
        <v>FANT</v>
      </c>
      <c r="E294" t="str">
        <v>SUPER SENIOR</v>
      </c>
      <c r="F294">
        <v>10</v>
      </c>
      <c r="G294">
        <v>0</v>
      </c>
      <c r="H294">
        <v>0</v>
      </c>
      <c r="I294">
        <v>0</v>
      </c>
      <c r="J294">
        <v>0</v>
      </c>
      <c r="K294">
        <v>255</v>
      </c>
      <c r="L294">
        <v>255</v>
      </c>
      <c r="N294" t="str">
        <v>D168</v>
      </c>
      <c r="O294" t="str">
        <v>MOHAMMED NAFIH KA</v>
      </c>
      <c r="P294" t="str">
        <v>FANT</v>
      </c>
      <c r="Q294" t="str">
        <v>SUPER SENIOR</v>
      </c>
      <c r="R294">
        <v>10</v>
      </c>
      <c r="S294">
        <v>0</v>
      </c>
      <c r="T294">
        <v>0</v>
      </c>
      <c r="U294">
        <v>0</v>
      </c>
      <c r="V294">
        <v>0</v>
      </c>
      <c r="W294">
        <v>76</v>
      </c>
      <c r="X294">
        <v>96</v>
      </c>
    </row>
    <row r="295" spans="2:24" x14ac:dyDescent="0.45">
      <c r="B295" t="str">
        <v>D169</v>
      </c>
      <c r="C295" t="str">
        <v>MUHAMMED AYIZ</v>
      </c>
      <c r="D295" t="str">
        <v>BADF</v>
      </c>
      <c r="E295" t="str">
        <v>SUPER SENIOR</v>
      </c>
      <c r="F295">
        <v>10</v>
      </c>
      <c r="G295">
        <v>0</v>
      </c>
      <c r="H295">
        <v>0</v>
      </c>
      <c r="I295">
        <v>0</v>
      </c>
      <c r="J295">
        <v>0</v>
      </c>
      <c r="K295">
        <v>255</v>
      </c>
      <c r="L295">
        <v>255</v>
      </c>
      <c r="N295" t="str">
        <v>D169</v>
      </c>
      <c r="O295" t="str">
        <v>MUHAMMED AYIZ</v>
      </c>
      <c r="P295" t="str">
        <v>BADF</v>
      </c>
      <c r="Q295" t="str">
        <v>SUPER SENIOR</v>
      </c>
      <c r="R295">
        <v>10</v>
      </c>
      <c r="S295">
        <v>0</v>
      </c>
      <c r="T295">
        <v>0</v>
      </c>
      <c r="U295">
        <v>0</v>
      </c>
      <c r="V295">
        <v>0</v>
      </c>
      <c r="W295">
        <v>76</v>
      </c>
      <c r="X295">
        <v>96</v>
      </c>
    </row>
    <row r="296" spans="2:24" x14ac:dyDescent="0.45">
      <c r="B296" t="str">
        <v>D170</v>
      </c>
      <c r="C296" t="str">
        <v>AHMED ADIL B.K</v>
      </c>
      <c r="D296" t="str">
        <v>JARF</v>
      </c>
      <c r="E296" t="str">
        <v>SUPER SENIOR</v>
      </c>
      <c r="F296">
        <v>10</v>
      </c>
      <c r="G296">
        <v>18</v>
      </c>
      <c r="H296">
        <v>0</v>
      </c>
      <c r="I296">
        <v>18</v>
      </c>
      <c r="J296">
        <v>18</v>
      </c>
      <c r="K296">
        <v>81</v>
      </c>
      <c r="L296">
        <v>81</v>
      </c>
      <c r="N296" t="str">
        <v>D170</v>
      </c>
      <c r="O296" t="str">
        <v>AHMED ADIL B.K</v>
      </c>
      <c r="P296" t="str">
        <v>JARF</v>
      </c>
      <c r="Q296" t="str">
        <v>SUPER SENIOR</v>
      </c>
      <c r="R296">
        <v>10</v>
      </c>
      <c r="S296">
        <v>0</v>
      </c>
      <c r="T296">
        <v>0</v>
      </c>
      <c r="U296">
        <v>0</v>
      </c>
      <c r="V296">
        <v>1</v>
      </c>
      <c r="W296">
        <v>76</v>
      </c>
      <c r="X296">
        <v>69</v>
      </c>
    </row>
    <row r="297" spans="2:24" x14ac:dyDescent="0.45">
      <c r="B297" t="str">
        <v>D171</v>
      </c>
      <c r="C297" t="str">
        <v>MOHAMMED ANFAHUDEEN T.A</v>
      </c>
      <c r="D297" t="str">
        <v>FANT</v>
      </c>
      <c r="E297" t="str">
        <v>SUPER SENIOR</v>
      </c>
      <c r="F297">
        <v>10</v>
      </c>
      <c r="G297">
        <v>2</v>
      </c>
      <c r="H297">
        <v>0</v>
      </c>
      <c r="I297">
        <v>2</v>
      </c>
      <c r="J297">
        <v>2</v>
      </c>
      <c r="K297">
        <v>224</v>
      </c>
      <c r="L297">
        <v>224</v>
      </c>
      <c r="N297" t="str">
        <v>D171</v>
      </c>
      <c r="O297" t="str">
        <v>MOHAMMED ANFAHUDEEN T.A</v>
      </c>
      <c r="P297" t="str">
        <v>FANT</v>
      </c>
      <c r="Q297" t="str">
        <v>SUPER SENIOR</v>
      </c>
      <c r="R297">
        <v>10</v>
      </c>
      <c r="S297">
        <v>5</v>
      </c>
      <c r="T297">
        <v>0</v>
      </c>
      <c r="U297">
        <v>5</v>
      </c>
      <c r="V297">
        <v>5</v>
      </c>
      <c r="W297">
        <v>13</v>
      </c>
      <c r="X297">
        <v>24</v>
      </c>
    </row>
    <row r="298" spans="2:24" x14ac:dyDescent="0.45">
      <c r="B298" t="str">
        <v>D172</v>
      </c>
      <c r="C298" t="str">
        <v>MUHAMMED MUFEED</v>
      </c>
      <c r="D298" t="str">
        <v>DAHF</v>
      </c>
      <c r="E298" t="str">
        <v>SUPER SENIOR</v>
      </c>
      <c r="F298">
        <v>10</v>
      </c>
      <c r="G298">
        <v>2</v>
      </c>
      <c r="H298">
        <v>0</v>
      </c>
      <c r="I298">
        <v>2</v>
      </c>
      <c r="J298">
        <v>2</v>
      </c>
      <c r="K298">
        <v>224</v>
      </c>
      <c r="L298">
        <v>224</v>
      </c>
      <c r="N298" t="str">
        <v>D172</v>
      </c>
      <c r="O298" t="str">
        <v>MUHAMMED MUFEED</v>
      </c>
      <c r="P298" t="str">
        <v>DAHF</v>
      </c>
      <c r="Q298" t="str">
        <v>SUPER SENIOR</v>
      </c>
      <c r="R298">
        <v>10</v>
      </c>
      <c r="S298">
        <v>7</v>
      </c>
      <c r="T298">
        <v>0</v>
      </c>
      <c r="U298">
        <v>7</v>
      </c>
      <c r="V298">
        <v>7</v>
      </c>
      <c r="W298">
        <v>9</v>
      </c>
      <c r="X298">
        <v>19</v>
      </c>
    </row>
    <row r="299" spans="2:24" x14ac:dyDescent="0.45">
      <c r="B299" t="str">
        <v>D173</v>
      </c>
      <c r="C299" t="str">
        <v>ABOOBACKER SIDDIK</v>
      </c>
      <c r="D299" t="str">
        <v>BADF</v>
      </c>
      <c r="E299" t="str">
        <v>SUPER SENIOR</v>
      </c>
      <c r="F299">
        <v>10</v>
      </c>
      <c r="G299">
        <v>5</v>
      </c>
      <c r="H299">
        <v>0</v>
      </c>
      <c r="I299">
        <v>5</v>
      </c>
      <c r="J299">
        <v>5</v>
      </c>
      <c r="K299">
        <v>190</v>
      </c>
      <c r="L299">
        <v>190</v>
      </c>
      <c r="N299" t="str">
        <v>D173</v>
      </c>
      <c r="O299" t="str">
        <v>ABOOBACKER SIDDIK</v>
      </c>
      <c r="P299" t="str">
        <v>BADF</v>
      </c>
      <c r="Q299" t="str">
        <v>SUPER SENIOR</v>
      </c>
      <c r="R299">
        <v>10</v>
      </c>
      <c r="S299">
        <v>0</v>
      </c>
      <c r="T299">
        <v>0</v>
      </c>
      <c r="U299">
        <v>0</v>
      </c>
      <c r="V299">
        <v>0</v>
      </c>
      <c r="W299">
        <v>76</v>
      </c>
      <c r="X299">
        <v>96</v>
      </c>
    </row>
    <row r="300" spans="2:24" x14ac:dyDescent="0.45">
      <c r="B300" t="str">
        <v>D174</v>
      </c>
      <c r="C300" t="str">
        <v>BADRUDHIN A</v>
      </c>
      <c r="D300" t="str">
        <v>BADF</v>
      </c>
      <c r="E300" t="str">
        <v>SUPER SENIOR</v>
      </c>
      <c r="F300">
        <v>10</v>
      </c>
      <c r="G300">
        <v>0</v>
      </c>
      <c r="H300">
        <v>0</v>
      </c>
      <c r="I300">
        <v>0</v>
      </c>
      <c r="J300">
        <v>0</v>
      </c>
      <c r="K300">
        <v>255</v>
      </c>
      <c r="L300">
        <v>255</v>
      </c>
      <c r="N300" t="str">
        <v>D174</v>
      </c>
      <c r="O300" t="str">
        <v>BADRUDHIN A</v>
      </c>
      <c r="P300" t="str">
        <v>BADF</v>
      </c>
      <c r="Q300" t="str">
        <v>SUPER SENIOR</v>
      </c>
      <c r="R300">
        <v>10</v>
      </c>
      <c r="S300">
        <v>0</v>
      </c>
      <c r="T300">
        <v>1</v>
      </c>
      <c r="U300">
        <v>1</v>
      </c>
      <c r="V300">
        <v>14</v>
      </c>
      <c r="W300">
        <v>54</v>
      </c>
      <c r="X300">
        <v>2</v>
      </c>
    </row>
    <row r="301" spans="2:24" x14ac:dyDescent="0.45">
      <c r="B301" t="str">
        <v>D175</v>
      </c>
      <c r="C301" t="str">
        <v>AKBAR P</v>
      </c>
      <c r="D301" t="str">
        <v>FANT</v>
      </c>
      <c r="E301" t="str">
        <v>SUPER SENIOR</v>
      </c>
      <c r="F301">
        <v>10</v>
      </c>
      <c r="G301">
        <v>18</v>
      </c>
      <c r="H301">
        <v>0</v>
      </c>
      <c r="I301">
        <v>18</v>
      </c>
      <c r="J301">
        <v>18</v>
      </c>
      <c r="K301">
        <v>81</v>
      </c>
      <c r="L301">
        <v>81</v>
      </c>
      <c r="N301" t="str">
        <v>D175</v>
      </c>
      <c r="O301" t="str">
        <v>AKBAR P</v>
      </c>
      <c r="P301" t="str">
        <v>FANT</v>
      </c>
      <c r="Q301" t="str">
        <v>SUPER SENIOR</v>
      </c>
      <c r="R301">
        <v>10</v>
      </c>
      <c r="S301">
        <v>0</v>
      </c>
      <c r="T301">
        <v>0</v>
      </c>
      <c r="U301">
        <v>0</v>
      </c>
      <c r="V301">
        <v>0</v>
      </c>
      <c r="W301">
        <v>76</v>
      </c>
      <c r="X301">
        <v>96</v>
      </c>
    </row>
    <row r="302" spans="2:24" x14ac:dyDescent="0.45">
      <c r="B302" t="str">
        <v>D176</v>
      </c>
      <c r="C302" t="str">
        <v>MOHAMMED NASFAR AFNAN H</v>
      </c>
      <c r="D302" t="str">
        <v>JARF</v>
      </c>
      <c r="E302" t="str">
        <v>SUPER SENIOR</v>
      </c>
      <c r="F302">
        <v>10</v>
      </c>
      <c r="G302">
        <v>0</v>
      </c>
      <c r="H302">
        <v>0</v>
      </c>
      <c r="I302">
        <v>0</v>
      </c>
      <c r="J302">
        <v>0</v>
      </c>
      <c r="K302">
        <v>255</v>
      </c>
      <c r="L302">
        <v>255</v>
      </c>
      <c r="N302" t="str">
        <v>D176</v>
      </c>
      <c r="O302" t="str">
        <v>MOHAMMED NASFAR AFNAN H</v>
      </c>
      <c r="P302" t="str">
        <v>JARF</v>
      </c>
      <c r="Q302" t="str">
        <v>SUPER SENIOR</v>
      </c>
      <c r="R302">
        <v>10</v>
      </c>
      <c r="S302">
        <v>0</v>
      </c>
      <c r="T302">
        <v>5</v>
      </c>
      <c r="U302">
        <v>5</v>
      </c>
      <c r="V302">
        <v>5</v>
      </c>
      <c r="W302">
        <v>13</v>
      </c>
      <c r="X302">
        <v>24</v>
      </c>
    </row>
    <row r="303" spans="2:24" x14ac:dyDescent="0.45">
      <c r="B303" t="str">
        <v>D177</v>
      </c>
      <c r="C303" t="str">
        <v>SHAMEEM ABDULLA P.S</v>
      </c>
      <c r="D303" t="str">
        <v>FANT</v>
      </c>
      <c r="E303" t="str">
        <v>SUPER SENIOR</v>
      </c>
      <c r="F303">
        <v>10</v>
      </c>
      <c r="G303">
        <v>51</v>
      </c>
      <c r="H303">
        <v>0</v>
      </c>
      <c r="I303">
        <v>51</v>
      </c>
      <c r="J303">
        <v>51</v>
      </c>
      <c r="K303">
        <v>13</v>
      </c>
      <c r="L303">
        <v>13</v>
      </c>
      <c r="N303" t="str">
        <v>D177</v>
      </c>
      <c r="O303" t="str">
        <v>SHAMEEM ABDULLA P.S</v>
      </c>
      <c r="P303" t="str">
        <v>FANT</v>
      </c>
      <c r="Q303" t="str">
        <v>SUPER SENIOR</v>
      </c>
      <c r="R303">
        <v>10</v>
      </c>
      <c r="S303">
        <v>1</v>
      </c>
      <c r="T303">
        <v>0</v>
      </c>
      <c r="U303">
        <v>1</v>
      </c>
      <c r="V303">
        <v>1</v>
      </c>
      <c r="W303">
        <v>54</v>
      </c>
      <c r="X303">
        <v>69</v>
      </c>
    </row>
    <row r="304" spans="2:24" x14ac:dyDescent="0.45">
      <c r="B304" t="str">
        <v>D178</v>
      </c>
      <c r="C304" t="str">
        <v>AHMED BK</v>
      </c>
      <c r="D304" t="str">
        <v>BADF</v>
      </c>
      <c r="E304" t="str">
        <v>SUPER SENIOR</v>
      </c>
      <c r="F304">
        <v>10</v>
      </c>
      <c r="G304">
        <v>31</v>
      </c>
      <c r="H304">
        <v>0</v>
      </c>
      <c r="I304">
        <v>31</v>
      </c>
      <c r="J304">
        <v>31</v>
      </c>
      <c r="K304">
        <v>42</v>
      </c>
      <c r="L304">
        <v>42</v>
      </c>
      <c r="N304" t="str">
        <v>D178</v>
      </c>
      <c r="O304" t="str">
        <v>AHMED BK</v>
      </c>
      <c r="P304" t="str">
        <v>BADF</v>
      </c>
      <c r="Q304" t="str">
        <v>SUPER SENIOR</v>
      </c>
      <c r="R304">
        <v>10</v>
      </c>
      <c r="S304">
        <v>0</v>
      </c>
      <c r="T304">
        <v>0</v>
      </c>
      <c r="U304">
        <v>0</v>
      </c>
      <c r="V304">
        <v>0</v>
      </c>
      <c r="W304">
        <v>76</v>
      </c>
      <c r="X304">
        <v>96</v>
      </c>
    </row>
    <row r="305" spans="2:24" x14ac:dyDescent="0.45">
      <c r="B305" t="str">
        <v>D179</v>
      </c>
      <c r="C305" t="str">
        <v>MUHAMMED AKBAR NP</v>
      </c>
      <c r="D305" t="str">
        <v>DAHF</v>
      </c>
      <c r="E305" t="str">
        <v>SUPER SENIOR</v>
      </c>
      <c r="F305">
        <v>10</v>
      </c>
      <c r="G305">
        <v>0</v>
      </c>
      <c r="H305">
        <v>0</v>
      </c>
      <c r="I305">
        <v>0</v>
      </c>
      <c r="J305">
        <v>0</v>
      </c>
      <c r="K305">
        <v>255</v>
      </c>
      <c r="L305">
        <v>255</v>
      </c>
      <c r="N305" t="str">
        <v>D179</v>
      </c>
      <c r="O305" t="str">
        <v>MUHAMMED AKBAR NP</v>
      </c>
      <c r="P305" t="str">
        <v>DAHF</v>
      </c>
      <c r="Q305" t="str">
        <v>SUPER SENIOR</v>
      </c>
      <c r="R305">
        <v>10</v>
      </c>
      <c r="S305">
        <v>0</v>
      </c>
      <c r="T305">
        <v>0</v>
      </c>
      <c r="U305">
        <v>0</v>
      </c>
      <c r="V305">
        <v>0</v>
      </c>
      <c r="W305">
        <v>76</v>
      </c>
      <c r="X305">
        <v>96</v>
      </c>
    </row>
    <row r="306" spans="2:24" x14ac:dyDescent="0.45">
      <c r="B306" t="str">
        <v>D180</v>
      </c>
      <c r="C306" t="str">
        <v>ATHIF ABDULKHADER</v>
      </c>
      <c r="D306" t="str">
        <v>FANT</v>
      </c>
      <c r="E306" t="str">
        <v>SUPER SENIOR</v>
      </c>
      <c r="F306">
        <v>10</v>
      </c>
      <c r="G306">
        <v>0</v>
      </c>
      <c r="H306">
        <v>0</v>
      </c>
      <c r="I306">
        <v>0</v>
      </c>
      <c r="J306">
        <v>0</v>
      </c>
      <c r="K306">
        <v>255</v>
      </c>
      <c r="L306">
        <v>255</v>
      </c>
      <c r="N306" t="str">
        <v>D180</v>
      </c>
      <c r="O306" t="str">
        <v>ATHIF ABDULKHADER</v>
      </c>
      <c r="P306" t="str">
        <v>FANT</v>
      </c>
      <c r="Q306" t="str">
        <v>SUPER SENIOR</v>
      </c>
      <c r="R306">
        <v>10</v>
      </c>
      <c r="S306">
        <v>0</v>
      </c>
      <c r="T306">
        <v>0</v>
      </c>
      <c r="U306">
        <v>0</v>
      </c>
      <c r="V306">
        <v>0</v>
      </c>
      <c r="W306">
        <v>76</v>
      </c>
      <c r="X306">
        <v>96</v>
      </c>
    </row>
    <row r="307" spans="2:24" x14ac:dyDescent="0.45">
      <c r="B307" t="str">
        <v>D181</v>
      </c>
      <c r="C307" t="str">
        <v>MUHAMMED SAJJAD</v>
      </c>
      <c r="D307" t="str">
        <v>DAHF</v>
      </c>
      <c r="E307" t="str">
        <v>SUPER SENIOR</v>
      </c>
      <c r="F307">
        <v>10</v>
      </c>
      <c r="G307">
        <v>1</v>
      </c>
      <c r="H307">
        <v>0</v>
      </c>
      <c r="I307">
        <v>1</v>
      </c>
      <c r="J307">
        <v>1</v>
      </c>
      <c r="K307">
        <v>231</v>
      </c>
      <c r="L307">
        <v>231</v>
      </c>
      <c r="N307" t="str">
        <v>D181</v>
      </c>
      <c r="O307" t="str">
        <v>MUHAMMED SAJJAD</v>
      </c>
      <c r="P307" t="str">
        <v>DAHF</v>
      </c>
      <c r="Q307" t="str">
        <v>SUPER SENIOR</v>
      </c>
      <c r="R307">
        <v>10</v>
      </c>
      <c r="S307">
        <v>0</v>
      </c>
      <c r="T307">
        <v>0</v>
      </c>
      <c r="U307">
        <v>0</v>
      </c>
      <c r="V307">
        <v>0</v>
      </c>
      <c r="W307">
        <v>76</v>
      </c>
      <c r="X307">
        <v>96</v>
      </c>
    </row>
    <row r="308" spans="2:24" x14ac:dyDescent="0.45">
      <c r="B308" t="str">
        <v>D182</v>
      </c>
      <c r="C308" t="str">
        <v>AHAMED ASIF M</v>
      </c>
      <c r="D308" t="str">
        <v>JARF</v>
      </c>
      <c r="E308" t="str">
        <v>SUPER SENIOR</v>
      </c>
      <c r="F308">
        <v>10</v>
      </c>
      <c r="G308">
        <v>0</v>
      </c>
      <c r="H308">
        <v>0</v>
      </c>
      <c r="I308">
        <v>0</v>
      </c>
      <c r="J308">
        <v>0</v>
      </c>
      <c r="K308">
        <v>255</v>
      </c>
      <c r="L308">
        <v>255</v>
      </c>
      <c r="N308" t="str">
        <v>D182</v>
      </c>
      <c r="O308" t="str">
        <v>AHAMED ASIF M</v>
      </c>
      <c r="P308" t="str">
        <v>JARF</v>
      </c>
      <c r="Q308" t="str">
        <v>SUPER SENIOR</v>
      </c>
      <c r="R308">
        <v>10</v>
      </c>
      <c r="S308">
        <v>0</v>
      </c>
      <c r="T308">
        <v>0</v>
      </c>
      <c r="U308">
        <v>0</v>
      </c>
      <c r="V308">
        <v>0</v>
      </c>
      <c r="W308">
        <v>76</v>
      </c>
      <c r="X308">
        <v>96</v>
      </c>
    </row>
    <row r="309" spans="2:24" x14ac:dyDescent="0.45">
      <c r="B309" t="str">
        <v>D183</v>
      </c>
      <c r="C309" t="str">
        <v>MOHAMMAD SWALIH K</v>
      </c>
      <c r="D309" t="str">
        <v>DAHF</v>
      </c>
      <c r="E309" t="str">
        <v>SUPER SENIOR</v>
      </c>
      <c r="F309">
        <v>10</v>
      </c>
      <c r="G309">
        <v>16</v>
      </c>
      <c r="H309">
        <v>0</v>
      </c>
      <c r="I309">
        <v>16</v>
      </c>
      <c r="J309">
        <v>16</v>
      </c>
      <c r="K309">
        <v>94</v>
      </c>
      <c r="L309">
        <v>94</v>
      </c>
      <c r="N309" t="str">
        <v>D183</v>
      </c>
      <c r="O309" t="str">
        <v>MOHAMMAD SWALIH K</v>
      </c>
      <c r="P309" t="str">
        <v>DAHF</v>
      </c>
      <c r="Q309" t="str">
        <v>SUPER SENIOR</v>
      </c>
      <c r="R309">
        <v>10</v>
      </c>
      <c r="S309">
        <v>0</v>
      </c>
      <c r="T309">
        <v>0</v>
      </c>
      <c r="U309">
        <v>0</v>
      </c>
      <c r="V309">
        <v>3</v>
      </c>
      <c r="W309">
        <v>76</v>
      </c>
      <c r="X309">
        <v>46</v>
      </c>
    </row>
    <row r="310" spans="2:24" x14ac:dyDescent="0.45">
      <c r="B310" t="str">
        <v>D184</v>
      </c>
      <c r="C310" t="str">
        <v>YASEEN</v>
      </c>
      <c r="D310" t="str">
        <v>FANT</v>
      </c>
      <c r="E310" t="str">
        <v>SUPER SENIOR</v>
      </c>
      <c r="F310">
        <v>10</v>
      </c>
      <c r="G310">
        <v>0</v>
      </c>
      <c r="H310">
        <v>0</v>
      </c>
      <c r="I310">
        <v>0</v>
      </c>
      <c r="J310">
        <v>0</v>
      </c>
      <c r="K310">
        <v>255</v>
      </c>
      <c r="L310">
        <v>255</v>
      </c>
      <c r="N310" t="str">
        <v>D184</v>
      </c>
      <c r="O310" t="str">
        <v>YASEEN</v>
      </c>
      <c r="P310" t="str">
        <v>FANT</v>
      </c>
      <c r="Q310" t="str">
        <v>SUPER SENIOR</v>
      </c>
      <c r="R310">
        <v>10</v>
      </c>
      <c r="S310">
        <v>0</v>
      </c>
      <c r="T310">
        <v>10</v>
      </c>
      <c r="U310">
        <v>10</v>
      </c>
      <c r="V310">
        <v>15</v>
      </c>
      <c r="W310">
        <v>1</v>
      </c>
      <c r="X310">
        <v>1</v>
      </c>
    </row>
    <row r="311" spans="2:24" x14ac:dyDescent="0.45">
      <c r="B311" t="str">
        <v>D185</v>
      </c>
      <c r="C311" t="str">
        <v>MAHAMMED ASHIK</v>
      </c>
      <c r="D311">
        <v>0</v>
      </c>
      <c r="E311" t="str">
        <v>SUPER SENIOR</v>
      </c>
      <c r="F311">
        <v>10</v>
      </c>
      <c r="G311">
        <v>0</v>
      </c>
      <c r="H311">
        <v>0</v>
      </c>
      <c r="I311">
        <v>0</v>
      </c>
      <c r="J311">
        <v>0</v>
      </c>
      <c r="K311">
        <v>255</v>
      </c>
      <c r="L311">
        <v>255</v>
      </c>
      <c r="N311" t="str">
        <v>D185</v>
      </c>
      <c r="O311" t="str">
        <v>MAHAMMED ASHIK</v>
      </c>
      <c r="P311">
        <v>0</v>
      </c>
      <c r="Q311" t="str">
        <v>SUPER SENIOR</v>
      </c>
      <c r="R311">
        <v>10</v>
      </c>
      <c r="S311">
        <v>0</v>
      </c>
      <c r="T311">
        <v>0</v>
      </c>
      <c r="U311">
        <v>0</v>
      </c>
      <c r="V311">
        <v>0</v>
      </c>
      <c r="W311">
        <v>76</v>
      </c>
      <c r="X311">
        <v>96</v>
      </c>
    </row>
    <row r="312" spans="2:24" x14ac:dyDescent="0.45">
      <c r="B312" t="str">
        <v>D186</v>
      </c>
      <c r="C312" t="str">
        <v>SALAHUDDEEN AYYOOBI KM</v>
      </c>
      <c r="D312" t="str">
        <v>FANT</v>
      </c>
      <c r="E312" t="str">
        <v>SUPER SENIOR</v>
      </c>
      <c r="F312">
        <v>10</v>
      </c>
      <c r="G312">
        <v>8</v>
      </c>
      <c r="H312">
        <v>0</v>
      </c>
      <c r="I312">
        <v>8</v>
      </c>
      <c r="J312">
        <v>8</v>
      </c>
      <c r="K312">
        <v>147</v>
      </c>
      <c r="L312">
        <v>147</v>
      </c>
      <c r="N312" t="str">
        <v>D186</v>
      </c>
      <c r="O312" t="str">
        <v>SALAHUDDEEN AYYOOBI KM</v>
      </c>
      <c r="P312" t="str">
        <v>FANT</v>
      </c>
      <c r="Q312" t="str">
        <v>SUPER SENIOR</v>
      </c>
      <c r="R312">
        <v>10</v>
      </c>
      <c r="S312">
        <v>0</v>
      </c>
      <c r="T312">
        <v>0</v>
      </c>
      <c r="U312">
        <v>0</v>
      </c>
      <c r="V312">
        <v>0</v>
      </c>
      <c r="W312">
        <v>76</v>
      </c>
      <c r="X312">
        <v>96</v>
      </c>
    </row>
    <row r="313" spans="2:24" x14ac:dyDescent="0.45">
      <c r="B313" t="str">
        <v>D187</v>
      </c>
      <c r="C313" t="str">
        <v>ABDUL RAHMAN</v>
      </c>
      <c r="D313" t="str">
        <v>DAHF</v>
      </c>
      <c r="E313" t="str">
        <v>SUPER SENIOR</v>
      </c>
      <c r="F313">
        <v>10</v>
      </c>
      <c r="G313">
        <v>0</v>
      </c>
      <c r="H313">
        <v>0</v>
      </c>
      <c r="I313">
        <v>0</v>
      </c>
      <c r="J313">
        <v>0</v>
      </c>
      <c r="K313">
        <v>255</v>
      </c>
      <c r="L313">
        <v>255</v>
      </c>
      <c r="N313" t="str">
        <v>D187</v>
      </c>
      <c r="O313" t="str">
        <v>ABDUL RAHMAN</v>
      </c>
      <c r="P313" t="str">
        <v>DAHF</v>
      </c>
      <c r="Q313" t="str">
        <v>SUPER SENIOR</v>
      </c>
      <c r="R313">
        <v>10</v>
      </c>
      <c r="S313">
        <v>0</v>
      </c>
      <c r="T313">
        <v>0</v>
      </c>
      <c r="U313">
        <v>0</v>
      </c>
      <c r="V313">
        <v>0</v>
      </c>
      <c r="W313">
        <v>76</v>
      </c>
      <c r="X313">
        <v>96</v>
      </c>
    </row>
    <row r="314" spans="2:24" x14ac:dyDescent="0.45">
      <c r="B314" t="str">
        <v>D188</v>
      </c>
      <c r="C314" t="str">
        <v>AHMED MANHAL HUSSAIN</v>
      </c>
      <c r="D314" t="str">
        <v>FANT</v>
      </c>
      <c r="E314" t="str">
        <v>SUPER SENIOR</v>
      </c>
      <c r="F314">
        <v>10</v>
      </c>
      <c r="G314">
        <v>0</v>
      </c>
      <c r="H314">
        <v>0</v>
      </c>
      <c r="I314">
        <v>0</v>
      </c>
      <c r="J314">
        <v>0</v>
      </c>
      <c r="K314">
        <v>255</v>
      </c>
      <c r="L314">
        <v>255</v>
      </c>
      <c r="N314" t="str">
        <v>D188</v>
      </c>
      <c r="O314" t="str">
        <v>AHMED MANHAL HUSSAIN</v>
      </c>
      <c r="P314" t="str">
        <v>FANT</v>
      </c>
      <c r="Q314" t="str">
        <v>SUPER SENIOR</v>
      </c>
      <c r="R314">
        <v>10</v>
      </c>
      <c r="S314">
        <v>0</v>
      </c>
      <c r="T314">
        <v>3</v>
      </c>
      <c r="U314">
        <v>3</v>
      </c>
      <c r="V314">
        <v>3</v>
      </c>
      <c r="W314">
        <v>30</v>
      </c>
      <c r="X314">
        <v>46</v>
      </c>
    </row>
    <row r="315" spans="2:24" x14ac:dyDescent="0.45">
      <c r="B315" t="str">
        <v>D189</v>
      </c>
      <c r="C315" t="str">
        <v>ASGAR ALI</v>
      </c>
      <c r="D315" t="str">
        <v>BADF</v>
      </c>
      <c r="E315" t="str">
        <v>SUPER SENIOR</v>
      </c>
      <c r="F315">
        <v>10</v>
      </c>
      <c r="G315">
        <v>4</v>
      </c>
      <c r="H315">
        <v>0</v>
      </c>
      <c r="I315">
        <v>4</v>
      </c>
      <c r="J315">
        <v>4</v>
      </c>
      <c r="K315">
        <v>197</v>
      </c>
      <c r="L315">
        <v>197</v>
      </c>
      <c r="N315" t="str">
        <v>D189</v>
      </c>
      <c r="O315" t="str">
        <v>ASGAR ALI</v>
      </c>
      <c r="P315" t="str">
        <v>BADF</v>
      </c>
      <c r="Q315" t="str">
        <v>SUPER SENIOR</v>
      </c>
      <c r="R315">
        <v>10</v>
      </c>
      <c r="S315">
        <v>0</v>
      </c>
      <c r="T315">
        <v>0</v>
      </c>
      <c r="U315">
        <v>0</v>
      </c>
      <c r="V315">
        <v>0</v>
      </c>
      <c r="W315">
        <v>76</v>
      </c>
      <c r="X315">
        <v>96</v>
      </c>
    </row>
    <row r="316" spans="2:24" x14ac:dyDescent="0.45">
      <c r="B316" t="str">
        <v>D190</v>
      </c>
      <c r="C316" t="str">
        <v>MOHAMMED AMEEN B.A</v>
      </c>
      <c r="D316" t="str">
        <v>BADF</v>
      </c>
      <c r="E316" t="str">
        <v>SUPER SENIOR</v>
      </c>
      <c r="F316">
        <v>10</v>
      </c>
      <c r="G316">
        <v>0</v>
      </c>
      <c r="H316">
        <v>0</v>
      </c>
      <c r="I316">
        <v>0</v>
      </c>
      <c r="J316">
        <v>0</v>
      </c>
      <c r="K316">
        <v>255</v>
      </c>
      <c r="L316">
        <v>255</v>
      </c>
      <c r="N316" t="str">
        <v>D190</v>
      </c>
      <c r="O316" t="str">
        <v>MOHAMMED AMEEN B.A</v>
      </c>
      <c r="P316" t="str">
        <v>BADF</v>
      </c>
      <c r="Q316" t="str">
        <v>SUPER SENIOR</v>
      </c>
      <c r="R316">
        <v>10</v>
      </c>
      <c r="S316">
        <v>0</v>
      </c>
      <c r="T316">
        <v>0</v>
      </c>
      <c r="U316">
        <v>0</v>
      </c>
      <c r="V316">
        <v>0</v>
      </c>
      <c r="W316">
        <v>76</v>
      </c>
      <c r="X316">
        <v>96</v>
      </c>
    </row>
    <row r="317" spans="2:24" x14ac:dyDescent="0.45">
      <c r="B317" t="str">
        <v>D191</v>
      </c>
      <c r="C317" t="str">
        <v>THAMJEED TM</v>
      </c>
      <c r="D317" t="str">
        <v>JARF</v>
      </c>
      <c r="E317" t="str">
        <v>SUPER SENIOR</v>
      </c>
      <c r="F317">
        <v>10</v>
      </c>
      <c r="G317">
        <v>6</v>
      </c>
      <c r="H317">
        <v>0</v>
      </c>
      <c r="I317">
        <v>6</v>
      </c>
      <c r="J317">
        <v>6</v>
      </c>
      <c r="K317">
        <v>171</v>
      </c>
      <c r="L317">
        <v>171</v>
      </c>
      <c r="N317" t="str">
        <v>D191</v>
      </c>
      <c r="O317" t="str">
        <v>THAMJEED TM</v>
      </c>
      <c r="P317" t="str">
        <v>JARF</v>
      </c>
      <c r="Q317" t="str">
        <v>SUPER SENIOR</v>
      </c>
      <c r="R317">
        <v>10</v>
      </c>
      <c r="S317">
        <v>0</v>
      </c>
      <c r="T317">
        <v>0</v>
      </c>
      <c r="U317">
        <v>0</v>
      </c>
      <c r="V317">
        <v>0</v>
      </c>
      <c r="W317">
        <v>76</v>
      </c>
      <c r="X317">
        <v>96</v>
      </c>
    </row>
    <row r="318" spans="2:24" x14ac:dyDescent="0.45">
      <c r="B318" t="str">
        <v>D192</v>
      </c>
      <c r="C318" t="str">
        <v>MUHAMMED SIFARATH T A</v>
      </c>
      <c r="D318" t="str">
        <v>DAHF</v>
      </c>
      <c r="E318" t="str">
        <v>SUPER SENIOR</v>
      </c>
      <c r="F318">
        <v>10</v>
      </c>
      <c r="G318">
        <v>3</v>
      </c>
      <c r="H318">
        <v>0</v>
      </c>
      <c r="I318">
        <v>3</v>
      </c>
      <c r="J318">
        <v>3</v>
      </c>
      <c r="K318">
        <v>209</v>
      </c>
      <c r="L318">
        <v>209</v>
      </c>
      <c r="N318" t="str">
        <v>D192</v>
      </c>
      <c r="O318" t="str">
        <v>MUHAMMED SIFARATH T A</v>
      </c>
      <c r="P318" t="str">
        <v>DAHF</v>
      </c>
      <c r="Q318" t="str">
        <v>SUPER SENIOR</v>
      </c>
      <c r="R318">
        <v>10</v>
      </c>
      <c r="S318">
        <v>3</v>
      </c>
      <c r="T318">
        <v>3</v>
      </c>
      <c r="U318">
        <v>6</v>
      </c>
      <c r="V318">
        <v>7</v>
      </c>
      <c r="W318">
        <v>10</v>
      </c>
      <c r="X318">
        <v>19</v>
      </c>
    </row>
    <row r="319" spans="2:24" x14ac:dyDescent="0.45">
      <c r="B319" t="str">
        <v>D193</v>
      </c>
      <c r="C319" t="str">
        <v>MUHAMMED ABDUL GHANI M.A</v>
      </c>
      <c r="D319" t="str">
        <v>JARF</v>
      </c>
      <c r="E319" t="str">
        <v>SUPER SENIOR</v>
      </c>
      <c r="F319">
        <v>10</v>
      </c>
      <c r="G319">
        <v>0</v>
      </c>
      <c r="H319">
        <v>0</v>
      </c>
      <c r="I319">
        <v>0</v>
      </c>
      <c r="J319">
        <v>0</v>
      </c>
      <c r="K319">
        <v>255</v>
      </c>
      <c r="L319">
        <v>255</v>
      </c>
      <c r="N319" t="str">
        <v>D193</v>
      </c>
      <c r="O319" t="str">
        <v>MUHAMMED ABDUL GHANI M.A</v>
      </c>
      <c r="P319" t="str">
        <v>JARF</v>
      </c>
      <c r="Q319" t="str">
        <v>SUPER SENIOR</v>
      </c>
      <c r="R319">
        <v>10</v>
      </c>
      <c r="S319">
        <v>0</v>
      </c>
      <c r="T319">
        <v>0</v>
      </c>
      <c r="U319">
        <v>0</v>
      </c>
      <c r="V319">
        <v>0</v>
      </c>
      <c r="W319">
        <v>76</v>
      </c>
      <c r="X319">
        <v>96</v>
      </c>
    </row>
    <row r="320" spans="2:24" x14ac:dyDescent="0.45">
      <c r="B320" t="str">
        <v>D194</v>
      </c>
      <c r="C320" t="str">
        <v>AYAZ RAHMAN T</v>
      </c>
      <c r="D320" t="str">
        <v>JARF</v>
      </c>
      <c r="E320" t="str">
        <v>SUPER SENIOR</v>
      </c>
      <c r="F320">
        <v>10</v>
      </c>
      <c r="G320">
        <v>58</v>
      </c>
      <c r="H320">
        <v>0</v>
      </c>
      <c r="I320">
        <v>58</v>
      </c>
      <c r="J320">
        <v>58</v>
      </c>
      <c r="K320">
        <v>6</v>
      </c>
      <c r="L320">
        <v>6</v>
      </c>
      <c r="N320" t="str">
        <v>D194</v>
      </c>
      <c r="O320" t="str">
        <v>AYAZ RAHMAN T</v>
      </c>
      <c r="P320" t="str">
        <v>JARF</v>
      </c>
      <c r="Q320" t="str">
        <v>SUPER SENIOR</v>
      </c>
      <c r="R320">
        <v>10</v>
      </c>
      <c r="S320">
        <v>0</v>
      </c>
      <c r="T320">
        <v>0</v>
      </c>
      <c r="U320">
        <v>0</v>
      </c>
      <c r="V320">
        <v>0</v>
      </c>
      <c r="W320">
        <v>76</v>
      </c>
      <c r="X320">
        <v>96</v>
      </c>
    </row>
    <row r="321" spans="2:24" x14ac:dyDescent="0.45">
      <c r="B321" t="str">
        <v>D195</v>
      </c>
      <c r="C321" t="str">
        <v>AHMED SWALAHUDHEEN PI</v>
      </c>
      <c r="D321" t="str">
        <v>BADF</v>
      </c>
      <c r="E321" t="str">
        <v>SUPER SENIOR</v>
      </c>
      <c r="F321">
        <v>10</v>
      </c>
      <c r="G321">
        <v>36</v>
      </c>
      <c r="H321">
        <v>0</v>
      </c>
      <c r="I321">
        <v>36</v>
      </c>
      <c r="J321">
        <v>36</v>
      </c>
      <c r="K321">
        <v>31</v>
      </c>
      <c r="L321">
        <v>31</v>
      </c>
      <c r="N321" t="str">
        <v>D195</v>
      </c>
      <c r="O321" t="str">
        <v>AHMED SWALAHUDHEEN PI</v>
      </c>
      <c r="P321" t="str">
        <v>BADF</v>
      </c>
      <c r="Q321" t="str">
        <v>SUPER SENIOR</v>
      </c>
      <c r="R321">
        <v>10</v>
      </c>
      <c r="S321">
        <v>0</v>
      </c>
      <c r="T321">
        <v>0</v>
      </c>
      <c r="U321">
        <v>0</v>
      </c>
      <c r="V321">
        <v>0</v>
      </c>
      <c r="W321">
        <v>76</v>
      </c>
      <c r="X321">
        <v>96</v>
      </c>
    </row>
    <row r="322" spans="2:24" x14ac:dyDescent="0.45">
      <c r="B322" t="str">
        <v>D196</v>
      </c>
      <c r="C322" t="str">
        <v>ABDUL VAJID K</v>
      </c>
      <c r="D322" t="str">
        <v>DAHF</v>
      </c>
      <c r="E322" t="str">
        <v>SUPER SENIOR</v>
      </c>
      <c r="F322">
        <v>10</v>
      </c>
      <c r="G322">
        <v>18</v>
      </c>
      <c r="H322">
        <v>0</v>
      </c>
      <c r="I322">
        <v>18</v>
      </c>
      <c r="J322">
        <v>18</v>
      </c>
      <c r="K322">
        <v>81</v>
      </c>
      <c r="L322">
        <v>81</v>
      </c>
      <c r="N322" t="str">
        <v>D196</v>
      </c>
      <c r="O322" t="str">
        <v>ABDUL VAJID K</v>
      </c>
      <c r="P322" t="str">
        <v>DAHF</v>
      </c>
      <c r="Q322" t="str">
        <v>SUPER SENIOR</v>
      </c>
      <c r="R322">
        <v>10</v>
      </c>
      <c r="S322">
        <v>0</v>
      </c>
      <c r="T322">
        <v>0</v>
      </c>
      <c r="U322">
        <v>0</v>
      </c>
      <c r="V322">
        <v>0</v>
      </c>
      <c r="W322">
        <v>76</v>
      </c>
      <c r="X322">
        <v>96</v>
      </c>
    </row>
    <row r="323" spans="2:24" x14ac:dyDescent="0.45">
      <c r="B323" t="str">
        <v>D197</v>
      </c>
      <c r="C323" t="str">
        <v>MUHAMMED ASHFAK K</v>
      </c>
      <c r="D323" t="str">
        <v>DAHF</v>
      </c>
      <c r="E323" t="str">
        <v>SUPER SENIOR</v>
      </c>
      <c r="F323">
        <v>10</v>
      </c>
      <c r="G323">
        <v>0</v>
      </c>
      <c r="H323">
        <v>0</v>
      </c>
      <c r="I323">
        <v>0</v>
      </c>
      <c r="J323">
        <v>0</v>
      </c>
      <c r="K323">
        <v>255</v>
      </c>
      <c r="L323">
        <v>255</v>
      </c>
      <c r="N323" t="str">
        <v>D197</v>
      </c>
      <c r="O323" t="str">
        <v>MUHAMMED ASHFAK K</v>
      </c>
      <c r="P323" t="str">
        <v>DAHF</v>
      </c>
      <c r="Q323" t="str">
        <v>SUPER SENIOR</v>
      </c>
      <c r="R323">
        <v>10</v>
      </c>
      <c r="S323">
        <v>0</v>
      </c>
      <c r="T323">
        <v>0</v>
      </c>
      <c r="U323">
        <v>0</v>
      </c>
      <c r="V323">
        <v>0</v>
      </c>
      <c r="W323">
        <v>76</v>
      </c>
      <c r="X323">
        <v>96</v>
      </c>
    </row>
    <row r="324" spans="2:24" x14ac:dyDescent="0.45">
      <c r="B324" t="str">
        <v>D198</v>
      </c>
      <c r="C324" t="str">
        <v>MUHAMMED SAFWAN</v>
      </c>
      <c r="D324" t="str">
        <v>FANT</v>
      </c>
      <c r="E324" t="str">
        <v>SUPER SENIOR</v>
      </c>
      <c r="F324">
        <v>10</v>
      </c>
      <c r="G324">
        <v>7</v>
      </c>
      <c r="H324">
        <v>0</v>
      </c>
      <c r="I324">
        <v>7</v>
      </c>
      <c r="J324">
        <v>7</v>
      </c>
      <c r="K324">
        <v>167</v>
      </c>
      <c r="L324">
        <v>167</v>
      </c>
      <c r="N324" t="str">
        <v>D198</v>
      </c>
      <c r="O324" t="str">
        <v>MUHAMMED SAFWAN</v>
      </c>
      <c r="P324" t="str">
        <v>FANT</v>
      </c>
      <c r="Q324" t="str">
        <v>SUPER SENIOR</v>
      </c>
      <c r="R324">
        <v>10</v>
      </c>
      <c r="S324">
        <v>0</v>
      </c>
      <c r="T324">
        <v>0</v>
      </c>
      <c r="U324">
        <v>0</v>
      </c>
      <c r="V324">
        <v>0</v>
      </c>
      <c r="W324">
        <v>76</v>
      </c>
      <c r="X324">
        <v>96</v>
      </c>
    </row>
    <row r="325" spans="2:24" x14ac:dyDescent="0.45">
      <c r="B325" t="str">
        <v>D199</v>
      </c>
      <c r="C325" t="str">
        <v>Simsarul Haq VPM</v>
      </c>
      <c r="D325" t="str">
        <v>BADF</v>
      </c>
      <c r="E325" t="str">
        <v>SUPER SENIOR</v>
      </c>
      <c r="F325">
        <v>10</v>
      </c>
      <c r="G325">
        <v>0</v>
      </c>
      <c r="H325">
        <v>0</v>
      </c>
      <c r="I325">
        <v>0</v>
      </c>
      <c r="J325">
        <v>0</v>
      </c>
      <c r="K325">
        <v>255</v>
      </c>
      <c r="L325">
        <v>255</v>
      </c>
      <c r="N325" t="str">
        <v>D199</v>
      </c>
      <c r="O325" t="str">
        <v>Simsarul Haq VPM</v>
      </c>
      <c r="P325" t="str">
        <v>BADF</v>
      </c>
      <c r="Q325" t="str">
        <v>SUPER SENIOR</v>
      </c>
      <c r="R325">
        <v>10</v>
      </c>
      <c r="S325">
        <v>0</v>
      </c>
      <c r="T325">
        <v>0</v>
      </c>
      <c r="U325">
        <v>0</v>
      </c>
      <c r="V325">
        <v>0</v>
      </c>
      <c r="W325">
        <v>76</v>
      </c>
      <c r="X325">
        <v>96</v>
      </c>
    </row>
    <row r="326" spans="2:24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tr">
        <v/>
      </c>
      <c r="K326">
        <v>255</v>
      </c>
      <c r="L326" t="str">
        <v/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76</v>
      </c>
      <c r="X326">
        <v>96</v>
      </c>
    </row>
    <row r="327" spans="2:24" x14ac:dyDescent="0.4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 t="str">
        <v/>
      </c>
      <c r="K327">
        <v>255</v>
      </c>
      <c r="L327" t="str">
        <v/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76</v>
      </c>
      <c r="X327">
        <v>96</v>
      </c>
    </row>
    <row r="328" spans="2:24" x14ac:dyDescent="0.4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 t="str">
        <v/>
      </c>
      <c r="K328">
        <v>255</v>
      </c>
      <c r="L328" t="str">
        <v/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76</v>
      </c>
      <c r="X328">
        <v>96</v>
      </c>
    </row>
    <row r="329" spans="2:24" x14ac:dyDescent="0.4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 t="str">
        <v/>
      </c>
      <c r="K329">
        <v>255</v>
      </c>
      <c r="L329" t="str">
        <v/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76</v>
      </c>
      <c r="X329">
        <v>96</v>
      </c>
    </row>
    <row r="330" spans="2:24" x14ac:dyDescent="0.4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 t="str">
        <v/>
      </c>
      <c r="K330">
        <v>255</v>
      </c>
      <c r="L330" t="str">
        <v/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76</v>
      </c>
      <c r="X330">
        <v>96</v>
      </c>
    </row>
    <row r="331" spans="2:24" x14ac:dyDescent="0.4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 t="str">
        <v/>
      </c>
      <c r="K331">
        <v>255</v>
      </c>
      <c r="L331" t="str">
        <v/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76</v>
      </c>
      <c r="X331">
        <v>96</v>
      </c>
    </row>
    <row r="332" spans="2:24" x14ac:dyDescent="0.4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 t="str">
        <v/>
      </c>
      <c r="K332">
        <v>255</v>
      </c>
      <c r="L332" t="str">
        <v/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76</v>
      </c>
      <c r="X332">
        <v>96</v>
      </c>
    </row>
    <row r="333" spans="2:24" x14ac:dyDescent="0.4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 t="str">
        <v/>
      </c>
      <c r="K333">
        <v>255</v>
      </c>
      <c r="L333" t="str">
        <v/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76</v>
      </c>
      <c r="X333">
        <v>96</v>
      </c>
    </row>
    <row r="334" spans="2:24" x14ac:dyDescent="0.4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 t="str">
        <v/>
      </c>
      <c r="K334">
        <v>255</v>
      </c>
      <c r="L334" t="str">
        <v/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76</v>
      </c>
      <c r="X334">
        <v>96</v>
      </c>
    </row>
    <row r="335" spans="2:24" x14ac:dyDescent="0.4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tr">
        <v/>
      </c>
      <c r="K335">
        <v>255</v>
      </c>
      <c r="L335" t="str">
        <v/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76</v>
      </c>
      <c r="X335">
        <v>96</v>
      </c>
    </row>
    <row r="336" spans="2:24" x14ac:dyDescent="0.4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tr">
        <v/>
      </c>
      <c r="K336">
        <v>255</v>
      </c>
      <c r="L336" t="str">
        <v/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76</v>
      </c>
      <c r="X336">
        <v>96</v>
      </c>
    </row>
    <row r="337" spans="2:24" x14ac:dyDescent="0.4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 t="str">
        <v/>
      </c>
      <c r="K337">
        <v>255</v>
      </c>
      <c r="L337" t="str">
        <v/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76</v>
      </c>
      <c r="X337">
        <v>96</v>
      </c>
    </row>
    <row r="338" spans="2:24" x14ac:dyDescent="0.4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 t="str">
        <v/>
      </c>
      <c r="K338">
        <v>255</v>
      </c>
      <c r="L338" t="str">
        <v/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76</v>
      </c>
      <c r="X338">
        <v>96</v>
      </c>
    </row>
    <row r="339" spans="2:24" x14ac:dyDescent="0.4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 t="str">
        <v/>
      </c>
      <c r="K339">
        <v>255</v>
      </c>
      <c r="L339" t="str">
        <v/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76</v>
      </c>
      <c r="X339">
        <v>96</v>
      </c>
    </row>
    <row r="340" spans="2:24" x14ac:dyDescent="0.4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 t="str">
        <v/>
      </c>
      <c r="K340">
        <v>255</v>
      </c>
      <c r="L340" t="str">
        <v/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76</v>
      </c>
      <c r="X340">
        <v>96</v>
      </c>
    </row>
    <row r="341" spans="2:24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 t="str">
        <v/>
      </c>
      <c r="K341">
        <v>255</v>
      </c>
      <c r="L341" t="str">
        <v/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76</v>
      </c>
      <c r="X341">
        <v>96</v>
      </c>
    </row>
    <row r="342" spans="2:24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tr">
        <v/>
      </c>
      <c r="K342">
        <v>255</v>
      </c>
      <c r="L342" t="str">
        <v/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76</v>
      </c>
      <c r="X342">
        <v>96</v>
      </c>
    </row>
    <row r="343" spans="2:24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tr">
        <v/>
      </c>
      <c r="K343">
        <v>255</v>
      </c>
      <c r="L343" t="str">
        <v/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76</v>
      </c>
      <c r="X343">
        <v>96</v>
      </c>
    </row>
    <row r="344" spans="2:24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 t="str">
        <v/>
      </c>
      <c r="K344">
        <v>255</v>
      </c>
      <c r="L344" t="str">
        <v/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76</v>
      </c>
      <c r="X344">
        <v>96</v>
      </c>
    </row>
    <row r="345" spans="2:24" x14ac:dyDescent="0.4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tr">
        <v/>
      </c>
      <c r="K345">
        <v>255</v>
      </c>
      <c r="L345" t="str">
        <v/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76</v>
      </c>
      <c r="X345">
        <v>96</v>
      </c>
    </row>
    <row r="346" spans="2:24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tr">
        <v/>
      </c>
      <c r="K346">
        <v>255</v>
      </c>
      <c r="L346" t="str">
        <v/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76</v>
      </c>
      <c r="X346">
        <v>96</v>
      </c>
    </row>
    <row r="347" spans="2:24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tr">
        <v/>
      </c>
      <c r="K347">
        <v>255</v>
      </c>
      <c r="L347" t="str">
        <v/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76</v>
      </c>
      <c r="X347">
        <v>96</v>
      </c>
    </row>
    <row r="348" spans="2:24" x14ac:dyDescent="0.4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tr">
        <v/>
      </c>
      <c r="K348">
        <v>255</v>
      </c>
      <c r="L348" t="str">
        <v/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76</v>
      </c>
      <c r="X348">
        <v>96</v>
      </c>
    </row>
    <row r="349" spans="2:24" x14ac:dyDescent="0.4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 t="str">
        <v/>
      </c>
      <c r="K349">
        <v>255</v>
      </c>
      <c r="L349" t="str">
        <v/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76</v>
      </c>
      <c r="X349">
        <v>96</v>
      </c>
    </row>
    <row r="350" spans="2:24" x14ac:dyDescent="0.4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tr">
        <v/>
      </c>
      <c r="K350">
        <v>255</v>
      </c>
      <c r="L350" t="str">
        <v/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76</v>
      </c>
      <c r="X350">
        <v>96</v>
      </c>
    </row>
    <row r="351" spans="2:24" x14ac:dyDescent="0.4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tr">
        <v/>
      </c>
      <c r="K351">
        <v>255</v>
      </c>
      <c r="L351" t="str">
        <v/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76</v>
      </c>
      <c r="X351">
        <v>96</v>
      </c>
    </row>
    <row r="352" spans="2:24" x14ac:dyDescent="0.4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tr">
        <v/>
      </c>
      <c r="K352">
        <v>255</v>
      </c>
      <c r="L352" t="str">
        <v/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76</v>
      </c>
      <c r="X352">
        <v>96</v>
      </c>
    </row>
    <row r="353" spans="2:24" x14ac:dyDescent="0.4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 t="str">
        <v/>
      </c>
      <c r="K353">
        <v>255</v>
      </c>
      <c r="L353" t="str">
        <v/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76</v>
      </c>
      <c r="X353">
        <v>96</v>
      </c>
    </row>
    <row r="354" spans="2:24" x14ac:dyDescent="0.4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tr">
        <v/>
      </c>
      <c r="K354">
        <v>255</v>
      </c>
      <c r="L354" t="str">
        <v/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76</v>
      </c>
      <c r="X354">
        <v>96</v>
      </c>
    </row>
    <row r="355" spans="2:24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 t="str">
        <v/>
      </c>
      <c r="K355">
        <v>255</v>
      </c>
      <c r="L355" t="str">
        <v/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76</v>
      </c>
      <c r="X355">
        <v>96</v>
      </c>
    </row>
    <row r="356" spans="2:24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 t="str">
        <v/>
      </c>
      <c r="K356">
        <v>255</v>
      </c>
      <c r="L356" t="str">
        <v/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76</v>
      </c>
      <c r="X356">
        <v>96</v>
      </c>
    </row>
    <row r="357" spans="2:24" x14ac:dyDescent="0.4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tr">
        <v/>
      </c>
      <c r="K357">
        <v>255</v>
      </c>
      <c r="L357" t="str">
        <v/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76</v>
      </c>
      <c r="X357">
        <v>96</v>
      </c>
    </row>
    <row r="358" spans="2:24" x14ac:dyDescent="0.4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 t="str">
        <v/>
      </c>
      <c r="K358">
        <v>255</v>
      </c>
      <c r="L358" t="str">
        <v/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76</v>
      </c>
      <c r="X358">
        <v>96</v>
      </c>
    </row>
    <row r="359" spans="2:24" x14ac:dyDescent="0.4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 t="str">
        <v/>
      </c>
      <c r="K359">
        <v>255</v>
      </c>
      <c r="L359" t="str">
        <v/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76</v>
      </c>
      <c r="X359">
        <v>96</v>
      </c>
    </row>
    <row r="360" spans="2:24" x14ac:dyDescent="0.4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 t="str">
        <v/>
      </c>
      <c r="K360">
        <v>255</v>
      </c>
      <c r="L360" t="str">
        <v/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76</v>
      </c>
      <c r="X360">
        <v>96</v>
      </c>
    </row>
    <row r="361" spans="2:24" x14ac:dyDescent="0.4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tr">
        <v/>
      </c>
      <c r="K361">
        <v>255</v>
      </c>
      <c r="L361" t="str">
        <v/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76</v>
      </c>
      <c r="X361">
        <v>96</v>
      </c>
    </row>
    <row r="362" spans="2:24" x14ac:dyDescent="0.4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 t="str">
        <v/>
      </c>
      <c r="K362">
        <v>255</v>
      </c>
      <c r="L362" t="str">
        <v/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76</v>
      </c>
      <c r="X362">
        <v>96</v>
      </c>
    </row>
    <row r="363" spans="2:24" x14ac:dyDescent="0.4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tr">
        <v/>
      </c>
      <c r="K363">
        <v>255</v>
      </c>
      <c r="L363" t="str">
        <v/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76</v>
      </c>
      <c r="X363">
        <v>96</v>
      </c>
    </row>
    <row r="364" spans="2:24" x14ac:dyDescent="0.4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tr">
        <v/>
      </c>
      <c r="K364">
        <v>255</v>
      </c>
      <c r="L364" t="str">
        <v/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76</v>
      </c>
      <c r="X364">
        <v>96</v>
      </c>
    </row>
    <row r="365" spans="2:24" x14ac:dyDescent="0.4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 t="str">
        <v/>
      </c>
      <c r="K365">
        <v>255</v>
      </c>
      <c r="L365" t="str">
        <v/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76</v>
      </c>
      <c r="X365">
        <v>96</v>
      </c>
    </row>
    <row r="366" spans="2:24" x14ac:dyDescent="0.4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tr">
        <v/>
      </c>
      <c r="K366">
        <v>255</v>
      </c>
      <c r="L366" t="str">
        <v/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76</v>
      </c>
      <c r="X366">
        <v>96</v>
      </c>
    </row>
    <row r="367" spans="2:24" x14ac:dyDescent="0.45"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tr">
        <v/>
      </c>
      <c r="K367">
        <v>255</v>
      </c>
      <c r="L367" t="str">
        <v/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76</v>
      </c>
      <c r="X367">
        <v>96</v>
      </c>
    </row>
    <row r="368" spans="2:24" x14ac:dyDescent="0.4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tr">
        <v/>
      </c>
      <c r="K368">
        <v>255</v>
      </c>
      <c r="L368" t="str">
        <v/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76</v>
      </c>
      <c r="X368">
        <v>96</v>
      </c>
    </row>
    <row r="369" spans="2:24" x14ac:dyDescent="0.4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tr">
        <v/>
      </c>
      <c r="K369">
        <v>255</v>
      </c>
      <c r="L369" t="str">
        <v/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76</v>
      </c>
      <c r="X369">
        <v>96</v>
      </c>
    </row>
    <row r="370" spans="2:24" x14ac:dyDescent="0.4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 t="str">
        <v/>
      </c>
      <c r="K370">
        <v>255</v>
      </c>
      <c r="L370" t="str">
        <v/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76</v>
      </c>
      <c r="X370">
        <v>96</v>
      </c>
    </row>
    <row r="371" spans="2:24" x14ac:dyDescent="0.4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 t="str">
        <v/>
      </c>
      <c r="K371">
        <v>255</v>
      </c>
      <c r="L371" t="str">
        <v/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76</v>
      </c>
      <c r="X371">
        <v>96</v>
      </c>
    </row>
    <row r="372" spans="2:24" x14ac:dyDescent="0.4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 t="str">
        <v/>
      </c>
      <c r="K372">
        <v>255</v>
      </c>
      <c r="L372" t="str">
        <v/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76</v>
      </c>
      <c r="X372">
        <v>96</v>
      </c>
    </row>
    <row r="373" spans="2:24" x14ac:dyDescent="0.4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 t="str">
        <v/>
      </c>
      <c r="K373">
        <v>255</v>
      </c>
      <c r="L373" t="str">
        <v/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76</v>
      </c>
      <c r="X373">
        <v>96</v>
      </c>
    </row>
    <row r="374" spans="2:24" x14ac:dyDescent="0.4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tr">
        <v/>
      </c>
      <c r="K374">
        <v>255</v>
      </c>
      <c r="L374" t="str">
        <v/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76</v>
      </c>
      <c r="X374">
        <v>96</v>
      </c>
    </row>
    <row r="375" spans="2:24" x14ac:dyDescent="0.4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tr">
        <v/>
      </c>
      <c r="K375">
        <v>255</v>
      </c>
      <c r="L375" t="str">
        <v/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76</v>
      </c>
      <c r="X375">
        <v>96</v>
      </c>
    </row>
    <row r="376" spans="2:24" x14ac:dyDescent="0.45"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 t="str">
        <v/>
      </c>
      <c r="K376">
        <v>255</v>
      </c>
      <c r="L376" t="str">
        <v/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76</v>
      </c>
      <c r="X376">
        <v>96</v>
      </c>
    </row>
    <row r="377" spans="2:24" x14ac:dyDescent="0.45"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 t="str">
        <v/>
      </c>
      <c r="K377">
        <v>255</v>
      </c>
      <c r="L377" t="str">
        <v/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76</v>
      </c>
      <c r="X377">
        <v>96</v>
      </c>
    </row>
    <row r="378" spans="2:24" x14ac:dyDescent="0.45"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tr">
        <v/>
      </c>
      <c r="K378">
        <v>255</v>
      </c>
      <c r="L378" t="str">
        <v/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76</v>
      </c>
      <c r="X378">
        <v>96</v>
      </c>
    </row>
    <row r="379" spans="2:24" x14ac:dyDescent="0.45"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 t="str">
        <v/>
      </c>
      <c r="K379">
        <v>255</v>
      </c>
      <c r="L379" t="str">
        <v/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76</v>
      </c>
      <c r="X379">
        <v>96</v>
      </c>
    </row>
    <row r="380" spans="2:24" x14ac:dyDescent="0.45"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tr">
        <v/>
      </c>
      <c r="K380">
        <v>255</v>
      </c>
      <c r="L380" t="str">
        <v/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76</v>
      </c>
      <c r="X380">
        <v>96</v>
      </c>
    </row>
    <row r="381" spans="2:24" x14ac:dyDescent="0.45"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 t="str">
        <v/>
      </c>
      <c r="K381">
        <v>255</v>
      </c>
      <c r="L381" t="str">
        <v/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76</v>
      </c>
      <c r="X381">
        <v>96</v>
      </c>
    </row>
    <row r="382" spans="2:24" x14ac:dyDescent="0.45"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 t="str">
        <v/>
      </c>
      <c r="K382">
        <v>255</v>
      </c>
      <c r="L382" t="str">
        <v/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76</v>
      </c>
      <c r="X382">
        <v>96</v>
      </c>
    </row>
    <row r="383" spans="2:24" x14ac:dyDescent="0.45"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 t="str">
        <v/>
      </c>
      <c r="K383">
        <v>255</v>
      </c>
      <c r="L383" t="str">
        <v/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76</v>
      </c>
      <c r="X383">
        <v>96</v>
      </c>
    </row>
    <row r="384" spans="2:24" x14ac:dyDescent="0.45"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 t="str">
        <v/>
      </c>
      <c r="K384">
        <v>255</v>
      </c>
      <c r="L384" t="str">
        <v/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76</v>
      </c>
      <c r="X384">
        <v>96</v>
      </c>
    </row>
    <row r="385" spans="2:24" x14ac:dyDescent="0.45"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 t="str">
        <v/>
      </c>
      <c r="K385">
        <v>255</v>
      </c>
      <c r="L385" t="str">
        <v/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76</v>
      </c>
      <c r="X385">
        <v>96</v>
      </c>
    </row>
    <row r="386" spans="2:24" x14ac:dyDescent="0.45"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 t="str">
        <v/>
      </c>
      <c r="K386">
        <v>255</v>
      </c>
      <c r="L386" t="str">
        <v/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76</v>
      </c>
      <c r="X386">
        <v>96</v>
      </c>
    </row>
    <row r="387" spans="2:24" x14ac:dyDescent="0.45"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 t="str">
        <v/>
      </c>
      <c r="K387">
        <v>255</v>
      </c>
      <c r="L387" t="str">
        <v/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76</v>
      </c>
      <c r="X387">
        <v>96</v>
      </c>
    </row>
    <row r="388" spans="2:24" x14ac:dyDescent="0.45"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 t="str">
        <v/>
      </c>
      <c r="K388">
        <v>255</v>
      </c>
      <c r="L388" t="str">
        <v/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76</v>
      </c>
      <c r="X388">
        <v>96</v>
      </c>
    </row>
    <row r="389" spans="2:24" x14ac:dyDescent="0.45"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tr">
        <v/>
      </c>
      <c r="K389">
        <v>255</v>
      </c>
      <c r="L389" t="str">
        <v/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76</v>
      </c>
      <c r="X389">
        <v>96</v>
      </c>
    </row>
    <row r="390" spans="2:24" x14ac:dyDescent="0.45"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 t="str">
        <v/>
      </c>
      <c r="K390">
        <v>255</v>
      </c>
      <c r="L390" t="str">
        <v/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76</v>
      </c>
      <c r="X390">
        <v>96</v>
      </c>
    </row>
    <row r="391" spans="2:24" x14ac:dyDescent="0.45"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 t="str">
        <v/>
      </c>
      <c r="K391">
        <v>255</v>
      </c>
      <c r="L391" t="str">
        <v/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76</v>
      </c>
      <c r="X391">
        <v>96</v>
      </c>
    </row>
    <row r="392" spans="2:24" x14ac:dyDescent="0.45"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 t="str">
        <v/>
      </c>
      <c r="K392">
        <v>255</v>
      </c>
      <c r="L392" t="str">
        <v/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76</v>
      </c>
      <c r="X392">
        <v>96</v>
      </c>
    </row>
    <row r="393" spans="2:24" x14ac:dyDescent="0.4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 t="str">
        <v/>
      </c>
      <c r="K393">
        <v>255</v>
      </c>
      <c r="L393" t="str">
        <v/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76</v>
      </c>
      <c r="X393">
        <v>96</v>
      </c>
    </row>
    <row r="394" spans="2:24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 t="str">
        <v/>
      </c>
      <c r="K394">
        <v>255</v>
      </c>
      <c r="L394" t="str">
        <v/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76</v>
      </c>
      <c r="X394">
        <v>96</v>
      </c>
    </row>
    <row r="395" spans="2:24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 t="str">
        <v/>
      </c>
      <c r="K395">
        <v>255</v>
      </c>
      <c r="L395" t="str">
        <v/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76</v>
      </c>
      <c r="X395">
        <v>96</v>
      </c>
    </row>
    <row r="396" spans="2:24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tr">
        <v/>
      </c>
      <c r="K396">
        <v>255</v>
      </c>
      <c r="L396" t="str">
        <v/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76</v>
      </c>
      <c r="X396">
        <v>96</v>
      </c>
    </row>
    <row r="397" spans="2:24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 t="str">
        <v/>
      </c>
      <c r="K397">
        <v>255</v>
      </c>
      <c r="L397" t="str">
        <v/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76</v>
      </c>
      <c r="X397">
        <v>96</v>
      </c>
    </row>
    <row r="398" spans="2:24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 t="str">
        <v/>
      </c>
      <c r="K398">
        <v>255</v>
      </c>
      <c r="L398" t="str">
        <v/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76</v>
      </c>
      <c r="X398">
        <v>96</v>
      </c>
    </row>
    <row r="399" spans="2:24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tr">
        <v/>
      </c>
      <c r="K399">
        <v>255</v>
      </c>
      <c r="L399" t="str">
        <v/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76</v>
      </c>
      <c r="X399">
        <v>96</v>
      </c>
    </row>
    <row r="400" spans="2:24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tr">
        <v/>
      </c>
      <c r="K400">
        <v>255</v>
      </c>
      <c r="L400" t="str">
        <v/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76</v>
      </c>
      <c r="X400">
        <v>96</v>
      </c>
    </row>
    <row r="401" spans="2:24" x14ac:dyDescent="0.4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tr">
        <v/>
      </c>
      <c r="K401">
        <v>255</v>
      </c>
      <c r="L401" t="str">
        <v/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76</v>
      </c>
      <c r="X401">
        <v>96</v>
      </c>
    </row>
    <row r="402" spans="2:24" x14ac:dyDescent="0.4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tr">
        <v/>
      </c>
      <c r="K402">
        <v>255</v>
      </c>
      <c r="L402" t="str">
        <v/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76</v>
      </c>
      <c r="X402">
        <v>96</v>
      </c>
    </row>
    <row r="403" spans="2:24" x14ac:dyDescent="0.4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tr">
        <v/>
      </c>
      <c r="K403">
        <v>255</v>
      </c>
      <c r="L403" t="str">
        <v/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76</v>
      </c>
      <c r="X403">
        <v>96</v>
      </c>
    </row>
    <row r="404" spans="2:24" x14ac:dyDescent="0.4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tr">
        <v/>
      </c>
      <c r="K404">
        <v>255</v>
      </c>
      <c r="L404" t="str">
        <v/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76</v>
      </c>
      <c r="X404">
        <v>96</v>
      </c>
    </row>
    <row r="405" spans="2:24" x14ac:dyDescent="0.4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tr">
        <v/>
      </c>
      <c r="K405">
        <v>255</v>
      </c>
      <c r="L405" t="str">
        <v/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76</v>
      </c>
      <c r="X405">
        <v>96</v>
      </c>
    </row>
    <row r="406" spans="2:24" x14ac:dyDescent="0.45"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tr">
        <v/>
      </c>
      <c r="K406">
        <v>255</v>
      </c>
      <c r="L406" t="str">
        <v/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76</v>
      </c>
      <c r="X406">
        <v>96</v>
      </c>
    </row>
    <row r="407" spans="2:24" x14ac:dyDescent="0.45"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 t="str">
        <v/>
      </c>
      <c r="K407">
        <v>255</v>
      </c>
      <c r="L407" t="str">
        <v/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76</v>
      </c>
      <c r="X407">
        <v>96</v>
      </c>
    </row>
    <row r="408" spans="2:24" x14ac:dyDescent="0.4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tr">
        <v/>
      </c>
      <c r="K408">
        <v>255</v>
      </c>
      <c r="L408" t="str">
        <v/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76</v>
      </c>
      <c r="X408">
        <v>96</v>
      </c>
    </row>
    <row r="409" spans="2:24" x14ac:dyDescent="0.4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 t="str">
        <v/>
      </c>
      <c r="K409">
        <v>255</v>
      </c>
      <c r="L409" t="str">
        <v/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76</v>
      </c>
      <c r="X409">
        <v>96</v>
      </c>
    </row>
    <row r="410" spans="2:24" x14ac:dyDescent="0.4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 t="str">
        <v/>
      </c>
      <c r="K410">
        <v>255</v>
      </c>
      <c r="L410" t="str">
        <v/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76</v>
      </c>
      <c r="X410">
        <v>96</v>
      </c>
    </row>
    <row r="411" spans="2:24" x14ac:dyDescent="0.4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 t="str">
        <v/>
      </c>
      <c r="K411">
        <v>255</v>
      </c>
      <c r="L411" t="str">
        <v/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76</v>
      </c>
      <c r="X411">
        <v>96</v>
      </c>
    </row>
    <row r="412" spans="2:24" x14ac:dyDescent="0.4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 t="str">
        <v/>
      </c>
      <c r="K412">
        <v>255</v>
      </c>
      <c r="L412" t="str">
        <v/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76</v>
      </c>
      <c r="X412">
        <v>96</v>
      </c>
    </row>
    <row r="413" spans="2:24" x14ac:dyDescent="0.4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 t="str">
        <v/>
      </c>
      <c r="K413">
        <v>255</v>
      </c>
      <c r="L413" t="str">
        <v/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76</v>
      </c>
      <c r="X413">
        <v>96</v>
      </c>
    </row>
    <row r="414" spans="2:24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 t="str">
        <v/>
      </c>
      <c r="K414">
        <v>255</v>
      </c>
      <c r="L414" t="str">
        <v/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76</v>
      </c>
      <c r="X414">
        <v>96</v>
      </c>
    </row>
    <row r="415" spans="2:24" x14ac:dyDescent="0.45"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tr">
        <v/>
      </c>
      <c r="K415">
        <v>255</v>
      </c>
      <c r="L415" t="str">
        <v/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76</v>
      </c>
      <c r="X415">
        <v>96</v>
      </c>
    </row>
    <row r="416" spans="2:24" x14ac:dyDescent="0.45"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tr">
        <v/>
      </c>
      <c r="K416">
        <v>255</v>
      </c>
      <c r="L416" t="str">
        <v/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76</v>
      </c>
      <c r="X416">
        <v>96</v>
      </c>
    </row>
    <row r="417" spans="2:24" x14ac:dyDescent="0.45"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tr">
        <v/>
      </c>
      <c r="K417">
        <v>255</v>
      </c>
      <c r="L417" t="str">
        <v/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76</v>
      </c>
      <c r="X417">
        <v>96</v>
      </c>
    </row>
    <row r="418" spans="2:24" x14ac:dyDescent="0.45"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tr">
        <v/>
      </c>
      <c r="K418">
        <v>255</v>
      </c>
      <c r="L418" t="str">
        <v/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76</v>
      </c>
      <c r="X418">
        <v>96</v>
      </c>
    </row>
    <row r="419" spans="2:24" x14ac:dyDescent="0.45"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tr">
        <v/>
      </c>
      <c r="K419">
        <v>255</v>
      </c>
      <c r="L419" t="str">
        <v/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76</v>
      </c>
      <c r="X419">
        <v>96</v>
      </c>
    </row>
    <row r="420" spans="2:24" x14ac:dyDescent="0.45"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tr">
        <v/>
      </c>
      <c r="K420">
        <v>255</v>
      </c>
      <c r="L420" t="str">
        <v/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76</v>
      </c>
      <c r="X420">
        <v>96</v>
      </c>
    </row>
    <row r="421" spans="2:24" x14ac:dyDescent="0.45"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tr">
        <v/>
      </c>
      <c r="K421">
        <v>255</v>
      </c>
      <c r="L421" t="str">
        <v/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76</v>
      </c>
      <c r="X421">
        <v>96</v>
      </c>
    </row>
    <row r="422" spans="2:24" x14ac:dyDescent="0.45"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tr">
        <v/>
      </c>
      <c r="K422">
        <v>255</v>
      </c>
      <c r="L422" t="str">
        <v/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76</v>
      </c>
      <c r="X422">
        <v>96</v>
      </c>
    </row>
    <row r="423" spans="2:24" x14ac:dyDescent="0.45"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tr">
        <v/>
      </c>
      <c r="K423">
        <v>255</v>
      </c>
      <c r="L423" t="str">
        <v/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76</v>
      </c>
      <c r="X423">
        <v>96</v>
      </c>
    </row>
    <row r="424" spans="2:24" x14ac:dyDescent="0.45"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 t="str">
        <v/>
      </c>
      <c r="K424">
        <v>255</v>
      </c>
      <c r="L424" t="str">
        <v/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76</v>
      </c>
      <c r="X424">
        <v>96</v>
      </c>
    </row>
    <row r="425" spans="2:24" x14ac:dyDescent="0.4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 t="str">
        <v/>
      </c>
      <c r="K425">
        <v>255</v>
      </c>
      <c r="L425" t="str">
        <v/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76</v>
      </c>
      <c r="X425">
        <v>96</v>
      </c>
    </row>
    <row r="426" spans="2:24" x14ac:dyDescent="0.4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 t="str">
        <v/>
      </c>
      <c r="K426">
        <v>255</v>
      </c>
      <c r="L426" t="str">
        <v/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76</v>
      </c>
      <c r="X426">
        <v>96</v>
      </c>
    </row>
    <row r="427" spans="2:24" x14ac:dyDescent="0.4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 t="str">
        <v/>
      </c>
      <c r="K427">
        <v>255</v>
      </c>
      <c r="L427" t="str">
        <v/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76</v>
      </c>
      <c r="X427">
        <v>96</v>
      </c>
    </row>
    <row r="428" spans="2:24" x14ac:dyDescent="0.45"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tr">
        <v/>
      </c>
      <c r="K428">
        <v>255</v>
      </c>
      <c r="L428" t="str">
        <v/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76</v>
      </c>
      <c r="X428">
        <v>96</v>
      </c>
    </row>
    <row r="429" spans="2:24" x14ac:dyDescent="0.45"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tr">
        <v/>
      </c>
      <c r="K429">
        <v>255</v>
      </c>
      <c r="L429" t="str">
        <v/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76</v>
      </c>
      <c r="X429">
        <v>96</v>
      </c>
    </row>
    <row r="430" spans="2:24" x14ac:dyDescent="0.45"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 t="str">
        <v/>
      </c>
      <c r="K430">
        <v>255</v>
      </c>
      <c r="L430" t="str">
        <v/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76</v>
      </c>
      <c r="X430">
        <v>96</v>
      </c>
    </row>
    <row r="431" spans="2:24" x14ac:dyDescent="0.45"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 t="str">
        <v/>
      </c>
      <c r="K431">
        <v>255</v>
      </c>
      <c r="L431" t="str">
        <v/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76</v>
      </c>
      <c r="X431">
        <v>96</v>
      </c>
    </row>
    <row r="432" spans="2:24" x14ac:dyDescent="0.45"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tr">
        <v/>
      </c>
      <c r="K432">
        <v>255</v>
      </c>
      <c r="L432" t="str">
        <v/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76</v>
      </c>
      <c r="X432">
        <v>96</v>
      </c>
    </row>
    <row r="433" spans="2:24" x14ac:dyDescent="0.45"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 t="str">
        <v/>
      </c>
      <c r="K433">
        <v>255</v>
      </c>
      <c r="L433" t="str">
        <v/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76</v>
      </c>
      <c r="X433">
        <v>96</v>
      </c>
    </row>
    <row r="434" spans="2:24" x14ac:dyDescent="0.45"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tr">
        <v/>
      </c>
      <c r="K434">
        <v>255</v>
      </c>
      <c r="L434" t="str">
        <v/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76</v>
      </c>
      <c r="X434">
        <v>96</v>
      </c>
    </row>
    <row r="435" spans="2:24" x14ac:dyDescent="0.45"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t="str">
        <v/>
      </c>
      <c r="K435">
        <v>255</v>
      </c>
      <c r="L435" t="str">
        <v/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76</v>
      </c>
      <c r="X435">
        <v>96</v>
      </c>
    </row>
    <row r="436" spans="2:24" x14ac:dyDescent="0.45"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 t="str">
        <v/>
      </c>
      <c r="K436">
        <v>255</v>
      </c>
      <c r="L436" t="str">
        <v/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76</v>
      </c>
      <c r="X436">
        <v>96</v>
      </c>
    </row>
    <row r="437" spans="2:24" x14ac:dyDescent="0.45"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t="str">
        <v/>
      </c>
      <c r="K437">
        <v>255</v>
      </c>
      <c r="L437" t="str">
        <v/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76</v>
      </c>
      <c r="X437">
        <v>96</v>
      </c>
    </row>
    <row r="438" spans="2:24" x14ac:dyDescent="0.45"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t="str">
        <v/>
      </c>
      <c r="K438">
        <v>255</v>
      </c>
      <c r="L438" t="str">
        <v/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76</v>
      </c>
      <c r="X438">
        <v>96</v>
      </c>
    </row>
    <row r="439" spans="2:24" x14ac:dyDescent="0.4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t="str">
        <v/>
      </c>
      <c r="K439">
        <v>255</v>
      </c>
      <c r="L439" t="str">
        <v/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76</v>
      </c>
      <c r="X439">
        <v>96</v>
      </c>
    </row>
    <row r="440" spans="2:24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t="str">
        <v/>
      </c>
      <c r="K440">
        <v>255</v>
      </c>
      <c r="L440" t="str">
        <v/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76</v>
      </c>
      <c r="X440">
        <v>96</v>
      </c>
    </row>
    <row r="441" spans="2:24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t="str">
        <v/>
      </c>
      <c r="K441">
        <v>255</v>
      </c>
      <c r="L441" t="str">
        <v/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76</v>
      </c>
      <c r="X441">
        <v>96</v>
      </c>
    </row>
    <row r="442" spans="2:24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t="str">
        <v/>
      </c>
      <c r="K442">
        <v>255</v>
      </c>
      <c r="L442" t="str">
        <v/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76</v>
      </c>
      <c r="X442">
        <v>96</v>
      </c>
    </row>
    <row r="443" spans="2:24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tr">
        <v/>
      </c>
      <c r="K443">
        <v>255</v>
      </c>
      <c r="L443" t="str">
        <v/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76</v>
      </c>
      <c r="X443">
        <v>96</v>
      </c>
    </row>
    <row r="444" spans="2:24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tr">
        <v/>
      </c>
      <c r="K444">
        <v>255</v>
      </c>
      <c r="L444" t="str">
        <v/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76</v>
      </c>
      <c r="X444">
        <v>96</v>
      </c>
    </row>
    <row r="445" spans="2:24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t="str">
        <v/>
      </c>
      <c r="K445">
        <v>255</v>
      </c>
      <c r="L445" t="str">
        <v/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76</v>
      </c>
      <c r="X445">
        <v>96</v>
      </c>
    </row>
    <row r="446" spans="2:24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 t="str">
        <v/>
      </c>
      <c r="K446">
        <v>255</v>
      </c>
      <c r="L446" t="str">
        <v/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76</v>
      </c>
      <c r="X446">
        <v>96</v>
      </c>
    </row>
    <row r="447" spans="2:24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 t="str">
        <v/>
      </c>
      <c r="K447">
        <v>255</v>
      </c>
      <c r="L447" t="str">
        <v/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76</v>
      </c>
      <c r="X447">
        <v>96</v>
      </c>
    </row>
    <row r="448" spans="2:24" x14ac:dyDescent="0.4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tr">
        <v/>
      </c>
      <c r="K448">
        <v>255</v>
      </c>
      <c r="L448" t="str">
        <v/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76</v>
      </c>
      <c r="X448">
        <v>96</v>
      </c>
    </row>
    <row r="449" spans="2:24" x14ac:dyDescent="0.4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tr">
        <v/>
      </c>
      <c r="K449">
        <v>255</v>
      </c>
      <c r="L449" t="str">
        <v/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76</v>
      </c>
      <c r="X449">
        <v>96</v>
      </c>
    </row>
    <row r="450" spans="2:24" x14ac:dyDescent="0.4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 t="str">
        <v/>
      </c>
      <c r="K450">
        <v>255</v>
      </c>
      <c r="L450" t="str">
        <v/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76</v>
      </c>
      <c r="X450">
        <v>96</v>
      </c>
    </row>
    <row r="451" spans="2:24" x14ac:dyDescent="0.4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t="str">
        <v/>
      </c>
      <c r="K451">
        <v>255</v>
      </c>
      <c r="L451" t="str">
        <v/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76</v>
      </c>
      <c r="X451">
        <v>96</v>
      </c>
    </row>
    <row r="452" spans="2:24" x14ac:dyDescent="0.4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 t="str">
        <v/>
      </c>
      <c r="K452">
        <v>255</v>
      </c>
      <c r="L452" t="str">
        <v/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76</v>
      </c>
      <c r="X452">
        <v>96</v>
      </c>
    </row>
    <row r="453" spans="2:24" x14ac:dyDescent="0.4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tr">
        <v/>
      </c>
      <c r="K453">
        <v>255</v>
      </c>
      <c r="L453" t="str">
        <v/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76</v>
      </c>
      <c r="X453">
        <v>96</v>
      </c>
    </row>
    <row r="454" spans="2:24" x14ac:dyDescent="0.4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tr">
        <v/>
      </c>
      <c r="K454">
        <v>255</v>
      </c>
      <c r="L454" t="str">
        <v/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76</v>
      </c>
      <c r="X454">
        <v>96</v>
      </c>
    </row>
    <row r="455" spans="2:24" x14ac:dyDescent="0.45"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tr">
        <v/>
      </c>
      <c r="K455">
        <v>255</v>
      </c>
      <c r="L455" t="str">
        <v/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76</v>
      </c>
      <c r="X455">
        <v>96</v>
      </c>
    </row>
    <row r="456" spans="2:24" x14ac:dyDescent="0.45"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tr">
        <v/>
      </c>
      <c r="K456">
        <v>255</v>
      </c>
      <c r="L456" t="str">
        <v/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76</v>
      </c>
      <c r="X456">
        <v>96</v>
      </c>
    </row>
    <row r="457" spans="2:24" x14ac:dyDescent="0.45"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tr">
        <v/>
      </c>
      <c r="K457">
        <v>255</v>
      </c>
      <c r="L457" t="str">
        <v/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76</v>
      </c>
      <c r="X457">
        <v>96</v>
      </c>
    </row>
    <row r="458" spans="2:24" x14ac:dyDescent="0.45"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tr">
        <v/>
      </c>
      <c r="K458">
        <v>255</v>
      </c>
      <c r="L458" t="str">
        <v/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76</v>
      </c>
      <c r="X458">
        <v>96</v>
      </c>
    </row>
    <row r="459" spans="2:24" x14ac:dyDescent="0.45"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tr">
        <v/>
      </c>
      <c r="K459">
        <v>255</v>
      </c>
      <c r="L459" t="str">
        <v/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76</v>
      </c>
      <c r="X459">
        <v>96</v>
      </c>
    </row>
    <row r="460" spans="2:24" x14ac:dyDescent="0.45"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tr">
        <v/>
      </c>
      <c r="K460">
        <v>255</v>
      </c>
      <c r="L460" t="str">
        <v/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76</v>
      </c>
      <c r="X460">
        <v>96</v>
      </c>
    </row>
    <row r="461" spans="2:24" x14ac:dyDescent="0.45"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 t="str">
        <v/>
      </c>
      <c r="K461">
        <v>255</v>
      </c>
      <c r="L461" t="str">
        <v/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76</v>
      </c>
      <c r="X461">
        <v>96</v>
      </c>
    </row>
    <row r="462" spans="2:24" x14ac:dyDescent="0.45"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tr">
        <v/>
      </c>
      <c r="K462">
        <v>255</v>
      </c>
      <c r="L462" t="str">
        <v/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76</v>
      </c>
      <c r="X462">
        <v>96</v>
      </c>
    </row>
    <row r="463" spans="2:24" x14ac:dyDescent="0.45"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t="str">
        <v/>
      </c>
      <c r="K463">
        <v>255</v>
      </c>
      <c r="L463" t="str">
        <v/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76</v>
      </c>
      <c r="X463">
        <v>96</v>
      </c>
    </row>
    <row r="464" spans="2:24" x14ac:dyDescent="0.45"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t="str">
        <v/>
      </c>
      <c r="K464">
        <v>255</v>
      </c>
      <c r="L464" t="str">
        <v/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76</v>
      </c>
      <c r="X464">
        <v>96</v>
      </c>
    </row>
    <row r="465" spans="2:24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tr">
        <v/>
      </c>
      <c r="K465">
        <v>255</v>
      </c>
      <c r="L465" t="str">
        <v/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76</v>
      </c>
      <c r="X465">
        <v>96</v>
      </c>
    </row>
    <row r="466" spans="2:24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t="str">
        <v/>
      </c>
      <c r="K466">
        <v>255</v>
      </c>
      <c r="L466" t="str">
        <v/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76</v>
      </c>
      <c r="X466">
        <v>96</v>
      </c>
    </row>
    <row r="467" spans="2:24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t="str">
        <v/>
      </c>
      <c r="K467">
        <v>255</v>
      </c>
      <c r="L467" t="str">
        <v/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76</v>
      </c>
      <c r="X467">
        <v>96</v>
      </c>
    </row>
    <row r="468" spans="2:24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 t="str">
        <v/>
      </c>
      <c r="K468">
        <v>255</v>
      </c>
      <c r="L468" t="str">
        <v/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76</v>
      </c>
      <c r="X468">
        <v>96</v>
      </c>
    </row>
    <row r="469" spans="2:24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tr">
        <v/>
      </c>
      <c r="K469">
        <v>255</v>
      </c>
      <c r="L469" t="str">
        <v/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76</v>
      </c>
      <c r="X469">
        <v>96</v>
      </c>
    </row>
    <row r="470" spans="2:24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tr">
        <v/>
      </c>
      <c r="K470">
        <v>255</v>
      </c>
      <c r="L470" t="str">
        <v/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76</v>
      </c>
      <c r="X470">
        <v>96</v>
      </c>
    </row>
    <row r="471" spans="2:24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tr">
        <v/>
      </c>
      <c r="K471">
        <v>255</v>
      </c>
      <c r="L471" t="str">
        <v/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76</v>
      </c>
      <c r="X471">
        <v>96</v>
      </c>
    </row>
    <row r="472" spans="2:24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tr">
        <v/>
      </c>
      <c r="K472">
        <v>255</v>
      </c>
      <c r="L472" t="str">
        <v/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76</v>
      </c>
      <c r="X472">
        <v>96</v>
      </c>
    </row>
    <row r="473" spans="2:24" x14ac:dyDescent="0.45"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tr">
        <v/>
      </c>
      <c r="K473">
        <v>255</v>
      </c>
      <c r="L473" t="str">
        <v/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76</v>
      </c>
      <c r="X473">
        <v>96</v>
      </c>
    </row>
    <row r="474" spans="2:24" x14ac:dyDescent="0.45"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tr">
        <v/>
      </c>
      <c r="K474">
        <v>255</v>
      </c>
      <c r="L474" t="str">
        <v/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76</v>
      </c>
      <c r="X474">
        <v>96</v>
      </c>
    </row>
    <row r="475" spans="2:24" x14ac:dyDescent="0.45"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tr">
        <v/>
      </c>
      <c r="K475">
        <v>255</v>
      </c>
      <c r="L475" t="str">
        <v/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76</v>
      </c>
      <c r="X475">
        <v>96</v>
      </c>
    </row>
    <row r="476" spans="2:24" x14ac:dyDescent="0.45"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tr">
        <v/>
      </c>
      <c r="K476">
        <v>255</v>
      </c>
      <c r="L476" t="str">
        <v/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76</v>
      </c>
      <c r="X476">
        <v>96</v>
      </c>
    </row>
    <row r="477" spans="2:24" x14ac:dyDescent="0.45"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tr">
        <v/>
      </c>
      <c r="K477">
        <v>255</v>
      </c>
      <c r="L477" t="str">
        <v/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76</v>
      </c>
      <c r="X477">
        <v>96</v>
      </c>
    </row>
    <row r="478" spans="2:24" x14ac:dyDescent="0.45"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t="str">
        <v/>
      </c>
      <c r="K478">
        <v>255</v>
      </c>
      <c r="L478" t="str">
        <v/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76</v>
      </c>
      <c r="X478">
        <v>96</v>
      </c>
    </row>
    <row r="479" spans="2:24" x14ac:dyDescent="0.45"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tr">
        <v/>
      </c>
      <c r="K479">
        <v>255</v>
      </c>
      <c r="L479" t="str">
        <v/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76</v>
      </c>
      <c r="X479">
        <v>96</v>
      </c>
    </row>
    <row r="480" spans="2:24" x14ac:dyDescent="0.45"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 t="str">
        <v/>
      </c>
      <c r="K480">
        <v>255</v>
      </c>
      <c r="L480" t="str">
        <v/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76</v>
      </c>
      <c r="X480">
        <v>96</v>
      </c>
    </row>
    <row r="481" spans="2:24" x14ac:dyDescent="0.45"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 t="str">
        <v/>
      </c>
      <c r="K481">
        <v>255</v>
      </c>
      <c r="L481" t="str">
        <v/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76</v>
      </c>
      <c r="X481">
        <v>96</v>
      </c>
    </row>
    <row r="482" spans="2:24" x14ac:dyDescent="0.45"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tr">
        <v/>
      </c>
      <c r="K482">
        <v>255</v>
      </c>
      <c r="L482" t="str">
        <v/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76</v>
      </c>
      <c r="X482">
        <v>96</v>
      </c>
    </row>
    <row r="483" spans="2:24" x14ac:dyDescent="0.45"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tr">
        <v/>
      </c>
      <c r="K483">
        <v>255</v>
      </c>
      <c r="L483" t="str">
        <v/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76</v>
      </c>
      <c r="X483">
        <v>96</v>
      </c>
    </row>
    <row r="484" spans="2:24" x14ac:dyDescent="0.45"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 t="str">
        <v/>
      </c>
      <c r="K484">
        <v>255</v>
      </c>
      <c r="L484" t="str">
        <v/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76</v>
      </c>
      <c r="X484">
        <v>96</v>
      </c>
    </row>
    <row r="485" spans="2:24" x14ac:dyDescent="0.45"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 t="str">
        <v/>
      </c>
      <c r="K485">
        <v>255</v>
      </c>
      <c r="L485" t="str">
        <v/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76</v>
      </c>
      <c r="X485">
        <v>96</v>
      </c>
    </row>
    <row r="486" spans="2:24" x14ac:dyDescent="0.45"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tr">
        <v/>
      </c>
      <c r="K486">
        <v>255</v>
      </c>
      <c r="L486" t="str">
        <v/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76</v>
      </c>
      <c r="X486">
        <v>96</v>
      </c>
    </row>
    <row r="487" spans="2:24" x14ac:dyDescent="0.45"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t="str">
        <v/>
      </c>
      <c r="K487">
        <v>255</v>
      </c>
      <c r="L487" t="str">
        <v/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76</v>
      </c>
      <c r="X487">
        <v>96</v>
      </c>
    </row>
    <row r="488" spans="2:24" x14ac:dyDescent="0.45"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tr">
        <v/>
      </c>
      <c r="K488">
        <v>255</v>
      </c>
      <c r="L488" t="str">
        <v/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76</v>
      </c>
      <c r="X488">
        <v>96</v>
      </c>
    </row>
    <row r="489" spans="2:24" x14ac:dyDescent="0.45"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t="str">
        <v/>
      </c>
      <c r="K489">
        <v>255</v>
      </c>
      <c r="L489" t="str">
        <v/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76</v>
      </c>
      <c r="X489">
        <v>96</v>
      </c>
    </row>
    <row r="490" spans="2:24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tr">
        <v/>
      </c>
      <c r="K490">
        <v>255</v>
      </c>
      <c r="L490" t="str">
        <v/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76</v>
      </c>
      <c r="X490">
        <v>96</v>
      </c>
    </row>
    <row r="491" spans="2:24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t="str">
        <v/>
      </c>
      <c r="K491">
        <v>255</v>
      </c>
      <c r="L491" t="str">
        <v/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76</v>
      </c>
      <c r="X491">
        <v>96</v>
      </c>
    </row>
    <row r="492" spans="2:24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 t="str">
        <v/>
      </c>
      <c r="K492">
        <v>255</v>
      </c>
      <c r="L492" t="str">
        <v/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76</v>
      </c>
      <c r="X492">
        <v>96</v>
      </c>
    </row>
    <row r="493" spans="2:24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t="str">
        <v/>
      </c>
      <c r="K493">
        <v>255</v>
      </c>
      <c r="L493" t="str">
        <v/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76</v>
      </c>
      <c r="X493">
        <v>96</v>
      </c>
    </row>
    <row r="494" spans="2:24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 t="str">
        <v/>
      </c>
      <c r="K494">
        <v>255</v>
      </c>
      <c r="L494" t="str">
        <v/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76</v>
      </c>
      <c r="X494">
        <v>96</v>
      </c>
    </row>
    <row r="495" spans="2:24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t="str">
        <v/>
      </c>
      <c r="K495">
        <v>255</v>
      </c>
      <c r="L495" t="str">
        <v/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76</v>
      </c>
      <c r="X495">
        <v>96</v>
      </c>
    </row>
    <row r="496" spans="2:24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t="str">
        <v/>
      </c>
      <c r="K496">
        <v>255</v>
      </c>
      <c r="L496" t="str">
        <v/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76</v>
      </c>
      <c r="X496">
        <v>96</v>
      </c>
    </row>
    <row r="497" spans="2:24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tr">
        <v/>
      </c>
      <c r="K497">
        <v>255</v>
      </c>
      <c r="L497" t="str">
        <v/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76</v>
      </c>
      <c r="X497">
        <v>96</v>
      </c>
    </row>
    <row r="498" spans="2:24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tr">
        <v/>
      </c>
      <c r="K498">
        <v>255</v>
      </c>
      <c r="L498" t="str">
        <v/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76</v>
      </c>
      <c r="X498">
        <v>96</v>
      </c>
    </row>
    <row r="499" spans="2:24" x14ac:dyDescent="0.4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tr">
        <v/>
      </c>
      <c r="K499">
        <v>255</v>
      </c>
      <c r="L499" t="str">
        <v/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76</v>
      </c>
      <c r="X499">
        <v>96</v>
      </c>
    </row>
    <row r="500" spans="2:24" x14ac:dyDescent="0.4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 t="str">
        <v/>
      </c>
      <c r="K500">
        <v>255</v>
      </c>
      <c r="L500" t="str">
        <v/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76</v>
      </c>
      <c r="X500">
        <v>96</v>
      </c>
    </row>
    <row r="501" spans="2:24" x14ac:dyDescent="0.4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t="str">
        <v/>
      </c>
      <c r="K501">
        <v>255</v>
      </c>
      <c r="L501" t="str">
        <v/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76</v>
      </c>
      <c r="X501">
        <v>96</v>
      </c>
    </row>
    <row r="502" spans="2:24" x14ac:dyDescent="0.4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t="str">
        <v/>
      </c>
      <c r="K502">
        <v>255</v>
      </c>
      <c r="L502" t="str">
        <v/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76</v>
      </c>
      <c r="X502">
        <v>96</v>
      </c>
    </row>
    <row r="503" spans="2:24" x14ac:dyDescent="0.4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t="str">
        <v/>
      </c>
      <c r="K503">
        <v>255</v>
      </c>
      <c r="L503" t="str">
        <v/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76</v>
      </c>
      <c r="X503">
        <v>96</v>
      </c>
    </row>
    <row r="504" spans="2:24" x14ac:dyDescent="0.45"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t="str">
        <v/>
      </c>
      <c r="K504">
        <v>255</v>
      </c>
      <c r="L504" t="str">
        <v/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76</v>
      </c>
      <c r="X504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1D3BF-4BBA-4CD7-9A07-8CC3508206FD}">
  <sheetPr codeName="Sheet2"/>
  <dimension ref="B2:X648"/>
  <sheetViews>
    <sheetView topLeftCell="I1" zoomScale="84" workbookViewId="0">
      <selection activeCell="W20" sqref="W20"/>
    </sheetView>
  </sheetViews>
  <sheetFormatPr defaultRowHeight="14.25" x14ac:dyDescent="0.45"/>
  <cols>
    <col min="1" max="1" width="9.06640625" style="1"/>
    <col min="2" max="2" width="4.53125" style="1" customWidth="1"/>
    <col min="3" max="3" width="12.19921875" style="1" bestFit="1" customWidth="1"/>
    <col min="4" max="5" width="9.06640625" style="1"/>
    <col min="6" max="6" width="35.3984375" style="1" customWidth="1"/>
    <col min="7" max="7" width="10.9296875" style="1" bestFit="1" customWidth="1"/>
    <col min="8" max="8" width="9.73046875" style="1" bestFit="1" customWidth="1"/>
    <col min="9" max="10" width="3.265625" style="1" customWidth="1"/>
    <col min="11" max="11" width="5.1328125" style="1" customWidth="1"/>
    <col min="12" max="12" width="12.3984375" style="1" customWidth="1"/>
    <col min="13" max="13" width="8.59765625" style="1" customWidth="1"/>
    <col min="14" max="14" width="8.265625" style="1" customWidth="1"/>
    <col min="15" max="15" width="32.1328125" style="1" customWidth="1"/>
    <col min="16" max="16" width="10.9296875" style="1" bestFit="1" customWidth="1"/>
    <col min="17" max="17" width="9.73046875" style="1" bestFit="1" customWidth="1"/>
    <col min="18" max="18" width="11" style="1" bestFit="1" customWidth="1"/>
    <col min="19" max="22" width="9.06640625" style="1"/>
    <col min="23" max="23" width="12.59765625" style="1" bestFit="1" customWidth="1"/>
    <col min="24" max="16384" width="9.06640625" style="1"/>
  </cols>
  <sheetData>
    <row r="2" spans="2:24" x14ac:dyDescent="0.45">
      <c r="B2" s="57" t="s">
        <v>52</v>
      </c>
      <c r="C2" s="57"/>
      <c r="D2" s="57"/>
      <c r="E2" s="57"/>
      <c r="F2" s="57"/>
      <c r="G2" s="57"/>
      <c r="H2" s="57"/>
      <c r="K2" s="57" t="s">
        <v>46</v>
      </c>
      <c r="L2" s="57"/>
      <c r="M2" s="57"/>
      <c r="N2" s="57"/>
      <c r="O2" s="57"/>
      <c r="P2" s="57"/>
      <c r="Q2" s="57"/>
    </row>
    <row r="3" spans="2:24" s="12" customFormat="1" ht="25.5" x14ac:dyDescent="0.75">
      <c r="B3" s="57"/>
      <c r="C3" s="57"/>
      <c r="D3" s="57"/>
      <c r="E3" s="57"/>
      <c r="F3" s="57"/>
      <c r="G3" s="57"/>
      <c r="H3" s="57"/>
      <c r="K3" s="57"/>
      <c r="L3" s="57"/>
      <c r="M3" s="57"/>
      <c r="N3" s="57"/>
      <c r="O3" s="57"/>
      <c r="P3" s="57"/>
      <c r="Q3" s="57"/>
    </row>
    <row r="4" spans="2:24" x14ac:dyDescent="0.45">
      <c r="B4" s="7" t="s">
        <v>45</v>
      </c>
      <c r="C4" s="7" t="s">
        <v>5</v>
      </c>
      <c r="D4" s="7" t="s">
        <v>4</v>
      </c>
      <c r="E4" s="13" t="s">
        <v>47</v>
      </c>
      <c r="F4" s="7" t="s">
        <v>3</v>
      </c>
      <c r="G4" s="4" t="s">
        <v>49</v>
      </c>
      <c r="H4" s="6" t="s">
        <v>48</v>
      </c>
      <c r="K4" s="7" t="s">
        <v>45</v>
      </c>
      <c r="L4" s="7" t="s">
        <v>5</v>
      </c>
      <c r="M4" s="7" t="s">
        <v>4</v>
      </c>
      <c r="N4" s="13" t="s">
        <v>47</v>
      </c>
      <c r="O4" s="7" t="s">
        <v>3</v>
      </c>
      <c r="P4" s="4" t="s">
        <v>49</v>
      </c>
      <c r="Q4" s="6" t="s">
        <v>48</v>
      </c>
      <c r="R4"/>
    </row>
    <row r="5" spans="2:24" s="10" customFormat="1" x14ac:dyDescent="0.45">
      <c r="B5" s="14" cm="1">
        <f t="array" ref="B5:B14">_xlfn.SEQUENCE(COUNTA(G:G)-1)</f>
        <v>1</v>
      </c>
      <c r="C5" s="9" t="str">
        <f t="shared" ref="C5:C34" si="0">_xlfn.IFNA(VLOOKUP(G5,f_details_of_candidates,4,FALSE),"")</f>
        <v>SUB JUNIOR</v>
      </c>
      <c r="D5" s="9" t="str">
        <f t="shared" ref="D5:D34" si="1">_xlfn.IFNA(VLOOKUP(G5,f_details_of_candidates,3,FALSE),"")</f>
        <v>FANT</v>
      </c>
      <c r="E5" s="9">
        <f>IF(G5&lt;&gt;0,RANK(H5,H$5:H$34,0),"")</f>
        <v>5</v>
      </c>
      <c r="F5" s="9" t="str">
        <f t="shared" ref="F5:F34" si="2">_xlfn.IFNA(VLOOKUP(G5,f_details_of_candidates,2,FALSE),"")</f>
        <v>MOHAMED JAWHAR J A</v>
      </c>
      <c r="G5" s="8" t="s">
        <v>17</v>
      </c>
      <c r="H5" s="8">
        <v>61</v>
      </c>
      <c r="K5" s="14" cm="1">
        <f t="array" ref="K5:K326">_xlfn.SEQUENCE(COUNTA(P:P)-1)</f>
        <v>1</v>
      </c>
      <c r="L5" s="9" t="str">
        <f t="shared" ref="L5:L68" si="3">_xlfn.IFNA(VLOOKUP(P5,f_details_of_candidates,4,FALSE),"")</f>
        <v>SUPER SENIOR</v>
      </c>
      <c r="M5" s="9" t="str">
        <f t="shared" ref="M5:M68" si="4">_xlfn.IFNA(VLOOKUP(P5,f_details_of_candidates,3,FALSE),"")</f>
        <v>DAHF</v>
      </c>
      <c r="N5" s="9">
        <f>IF(P5&lt;&gt;0,RANK(Q5,Q$5:Q$326,0),"")</f>
        <v>1</v>
      </c>
      <c r="O5" s="9" t="str">
        <f t="shared" ref="O5:O68" si="5">_xlfn.IFNA(VLOOKUP(P5,f_details_of_candidates,2,FALSE),"")</f>
        <v>MUHAMMED FAISAL A K</v>
      </c>
      <c r="P5" s="5" t="s">
        <v>53</v>
      </c>
      <c r="Q5" s="8">
        <v>75</v>
      </c>
      <c r="R5"/>
      <c r="S5" s="10" t="e">
        <f>RANK(R5,R$5:R$264,0)</f>
        <v>#N/A</v>
      </c>
    </row>
    <row r="6" spans="2:24" s="10" customFormat="1" x14ac:dyDescent="0.45">
      <c r="B6" s="14">
        <v>2</v>
      </c>
      <c r="C6" s="9" t="str">
        <f t="shared" si="0"/>
        <v>SUB JUNIOR</v>
      </c>
      <c r="D6" s="9" t="str">
        <f t="shared" si="1"/>
        <v>DAHF</v>
      </c>
      <c r="E6" s="9">
        <f t="shared" ref="E6:E34" si="6">IF(G6&lt;&gt;0,RANK(H6,H$5:H$34,0),"")</f>
        <v>10</v>
      </c>
      <c r="F6" s="9" t="str">
        <f t="shared" si="2"/>
        <v>Muhammed Anas</v>
      </c>
      <c r="G6" s="8" t="s">
        <v>18</v>
      </c>
      <c r="H6" s="8">
        <v>53.5</v>
      </c>
      <c r="K6" s="14">
        <v>2</v>
      </c>
      <c r="L6" s="9" t="str">
        <f t="shared" si="3"/>
        <v>SENIOR</v>
      </c>
      <c r="M6" s="9" t="str">
        <f t="shared" si="4"/>
        <v>JARF</v>
      </c>
      <c r="N6" s="9">
        <f t="shared" ref="N6:N69" si="7">IF(P6&lt;&gt;0,RANK(Q6,Q$5:Q$326,0),"")</f>
        <v>2</v>
      </c>
      <c r="O6" s="9" t="str">
        <f t="shared" si="5"/>
        <v>AHAMAD SHABAB P A</v>
      </c>
      <c r="P6" s="8" t="s">
        <v>28</v>
      </c>
      <c r="Q6" s="8">
        <v>73</v>
      </c>
      <c r="R6"/>
      <c r="S6" s="10" t="e">
        <f t="shared" ref="S6:S69" si="8">RANK(R6,R$5:R$264,0)</f>
        <v>#N/A</v>
      </c>
    </row>
    <row r="7" spans="2:24" s="10" customFormat="1" x14ac:dyDescent="0.45">
      <c r="B7" s="14">
        <v>3</v>
      </c>
      <c r="C7" s="9" t="str">
        <f t="shared" si="0"/>
        <v>SUB JUNIOR</v>
      </c>
      <c r="D7" s="9" t="str">
        <f t="shared" si="1"/>
        <v>FANT</v>
      </c>
      <c r="E7" s="9">
        <f t="shared" si="6"/>
        <v>7</v>
      </c>
      <c r="F7" s="9" t="str">
        <f t="shared" si="2"/>
        <v>MUHAMMED FAHAD</v>
      </c>
      <c r="G7" s="5" t="s">
        <v>111</v>
      </c>
      <c r="H7" s="8">
        <v>55.5</v>
      </c>
      <c r="K7" s="14">
        <v>3</v>
      </c>
      <c r="L7" s="9" t="str">
        <f t="shared" si="3"/>
        <v>SENIOR</v>
      </c>
      <c r="M7" s="9" t="str">
        <f t="shared" si="4"/>
        <v>DAHF</v>
      </c>
      <c r="N7" s="9">
        <f t="shared" si="7"/>
        <v>3</v>
      </c>
      <c r="O7" s="9" t="str">
        <f t="shared" si="5"/>
        <v>MOHAMMED SHAKIR HUSSAIN K.Y</v>
      </c>
      <c r="P7" s="5" t="s">
        <v>29</v>
      </c>
      <c r="Q7" s="8">
        <v>72</v>
      </c>
      <c r="R7"/>
      <c r="S7" s="10" t="e">
        <f t="shared" si="8"/>
        <v>#N/A</v>
      </c>
      <c r="W7" s="10" t="s">
        <v>351</v>
      </c>
      <c r="X7" s="10">
        <v>10</v>
      </c>
    </row>
    <row r="8" spans="2:24" s="10" customFormat="1" x14ac:dyDescent="0.45">
      <c r="B8" s="14">
        <v>4</v>
      </c>
      <c r="C8" s="9" t="str">
        <f t="shared" si="0"/>
        <v>SUB JUNIOR</v>
      </c>
      <c r="D8" s="9" t="str">
        <f t="shared" si="1"/>
        <v>DAHF</v>
      </c>
      <c r="E8" s="9">
        <f t="shared" si="6"/>
        <v>7</v>
      </c>
      <c r="F8" s="9" t="str">
        <f t="shared" si="2"/>
        <v>MUHAMMED MICDAD RAMEES A H</v>
      </c>
      <c r="G8" s="8" t="s">
        <v>19</v>
      </c>
      <c r="H8" s="8">
        <v>55.5</v>
      </c>
      <c r="K8" s="14">
        <v>4</v>
      </c>
      <c r="L8" s="9" t="str">
        <f t="shared" si="3"/>
        <v>SUPER SENIOR</v>
      </c>
      <c r="M8" s="9" t="str">
        <f t="shared" si="4"/>
        <v>JARF</v>
      </c>
      <c r="N8" s="9">
        <f t="shared" si="7"/>
        <v>4</v>
      </c>
      <c r="O8" s="9" t="str">
        <f t="shared" si="5"/>
        <v>MAHAMMED SHAMEEL</v>
      </c>
      <c r="P8" s="5" t="s">
        <v>262</v>
      </c>
      <c r="Q8" s="8">
        <v>70.5</v>
      </c>
      <c r="R8"/>
      <c r="S8" s="10" t="e">
        <f t="shared" si="8"/>
        <v>#N/A</v>
      </c>
      <c r="W8" s="10" t="s">
        <v>352</v>
      </c>
      <c r="X8" s="10">
        <v>11</v>
      </c>
    </row>
    <row r="9" spans="2:24" s="10" customFormat="1" x14ac:dyDescent="0.45">
      <c r="B9" s="14">
        <v>5</v>
      </c>
      <c r="C9" s="9" t="str">
        <f t="shared" si="0"/>
        <v>SENIOR</v>
      </c>
      <c r="D9" s="9" t="str">
        <f t="shared" si="1"/>
        <v>JARF</v>
      </c>
      <c r="E9" s="9">
        <f t="shared" si="6"/>
        <v>2</v>
      </c>
      <c r="F9" s="9" t="str">
        <f t="shared" si="2"/>
        <v>AHAMAD SHABAB P A</v>
      </c>
      <c r="G9" s="8" t="s">
        <v>28</v>
      </c>
      <c r="H9" s="8">
        <v>73</v>
      </c>
      <c r="K9" s="14">
        <v>5</v>
      </c>
      <c r="L9" s="9" t="str">
        <f t="shared" si="3"/>
        <v>SUB JUNIOR</v>
      </c>
      <c r="M9" s="9" t="str">
        <f t="shared" si="4"/>
        <v>FANT</v>
      </c>
      <c r="N9" s="9">
        <f t="shared" si="7"/>
        <v>5</v>
      </c>
      <c r="O9" s="9" t="str">
        <f t="shared" si="5"/>
        <v>MOHAMED JAWHAR J A</v>
      </c>
      <c r="P9" s="8" t="s">
        <v>17</v>
      </c>
      <c r="Q9" s="8">
        <v>61</v>
      </c>
      <c r="R9"/>
      <c r="S9" s="10" t="e">
        <f t="shared" si="8"/>
        <v>#N/A</v>
      </c>
      <c r="W9" s="10" t="s">
        <v>350</v>
      </c>
      <c r="X9" s="10">
        <v>11</v>
      </c>
    </row>
    <row r="10" spans="2:24" s="10" customFormat="1" x14ac:dyDescent="0.45">
      <c r="B10" s="14">
        <v>6</v>
      </c>
      <c r="C10" s="9" t="str">
        <f t="shared" si="0"/>
        <v>SENIOR</v>
      </c>
      <c r="D10" s="9" t="str">
        <f t="shared" si="1"/>
        <v>DAHF</v>
      </c>
      <c r="E10" s="9">
        <f t="shared" si="6"/>
        <v>3</v>
      </c>
      <c r="F10" s="9" t="str">
        <f t="shared" si="2"/>
        <v>MOHAMMED SHAKIR HUSSAIN K.Y</v>
      </c>
      <c r="G10" s="5" t="s">
        <v>29</v>
      </c>
      <c r="H10" s="8">
        <v>72</v>
      </c>
      <c r="K10" s="14">
        <v>6</v>
      </c>
      <c r="L10" s="9" t="str">
        <f t="shared" si="3"/>
        <v>SUPER SENIOR</v>
      </c>
      <c r="M10" s="9" t="str">
        <f t="shared" si="4"/>
        <v>JARF</v>
      </c>
      <c r="N10" s="9">
        <f t="shared" si="7"/>
        <v>6</v>
      </c>
      <c r="O10" s="9" t="str">
        <f t="shared" si="5"/>
        <v>AYAZ RAHMAN T</v>
      </c>
      <c r="P10" s="5" t="s">
        <v>336</v>
      </c>
      <c r="Q10" s="8">
        <v>58</v>
      </c>
      <c r="R10"/>
      <c r="S10" s="10" t="e">
        <f t="shared" si="8"/>
        <v>#N/A</v>
      </c>
      <c r="W10" s="10" t="s">
        <v>349</v>
      </c>
      <c r="X10" s="10">
        <v>11</v>
      </c>
    </row>
    <row r="11" spans="2:24" s="10" customFormat="1" x14ac:dyDescent="0.45">
      <c r="B11" s="14">
        <v>7</v>
      </c>
      <c r="C11" s="9" t="str">
        <f t="shared" si="0"/>
        <v>SUPER SENIOR</v>
      </c>
      <c r="D11" s="9" t="str">
        <f t="shared" si="1"/>
        <v>JARF</v>
      </c>
      <c r="E11" s="9">
        <f t="shared" si="6"/>
        <v>4</v>
      </c>
      <c r="F11" s="9" t="str">
        <f t="shared" si="2"/>
        <v>MAHAMMED SHAMEEL</v>
      </c>
      <c r="G11" s="5" t="s">
        <v>262</v>
      </c>
      <c r="H11" s="8">
        <v>70.5</v>
      </c>
      <c r="K11" s="14">
        <v>7</v>
      </c>
      <c r="L11" s="9" t="str">
        <f t="shared" si="3"/>
        <v>SUB JUNIOR</v>
      </c>
      <c r="M11" s="9" t="str">
        <f t="shared" si="4"/>
        <v>DAHF</v>
      </c>
      <c r="N11" s="9">
        <f t="shared" si="7"/>
        <v>7</v>
      </c>
      <c r="O11" s="9" t="str">
        <f t="shared" si="5"/>
        <v>MUHAMMED MICDAD RAMEES A H</v>
      </c>
      <c r="P11" s="8" t="s">
        <v>19</v>
      </c>
      <c r="Q11" s="8">
        <v>55.5</v>
      </c>
      <c r="R11"/>
      <c r="S11" s="10" t="e">
        <f t="shared" si="8"/>
        <v>#N/A</v>
      </c>
    </row>
    <row r="12" spans="2:24" s="10" customFormat="1" x14ac:dyDescent="0.45">
      <c r="B12" s="14">
        <v>8</v>
      </c>
      <c r="C12" s="9" t="str">
        <f t="shared" si="0"/>
        <v>SUPER SENIOR</v>
      </c>
      <c r="D12" s="9" t="str">
        <f t="shared" si="1"/>
        <v>DAHF</v>
      </c>
      <c r="E12" s="9">
        <f t="shared" si="6"/>
        <v>1</v>
      </c>
      <c r="F12" s="9" t="str">
        <f t="shared" si="2"/>
        <v>MUHAMMED FAISAL A K</v>
      </c>
      <c r="G12" s="5" t="s">
        <v>53</v>
      </c>
      <c r="H12" s="8">
        <v>75</v>
      </c>
      <c r="K12" s="14">
        <v>8</v>
      </c>
      <c r="L12" s="9" t="str">
        <f t="shared" si="3"/>
        <v>SUB JUNIOR</v>
      </c>
      <c r="M12" s="9" t="str">
        <f t="shared" si="4"/>
        <v>FANT</v>
      </c>
      <c r="N12" s="9">
        <f t="shared" si="7"/>
        <v>7</v>
      </c>
      <c r="O12" s="9" t="str">
        <f t="shared" si="5"/>
        <v>MUHAMMED FAHAD</v>
      </c>
      <c r="P12" s="5" t="s">
        <v>111</v>
      </c>
      <c r="Q12" s="8">
        <v>55.5</v>
      </c>
      <c r="R12"/>
      <c r="S12" s="10" t="e">
        <f t="shared" si="8"/>
        <v>#N/A</v>
      </c>
    </row>
    <row r="13" spans="2:24" s="10" customFormat="1" x14ac:dyDescent="0.45">
      <c r="B13" s="14">
        <v>9</v>
      </c>
      <c r="C13" s="9" t="str">
        <f t="shared" si="0"/>
        <v>SUPER SENIOR</v>
      </c>
      <c r="D13" s="9" t="str">
        <f t="shared" si="1"/>
        <v>FANT</v>
      </c>
      <c r="E13" s="9">
        <f t="shared" si="6"/>
        <v>9</v>
      </c>
      <c r="F13" s="9" t="str">
        <f t="shared" si="2"/>
        <v>MOHAMMED SHAHZAN T.K</v>
      </c>
      <c r="G13" s="5" t="s">
        <v>54</v>
      </c>
      <c r="H13" s="8">
        <v>54</v>
      </c>
      <c r="K13" s="14">
        <v>9</v>
      </c>
      <c r="L13" s="9" t="str">
        <f t="shared" si="3"/>
        <v>SUPER SENIOR</v>
      </c>
      <c r="M13" s="9" t="str">
        <f t="shared" si="4"/>
        <v>FANT</v>
      </c>
      <c r="N13" s="9">
        <f t="shared" si="7"/>
        <v>9</v>
      </c>
      <c r="O13" s="9" t="str">
        <f t="shared" si="5"/>
        <v>MOHAMMED SHAHZAN T.K</v>
      </c>
      <c r="P13" s="5" t="s">
        <v>54</v>
      </c>
      <c r="Q13" s="8">
        <v>54</v>
      </c>
      <c r="R13"/>
      <c r="S13" s="10" t="e">
        <f t="shared" si="8"/>
        <v>#N/A</v>
      </c>
    </row>
    <row r="14" spans="2:24" s="10" customFormat="1" x14ac:dyDescent="0.45">
      <c r="B14" s="14">
        <v>10</v>
      </c>
      <c r="C14" s="9" t="str">
        <f t="shared" si="0"/>
        <v>SUPER SENIOR</v>
      </c>
      <c r="D14" s="9" t="str">
        <f t="shared" si="1"/>
        <v>JARF</v>
      </c>
      <c r="E14" s="9">
        <f t="shared" si="6"/>
        <v>6</v>
      </c>
      <c r="F14" s="9" t="str">
        <f t="shared" si="2"/>
        <v>AYAZ RAHMAN T</v>
      </c>
      <c r="G14" s="5" t="s">
        <v>336</v>
      </c>
      <c r="H14" s="8">
        <v>58</v>
      </c>
      <c r="K14" s="14">
        <v>10</v>
      </c>
      <c r="L14" s="9" t="str">
        <f t="shared" si="3"/>
        <v>SUB JUNIOR</v>
      </c>
      <c r="M14" s="9" t="str">
        <f t="shared" si="4"/>
        <v>DAHF</v>
      </c>
      <c r="N14" s="9">
        <f t="shared" si="7"/>
        <v>10</v>
      </c>
      <c r="O14" s="9" t="str">
        <f t="shared" si="5"/>
        <v>Muhammed Anas</v>
      </c>
      <c r="P14" s="8" t="s">
        <v>18</v>
      </c>
      <c r="Q14" s="8">
        <v>53.5</v>
      </c>
      <c r="R14"/>
      <c r="S14" s="10" t="e">
        <f t="shared" si="8"/>
        <v>#N/A</v>
      </c>
    </row>
    <row r="15" spans="2:24" s="10" customFormat="1" x14ac:dyDescent="0.45">
      <c r="B15" s="14"/>
      <c r="C15" s="9">
        <f t="shared" si="0"/>
        <v>0</v>
      </c>
      <c r="D15" s="9">
        <f t="shared" si="1"/>
        <v>0</v>
      </c>
      <c r="E15" s="9" t="str">
        <f t="shared" si="6"/>
        <v/>
      </c>
      <c r="F15" s="9">
        <f t="shared" si="2"/>
        <v>0</v>
      </c>
      <c r="G15"/>
      <c r="H15"/>
      <c r="K15" s="14">
        <v>11</v>
      </c>
      <c r="L15" s="9" t="str">
        <f t="shared" si="3"/>
        <v>SENIOR</v>
      </c>
      <c r="M15" s="9" t="str">
        <f t="shared" si="4"/>
        <v>BADF</v>
      </c>
      <c r="N15" s="9">
        <f t="shared" si="7"/>
        <v>11</v>
      </c>
      <c r="O15" s="9" t="str">
        <f t="shared" si="5"/>
        <v>RUMAIZALI R IBRAHIM</v>
      </c>
      <c r="P15" s="5" t="s">
        <v>245</v>
      </c>
      <c r="Q15" s="8">
        <v>52</v>
      </c>
      <c r="R15"/>
      <c r="S15" s="10" t="e">
        <f t="shared" si="8"/>
        <v>#N/A</v>
      </c>
    </row>
    <row r="16" spans="2:24" s="10" customFormat="1" x14ac:dyDescent="0.45">
      <c r="B16" s="14"/>
      <c r="C16" s="9">
        <f t="shared" si="0"/>
        <v>0</v>
      </c>
      <c r="D16" s="9">
        <f t="shared" si="1"/>
        <v>0</v>
      </c>
      <c r="E16" s="9" t="str">
        <f t="shared" si="6"/>
        <v/>
      </c>
      <c r="F16" s="9">
        <f t="shared" si="2"/>
        <v>0</v>
      </c>
      <c r="G16"/>
      <c r="H16"/>
      <c r="K16" s="14">
        <v>12</v>
      </c>
      <c r="L16" s="9" t="str">
        <f t="shared" si="3"/>
        <v>SENIOR</v>
      </c>
      <c r="M16" s="9" t="str">
        <f t="shared" si="4"/>
        <v>JARF</v>
      </c>
      <c r="N16" s="9">
        <f t="shared" si="7"/>
        <v>11</v>
      </c>
      <c r="O16" s="9" t="str">
        <f t="shared" si="5"/>
        <v>MUHAMMAD IBN AHMAD</v>
      </c>
      <c r="P16" s="5" t="s">
        <v>33</v>
      </c>
      <c r="Q16" s="8">
        <v>52</v>
      </c>
      <c r="R16"/>
      <c r="S16" s="10" t="e">
        <f t="shared" si="8"/>
        <v>#N/A</v>
      </c>
    </row>
    <row r="17" spans="2:19" s="10" customFormat="1" x14ac:dyDescent="0.45">
      <c r="B17" s="14"/>
      <c r="C17" s="9">
        <f t="shared" si="0"/>
        <v>0</v>
      </c>
      <c r="D17" s="9">
        <f t="shared" si="1"/>
        <v>0</v>
      </c>
      <c r="E17" s="9" t="str">
        <f t="shared" si="6"/>
        <v/>
      </c>
      <c r="F17" s="9">
        <f t="shared" si="2"/>
        <v>0</v>
      </c>
      <c r="G17"/>
      <c r="H17"/>
      <c r="K17" s="14">
        <v>13</v>
      </c>
      <c r="L17" s="9" t="str">
        <f t="shared" si="3"/>
        <v>SUPER SENIOR</v>
      </c>
      <c r="M17" s="9" t="str">
        <f t="shared" si="4"/>
        <v>FANT</v>
      </c>
      <c r="N17" s="9">
        <f t="shared" si="7"/>
        <v>13</v>
      </c>
      <c r="O17" s="9" t="str">
        <f t="shared" si="5"/>
        <v>SHAMEEM ABDULLA P.S</v>
      </c>
      <c r="P17" s="5" t="s">
        <v>320</v>
      </c>
      <c r="Q17" s="8">
        <v>51</v>
      </c>
      <c r="R17"/>
      <c r="S17" s="10" t="e">
        <f t="shared" si="8"/>
        <v>#N/A</v>
      </c>
    </row>
    <row r="18" spans="2:19" s="10" customFormat="1" x14ac:dyDescent="0.45">
      <c r="B18" s="14"/>
      <c r="C18" s="9">
        <f t="shared" si="0"/>
        <v>0</v>
      </c>
      <c r="D18" s="9">
        <f t="shared" si="1"/>
        <v>0</v>
      </c>
      <c r="E18" s="9" t="str">
        <f t="shared" si="6"/>
        <v/>
      </c>
      <c r="F18" s="9">
        <f t="shared" si="2"/>
        <v>0</v>
      </c>
      <c r="G18"/>
      <c r="H18"/>
      <c r="K18" s="14">
        <v>14</v>
      </c>
      <c r="L18" s="9" t="str">
        <f t="shared" si="3"/>
        <v>SENIOR</v>
      </c>
      <c r="M18" s="9" t="str">
        <f t="shared" si="4"/>
        <v>DAHF</v>
      </c>
      <c r="N18" s="9">
        <f t="shared" si="7"/>
        <v>13</v>
      </c>
      <c r="O18" s="9" t="str">
        <f t="shared" si="5"/>
        <v>SALMANUL FARIS</v>
      </c>
      <c r="P18" s="5" t="s">
        <v>27</v>
      </c>
      <c r="Q18" s="8">
        <v>51</v>
      </c>
      <c r="R18"/>
      <c r="S18" s="10" t="e">
        <f t="shared" si="8"/>
        <v>#N/A</v>
      </c>
    </row>
    <row r="19" spans="2:19" s="10" customFormat="1" x14ac:dyDescent="0.45">
      <c r="B19" s="14"/>
      <c r="C19" s="9">
        <f t="shared" si="0"/>
        <v>0</v>
      </c>
      <c r="D19" s="9">
        <f t="shared" si="1"/>
        <v>0</v>
      </c>
      <c r="E19" s="9" t="str">
        <f t="shared" si="6"/>
        <v/>
      </c>
      <c r="F19" s="9">
        <f t="shared" si="2"/>
        <v>0</v>
      </c>
      <c r="G19" s="11"/>
      <c r="H19" s="11"/>
      <c r="K19" s="14">
        <v>15</v>
      </c>
      <c r="L19" s="9" t="str">
        <f t="shared" si="3"/>
        <v>SUPER SENIOR</v>
      </c>
      <c r="M19" s="9" t="str">
        <f t="shared" si="4"/>
        <v>FANT</v>
      </c>
      <c r="N19" s="9">
        <f t="shared" si="7"/>
        <v>15</v>
      </c>
      <c r="O19" s="9" t="str">
        <f t="shared" si="5"/>
        <v>SHADIN G</v>
      </c>
      <c r="P19" s="5" t="s">
        <v>278</v>
      </c>
      <c r="Q19" s="8">
        <v>50</v>
      </c>
      <c r="R19"/>
      <c r="S19" s="10" t="e">
        <f t="shared" si="8"/>
        <v>#N/A</v>
      </c>
    </row>
    <row r="20" spans="2:19" s="10" customFormat="1" x14ac:dyDescent="0.45">
      <c r="B20" s="14"/>
      <c r="C20" s="9">
        <f t="shared" si="0"/>
        <v>0</v>
      </c>
      <c r="D20" s="9">
        <f t="shared" si="1"/>
        <v>0</v>
      </c>
      <c r="E20" s="9" t="str">
        <f t="shared" si="6"/>
        <v/>
      </c>
      <c r="F20" s="9">
        <f t="shared" si="2"/>
        <v>0</v>
      </c>
      <c r="G20" s="11"/>
      <c r="H20" s="11"/>
      <c r="K20" s="14">
        <v>16</v>
      </c>
      <c r="L20" s="9" t="str">
        <f t="shared" si="3"/>
        <v>JUNIOR</v>
      </c>
      <c r="M20" s="9" t="str">
        <f t="shared" si="4"/>
        <v>FANT</v>
      </c>
      <c r="N20" s="9">
        <f t="shared" si="7"/>
        <v>16</v>
      </c>
      <c r="O20" s="9" t="str">
        <f t="shared" si="5"/>
        <v>MOHAMMED SABITH KU</v>
      </c>
      <c r="P20" s="8" t="s">
        <v>21</v>
      </c>
      <c r="Q20" s="8">
        <v>47</v>
      </c>
      <c r="R20"/>
      <c r="S20" s="10" t="e">
        <f t="shared" si="8"/>
        <v>#N/A</v>
      </c>
    </row>
    <row r="21" spans="2:19" s="10" customFormat="1" x14ac:dyDescent="0.45">
      <c r="B21" s="14"/>
      <c r="C21" s="9">
        <f t="shared" si="0"/>
        <v>0</v>
      </c>
      <c r="D21" s="9">
        <f t="shared" si="1"/>
        <v>0</v>
      </c>
      <c r="E21" s="9" t="str">
        <f t="shared" si="6"/>
        <v/>
      </c>
      <c r="F21" s="9">
        <f t="shared" si="2"/>
        <v>0</v>
      </c>
      <c r="G21" s="11"/>
      <c r="H21" s="11"/>
      <c r="K21" s="14">
        <v>17</v>
      </c>
      <c r="L21" s="9" t="str">
        <f t="shared" si="3"/>
        <v>SUPER SENIOR</v>
      </c>
      <c r="M21" s="9" t="str">
        <f t="shared" si="4"/>
        <v>DAHF</v>
      </c>
      <c r="N21" s="9">
        <f t="shared" si="7"/>
        <v>17</v>
      </c>
      <c r="O21" s="9" t="str">
        <f t="shared" si="5"/>
        <v>MOHAMMED HASHIR</v>
      </c>
      <c r="P21" s="5" t="s">
        <v>259</v>
      </c>
      <c r="Q21" s="8">
        <v>46</v>
      </c>
      <c r="R21"/>
      <c r="S21" s="10" t="e">
        <f t="shared" si="8"/>
        <v>#N/A</v>
      </c>
    </row>
    <row r="22" spans="2:19" s="10" customFormat="1" x14ac:dyDescent="0.45">
      <c r="B22" s="14"/>
      <c r="C22" s="9">
        <f t="shared" si="0"/>
        <v>0</v>
      </c>
      <c r="D22" s="9">
        <f t="shared" si="1"/>
        <v>0</v>
      </c>
      <c r="E22" s="9" t="str">
        <f t="shared" si="6"/>
        <v/>
      </c>
      <c r="F22" s="9">
        <f t="shared" si="2"/>
        <v>0</v>
      </c>
      <c r="G22" s="11"/>
      <c r="H22" s="11"/>
      <c r="K22" s="14">
        <v>18</v>
      </c>
      <c r="L22" s="9" t="str">
        <f t="shared" si="3"/>
        <v>SUB JUNIOR</v>
      </c>
      <c r="M22" s="9" t="str">
        <f t="shared" si="4"/>
        <v>JARF</v>
      </c>
      <c r="N22" s="9">
        <f t="shared" si="7"/>
        <v>18</v>
      </c>
      <c r="O22" s="9" t="str">
        <f t="shared" si="5"/>
        <v>MOHAMMED WASIM SHAHAD SM</v>
      </c>
      <c r="P22" s="5" t="s">
        <v>105</v>
      </c>
      <c r="Q22" s="8">
        <v>45</v>
      </c>
      <c r="R22"/>
      <c r="S22" s="10" t="e">
        <f t="shared" si="8"/>
        <v>#N/A</v>
      </c>
    </row>
    <row r="23" spans="2:19" s="10" customFormat="1" x14ac:dyDescent="0.45">
      <c r="B23" s="14"/>
      <c r="C23" s="9">
        <f t="shared" si="0"/>
        <v>0</v>
      </c>
      <c r="D23" s="9">
        <f t="shared" si="1"/>
        <v>0</v>
      </c>
      <c r="E23" s="9" t="str">
        <f t="shared" si="6"/>
        <v/>
      </c>
      <c r="F23" s="9">
        <f t="shared" si="2"/>
        <v>0</v>
      </c>
      <c r="G23" s="11"/>
      <c r="H23" s="11"/>
      <c r="K23" s="14">
        <v>19</v>
      </c>
      <c r="L23" s="9" t="str">
        <f t="shared" si="3"/>
        <v>SUPER SENIOR</v>
      </c>
      <c r="M23" s="9" t="str">
        <f t="shared" si="4"/>
        <v>DAHF</v>
      </c>
      <c r="N23" s="9">
        <f t="shared" si="7"/>
        <v>19</v>
      </c>
      <c r="O23" s="9" t="str">
        <f t="shared" si="5"/>
        <v>ABDUL KHADER</v>
      </c>
      <c r="P23" s="5" t="s">
        <v>298</v>
      </c>
      <c r="Q23" s="8">
        <v>44</v>
      </c>
      <c r="R23"/>
      <c r="S23" s="10" t="e">
        <f t="shared" si="8"/>
        <v>#N/A</v>
      </c>
    </row>
    <row r="24" spans="2:19" s="10" customFormat="1" x14ac:dyDescent="0.45">
      <c r="B24" s="14"/>
      <c r="C24" s="9">
        <f t="shared" si="0"/>
        <v>0</v>
      </c>
      <c r="D24" s="9">
        <f t="shared" si="1"/>
        <v>0</v>
      </c>
      <c r="E24" s="9" t="str">
        <f t="shared" si="6"/>
        <v/>
      </c>
      <c r="F24" s="9">
        <f t="shared" si="2"/>
        <v>0</v>
      </c>
      <c r="G24" s="11"/>
      <c r="H24" s="11"/>
      <c r="K24" s="14">
        <v>20</v>
      </c>
      <c r="L24" s="9" t="str">
        <f t="shared" si="3"/>
        <v>SUPER SENIOR</v>
      </c>
      <c r="M24" s="9" t="str">
        <f t="shared" si="4"/>
        <v>FANT</v>
      </c>
      <c r="N24" s="9">
        <f t="shared" si="7"/>
        <v>20</v>
      </c>
      <c r="O24" s="9" t="str">
        <f t="shared" si="5"/>
        <v>AJMAL KI</v>
      </c>
      <c r="P24" s="5" t="s">
        <v>311</v>
      </c>
      <c r="Q24" s="8">
        <v>42.5</v>
      </c>
      <c r="R24"/>
      <c r="S24" s="10" t="e">
        <f t="shared" si="8"/>
        <v>#N/A</v>
      </c>
    </row>
    <row r="25" spans="2:19" s="10" customFormat="1" x14ac:dyDescent="0.45">
      <c r="B25" s="14"/>
      <c r="C25" s="9">
        <f t="shared" si="0"/>
        <v>0</v>
      </c>
      <c r="D25" s="9">
        <f t="shared" si="1"/>
        <v>0</v>
      </c>
      <c r="E25" s="9" t="str">
        <f t="shared" si="6"/>
        <v/>
      </c>
      <c r="F25" s="9">
        <f t="shared" si="2"/>
        <v>0</v>
      </c>
      <c r="G25" s="11"/>
      <c r="H25" s="11"/>
      <c r="K25" s="14">
        <v>21</v>
      </c>
      <c r="L25" s="9" t="str">
        <f t="shared" si="3"/>
        <v>JUNIOR</v>
      </c>
      <c r="M25" s="9" t="str">
        <f t="shared" si="4"/>
        <v>DAHF</v>
      </c>
      <c r="N25" s="9">
        <f t="shared" si="7"/>
        <v>21</v>
      </c>
      <c r="O25" s="9" t="str">
        <f t="shared" si="5"/>
        <v>AHAMMED SAFAR ZAKARIYA</v>
      </c>
      <c r="P25" s="5" t="s">
        <v>133</v>
      </c>
      <c r="Q25" s="8">
        <v>41</v>
      </c>
      <c r="R25"/>
      <c r="S25" s="10" t="e">
        <f t="shared" si="8"/>
        <v>#N/A</v>
      </c>
    </row>
    <row r="26" spans="2:19" s="10" customFormat="1" x14ac:dyDescent="0.45">
      <c r="B26" s="14"/>
      <c r="C26" s="9">
        <f t="shared" si="0"/>
        <v>0</v>
      </c>
      <c r="D26" s="9">
        <f t="shared" si="1"/>
        <v>0</v>
      </c>
      <c r="E26" s="9" t="str">
        <f t="shared" si="6"/>
        <v/>
      </c>
      <c r="F26" s="9">
        <f t="shared" si="2"/>
        <v>0</v>
      </c>
      <c r="G26" s="11"/>
      <c r="H26" s="11"/>
      <c r="K26" s="14">
        <v>22</v>
      </c>
      <c r="L26" s="9" t="str">
        <f t="shared" si="3"/>
        <v>SENIOR</v>
      </c>
      <c r="M26" s="9" t="str">
        <f t="shared" si="4"/>
        <v>FANT</v>
      </c>
      <c r="N26" s="9">
        <f t="shared" si="7"/>
        <v>21</v>
      </c>
      <c r="O26" s="9" t="str">
        <f t="shared" si="5"/>
        <v>MUHAMMED SHAHAN P.S</v>
      </c>
      <c r="P26" s="8" t="s">
        <v>34</v>
      </c>
      <c r="Q26" s="8">
        <v>41</v>
      </c>
      <c r="R26"/>
      <c r="S26" s="10" t="e">
        <f t="shared" si="8"/>
        <v>#N/A</v>
      </c>
    </row>
    <row r="27" spans="2:19" s="10" customFormat="1" x14ac:dyDescent="0.45">
      <c r="B27" s="14"/>
      <c r="C27" s="9">
        <f t="shared" si="0"/>
        <v>0</v>
      </c>
      <c r="D27" s="9">
        <f t="shared" si="1"/>
        <v>0</v>
      </c>
      <c r="E27" s="9" t="str">
        <f t="shared" si="6"/>
        <v/>
      </c>
      <c r="F27" s="9">
        <f t="shared" si="2"/>
        <v>0</v>
      </c>
      <c r="G27" s="11"/>
      <c r="H27" s="11"/>
      <c r="K27" s="14">
        <v>23</v>
      </c>
      <c r="L27" s="9" t="str">
        <f t="shared" si="3"/>
        <v>JUNIOR</v>
      </c>
      <c r="M27" s="9" t="str">
        <f t="shared" si="4"/>
        <v>JARF</v>
      </c>
      <c r="N27" s="9">
        <f t="shared" si="7"/>
        <v>23</v>
      </c>
      <c r="O27" s="9" t="str">
        <f t="shared" si="5"/>
        <v>Muhammad Muaaz</v>
      </c>
      <c r="P27" s="5" t="s">
        <v>142</v>
      </c>
      <c r="Q27" s="8">
        <v>40</v>
      </c>
      <c r="R27"/>
      <c r="S27" s="10" t="e">
        <f t="shared" si="8"/>
        <v>#N/A</v>
      </c>
    </row>
    <row r="28" spans="2:19" s="10" customFormat="1" x14ac:dyDescent="0.45">
      <c r="B28" s="14"/>
      <c r="C28" s="9">
        <f t="shared" si="0"/>
        <v>0</v>
      </c>
      <c r="D28" s="9">
        <f t="shared" si="1"/>
        <v>0</v>
      </c>
      <c r="E28" s="9" t="str">
        <f t="shared" si="6"/>
        <v/>
      </c>
      <c r="F28" s="9">
        <f t="shared" si="2"/>
        <v>0</v>
      </c>
      <c r="G28" s="11"/>
      <c r="H28" s="11"/>
      <c r="K28" s="14">
        <v>24</v>
      </c>
      <c r="L28" s="9" t="str">
        <f t="shared" si="3"/>
        <v>SUB JUNIOR</v>
      </c>
      <c r="M28" s="9" t="str">
        <f t="shared" si="4"/>
        <v>JARF</v>
      </c>
      <c r="N28" s="9">
        <f t="shared" si="7"/>
        <v>23</v>
      </c>
      <c r="O28" s="9" t="str">
        <f t="shared" si="5"/>
        <v>ABDULLA</v>
      </c>
      <c r="P28" s="5" t="s">
        <v>96</v>
      </c>
      <c r="Q28" s="8">
        <v>40</v>
      </c>
      <c r="R28"/>
      <c r="S28" s="10" t="e">
        <f t="shared" si="8"/>
        <v>#N/A</v>
      </c>
    </row>
    <row r="29" spans="2:19" s="10" customFormat="1" x14ac:dyDescent="0.45">
      <c r="B29" s="14"/>
      <c r="C29" s="9">
        <f t="shared" si="0"/>
        <v>0</v>
      </c>
      <c r="D29" s="9">
        <f t="shared" si="1"/>
        <v>0</v>
      </c>
      <c r="E29" s="9" t="str">
        <f t="shared" si="6"/>
        <v/>
      </c>
      <c r="F29" s="9">
        <f t="shared" si="2"/>
        <v>0</v>
      </c>
      <c r="G29" s="11"/>
      <c r="H29" s="11"/>
      <c r="K29" s="14">
        <v>25</v>
      </c>
      <c r="L29" s="9" t="str">
        <f t="shared" si="3"/>
        <v>SUB JUNIOR</v>
      </c>
      <c r="M29" s="9" t="str">
        <f t="shared" si="4"/>
        <v>BADF</v>
      </c>
      <c r="N29" s="9">
        <f t="shared" si="7"/>
        <v>23</v>
      </c>
      <c r="O29" s="9" t="str">
        <f t="shared" si="5"/>
        <v>MUHAMMED RAEES C A</v>
      </c>
      <c r="P29" s="5" t="s">
        <v>116</v>
      </c>
      <c r="Q29" s="8">
        <v>40</v>
      </c>
      <c r="R29"/>
      <c r="S29" s="10" t="e">
        <f t="shared" si="8"/>
        <v>#N/A</v>
      </c>
    </row>
    <row r="30" spans="2:19" s="10" customFormat="1" x14ac:dyDescent="0.45">
      <c r="B30" s="14"/>
      <c r="C30" s="9">
        <f t="shared" si="0"/>
        <v>0</v>
      </c>
      <c r="D30" s="9">
        <f t="shared" si="1"/>
        <v>0</v>
      </c>
      <c r="E30" s="9" t="str">
        <f t="shared" si="6"/>
        <v/>
      </c>
      <c r="F30" s="9">
        <f t="shared" si="2"/>
        <v>0</v>
      </c>
      <c r="G30" s="11"/>
      <c r="H30" s="11"/>
      <c r="K30" s="14">
        <v>26</v>
      </c>
      <c r="L30" s="9" t="str">
        <f t="shared" si="3"/>
        <v>SENIOR</v>
      </c>
      <c r="M30" s="9" t="str">
        <f t="shared" si="4"/>
        <v>BADF</v>
      </c>
      <c r="N30" s="9">
        <f t="shared" si="7"/>
        <v>26</v>
      </c>
      <c r="O30" s="9" t="str">
        <f t="shared" si="5"/>
        <v>SHAMEEL AHAMMED P</v>
      </c>
      <c r="P30" s="5" t="s">
        <v>224</v>
      </c>
      <c r="Q30" s="8">
        <v>38</v>
      </c>
      <c r="R30"/>
      <c r="S30" s="10" t="e">
        <f t="shared" si="8"/>
        <v>#N/A</v>
      </c>
    </row>
    <row r="31" spans="2:19" s="10" customFormat="1" x14ac:dyDescent="0.45">
      <c r="B31" s="14"/>
      <c r="C31" s="9">
        <f t="shared" si="0"/>
        <v>0</v>
      </c>
      <c r="D31" s="9">
        <f t="shared" si="1"/>
        <v>0</v>
      </c>
      <c r="E31" s="9" t="str">
        <f t="shared" si="6"/>
        <v/>
      </c>
      <c r="F31" s="9">
        <f t="shared" si="2"/>
        <v>0</v>
      </c>
      <c r="G31" s="11"/>
      <c r="H31" s="11"/>
      <c r="K31" s="14">
        <v>27</v>
      </c>
      <c r="L31" s="9" t="str">
        <f t="shared" si="3"/>
        <v>SUPER SENIOR</v>
      </c>
      <c r="M31" s="9" t="str">
        <f t="shared" si="4"/>
        <v>BADF</v>
      </c>
      <c r="N31" s="9">
        <f t="shared" si="7"/>
        <v>26</v>
      </c>
      <c r="O31" s="9" t="str">
        <f t="shared" si="5"/>
        <v>ABDURAHMAN P.H</v>
      </c>
      <c r="P31" s="5" t="s">
        <v>55</v>
      </c>
      <c r="Q31" s="8">
        <v>38</v>
      </c>
      <c r="R31"/>
      <c r="S31" s="10" t="e">
        <f t="shared" si="8"/>
        <v>#N/A</v>
      </c>
    </row>
    <row r="32" spans="2:19" s="10" customFormat="1" x14ac:dyDescent="0.45">
      <c r="B32" s="14"/>
      <c r="C32" s="9">
        <f t="shared" si="0"/>
        <v>0</v>
      </c>
      <c r="D32" s="9">
        <f t="shared" si="1"/>
        <v>0</v>
      </c>
      <c r="E32" s="9" t="str">
        <f t="shared" si="6"/>
        <v/>
      </c>
      <c r="F32" s="9">
        <f t="shared" si="2"/>
        <v>0</v>
      </c>
      <c r="G32" s="11"/>
      <c r="H32" s="11"/>
      <c r="K32" s="14">
        <v>28</v>
      </c>
      <c r="L32" s="9" t="str">
        <f t="shared" si="3"/>
        <v>SUB JUNIOR</v>
      </c>
      <c r="M32" s="9" t="str">
        <f t="shared" si="4"/>
        <v>BADF</v>
      </c>
      <c r="N32" s="9">
        <f t="shared" si="7"/>
        <v>26</v>
      </c>
      <c r="O32" s="9" t="str">
        <f t="shared" si="5"/>
        <v>AHMED RAZI MR</v>
      </c>
      <c r="P32" s="5" t="s">
        <v>64</v>
      </c>
      <c r="Q32" s="8">
        <v>38</v>
      </c>
      <c r="R32"/>
      <c r="S32" s="10" t="e">
        <f t="shared" si="8"/>
        <v>#N/A</v>
      </c>
    </row>
    <row r="33" spans="2:19" s="10" customFormat="1" x14ac:dyDescent="0.45">
      <c r="B33" s="14"/>
      <c r="C33" s="9">
        <f t="shared" si="0"/>
        <v>0</v>
      </c>
      <c r="D33" s="9">
        <f t="shared" si="1"/>
        <v>0</v>
      </c>
      <c r="E33" s="9" t="str">
        <f t="shared" si="6"/>
        <v/>
      </c>
      <c r="F33" s="9">
        <f t="shared" si="2"/>
        <v>0</v>
      </c>
      <c r="G33" s="11"/>
      <c r="H33" s="11"/>
      <c r="K33" s="14">
        <v>29</v>
      </c>
      <c r="L33" s="9" t="str">
        <f t="shared" si="3"/>
        <v>JUNIOR</v>
      </c>
      <c r="M33" s="9" t="str">
        <f t="shared" si="4"/>
        <v>JARF</v>
      </c>
      <c r="N33" s="9">
        <f t="shared" si="7"/>
        <v>26</v>
      </c>
      <c r="O33" s="9" t="str">
        <f t="shared" si="5"/>
        <v>MOHAMMED YOUNUS</v>
      </c>
      <c r="P33" s="8" t="s">
        <v>24</v>
      </c>
      <c r="Q33" s="8">
        <v>38</v>
      </c>
      <c r="R33"/>
      <c r="S33" s="10" t="e">
        <f t="shared" si="8"/>
        <v>#N/A</v>
      </c>
    </row>
    <row r="34" spans="2:19" s="10" customFormat="1" x14ac:dyDescent="0.45">
      <c r="B34" s="14"/>
      <c r="C34" s="9">
        <f t="shared" si="0"/>
        <v>0</v>
      </c>
      <c r="D34" s="9">
        <f t="shared" si="1"/>
        <v>0</v>
      </c>
      <c r="E34" s="9" t="str">
        <f t="shared" si="6"/>
        <v/>
      </c>
      <c r="F34" s="9">
        <f t="shared" si="2"/>
        <v>0</v>
      </c>
      <c r="G34" s="11"/>
      <c r="H34" s="11"/>
      <c r="K34" s="14">
        <v>30</v>
      </c>
      <c r="L34" s="9" t="str">
        <f t="shared" si="3"/>
        <v>SUPER SENIOR</v>
      </c>
      <c r="M34" s="9" t="str">
        <f t="shared" si="4"/>
        <v>JARF</v>
      </c>
      <c r="N34" s="9">
        <f t="shared" si="7"/>
        <v>30</v>
      </c>
      <c r="O34" s="9" t="str">
        <f t="shared" si="5"/>
        <v>AHMED SULTHAN</v>
      </c>
      <c r="P34" s="8" t="s">
        <v>310</v>
      </c>
      <c r="Q34" s="8">
        <v>37</v>
      </c>
      <c r="R34"/>
      <c r="S34" s="10" t="e">
        <f t="shared" si="8"/>
        <v>#N/A</v>
      </c>
    </row>
    <row r="35" spans="2:19" x14ac:dyDescent="0.45">
      <c r="K35" s="14">
        <v>31</v>
      </c>
      <c r="L35" s="9" t="str">
        <f t="shared" si="3"/>
        <v>SUPER SENIOR</v>
      </c>
      <c r="M35" s="9" t="str">
        <f t="shared" si="4"/>
        <v>BADF</v>
      </c>
      <c r="N35" s="9">
        <f t="shared" si="7"/>
        <v>31</v>
      </c>
      <c r="O35" s="9" t="str">
        <f t="shared" si="5"/>
        <v>AHMED SWALAHUDHEEN PI</v>
      </c>
      <c r="P35" s="5" t="s">
        <v>337</v>
      </c>
      <c r="Q35" s="8">
        <v>36</v>
      </c>
      <c r="R35"/>
      <c r="S35" s="10" t="e">
        <f t="shared" si="8"/>
        <v>#N/A</v>
      </c>
    </row>
    <row r="36" spans="2:19" x14ac:dyDescent="0.45">
      <c r="K36" s="14">
        <v>32</v>
      </c>
      <c r="L36" s="9" t="str">
        <f t="shared" si="3"/>
        <v>JUNIOR</v>
      </c>
      <c r="M36" s="9" t="str">
        <f t="shared" si="4"/>
        <v>JARF</v>
      </c>
      <c r="N36" s="9">
        <f t="shared" si="7"/>
        <v>32</v>
      </c>
      <c r="O36" s="9" t="str">
        <f t="shared" si="5"/>
        <v>ABDUL RAHIMAN AZAAN</v>
      </c>
      <c r="P36" s="5" t="s">
        <v>157</v>
      </c>
      <c r="Q36" s="8">
        <v>35</v>
      </c>
      <c r="R36"/>
      <c r="S36" s="10" t="e">
        <f t="shared" si="8"/>
        <v>#N/A</v>
      </c>
    </row>
    <row r="37" spans="2:19" x14ac:dyDescent="0.45">
      <c r="K37" s="14">
        <v>33</v>
      </c>
      <c r="L37" s="9" t="str">
        <f t="shared" si="3"/>
        <v>SUB JUNIOR</v>
      </c>
      <c r="M37" s="9" t="str">
        <f t="shared" si="4"/>
        <v>BADF</v>
      </c>
      <c r="N37" s="9">
        <f t="shared" si="7"/>
        <v>32</v>
      </c>
      <c r="O37" s="9" t="str">
        <f t="shared" si="5"/>
        <v>AHAMED ADIL. A</v>
      </c>
      <c r="P37" s="5" t="s">
        <v>98</v>
      </c>
      <c r="Q37" s="8">
        <v>35</v>
      </c>
      <c r="R37"/>
      <c r="S37" s="10" t="e">
        <f t="shared" si="8"/>
        <v>#N/A</v>
      </c>
    </row>
    <row r="38" spans="2:19" x14ac:dyDescent="0.45">
      <c r="K38" s="14">
        <v>34</v>
      </c>
      <c r="L38" s="9" t="str">
        <f t="shared" si="3"/>
        <v>SENIOR</v>
      </c>
      <c r="M38" s="9" t="str">
        <f t="shared" si="4"/>
        <v>JARF</v>
      </c>
      <c r="N38" s="9">
        <f t="shared" si="7"/>
        <v>34</v>
      </c>
      <c r="O38" s="9" t="str">
        <f t="shared" si="5"/>
        <v>MUHAMMAD ISMAIL HAMDULLA V K</v>
      </c>
      <c r="P38" s="5" t="s">
        <v>194</v>
      </c>
      <c r="Q38" s="8">
        <v>34</v>
      </c>
      <c r="R38"/>
      <c r="S38" s="10" t="e">
        <f t="shared" si="8"/>
        <v>#N/A</v>
      </c>
    </row>
    <row r="39" spans="2:19" x14ac:dyDescent="0.45">
      <c r="K39" s="14">
        <v>35</v>
      </c>
      <c r="L39" s="9" t="str">
        <f t="shared" si="3"/>
        <v>SENIOR</v>
      </c>
      <c r="M39" s="9" t="str">
        <f t="shared" si="4"/>
        <v>BADF</v>
      </c>
      <c r="N39" s="9">
        <f t="shared" si="7"/>
        <v>34</v>
      </c>
      <c r="O39" s="9" t="str">
        <f t="shared" si="5"/>
        <v>MUHAMMAD MUSTHAFA K.M</v>
      </c>
      <c r="P39" s="8" t="s">
        <v>37</v>
      </c>
      <c r="Q39" s="8">
        <v>34</v>
      </c>
      <c r="R39"/>
      <c r="S39" s="10" t="e">
        <f t="shared" si="8"/>
        <v>#N/A</v>
      </c>
    </row>
    <row r="40" spans="2:19" x14ac:dyDescent="0.45">
      <c r="K40" s="14">
        <v>36</v>
      </c>
      <c r="L40" s="9" t="str">
        <f t="shared" si="3"/>
        <v>JUNIOR</v>
      </c>
      <c r="M40" s="9" t="str">
        <f t="shared" si="4"/>
        <v>BADF</v>
      </c>
      <c r="N40" s="9">
        <f t="shared" si="7"/>
        <v>34</v>
      </c>
      <c r="O40" s="9" t="str">
        <f t="shared" si="5"/>
        <v>WASEEM NIHAD A M</v>
      </c>
      <c r="P40" s="5" t="s">
        <v>168</v>
      </c>
      <c r="Q40" s="8">
        <v>34</v>
      </c>
      <c r="R40"/>
      <c r="S40" s="10" t="e">
        <f t="shared" si="8"/>
        <v>#N/A</v>
      </c>
    </row>
    <row r="41" spans="2:19" x14ac:dyDescent="0.45">
      <c r="K41" s="14">
        <v>37</v>
      </c>
      <c r="L41" s="9" t="str">
        <f t="shared" si="3"/>
        <v>JUNIOR</v>
      </c>
      <c r="M41" s="9" t="str">
        <f t="shared" si="4"/>
        <v>BADF</v>
      </c>
      <c r="N41" s="9">
        <f t="shared" si="7"/>
        <v>37</v>
      </c>
      <c r="O41" s="9" t="str">
        <f t="shared" si="5"/>
        <v>MUHAMMED HAMDAN A.P</v>
      </c>
      <c r="P41" s="5" t="s">
        <v>164</v>
      </c>
      <c r="Q41" s="8">
        <v>33</v>
      </c>
      <c r="R41"/>
      <c r="S41" s="10" t="e">
        <f t="shared" si="8"/>
        <v>#N/A</v>
      </c>
    </row>
    <row r="42" spans="2:19" x14ac:dyDescent="0.45">
      <c r="K42" s="14">
        <v>38</v>
      </c>
      <c r="L42" s="9" t="str">
        <f t="shared" si="3"/>
        <v>SENIOR</v>
      </c>
      <c r="M42" s="9" t="str">
        <f t="shared" si="4"/>
        <v>FANT</v>
      </c>
      <c r="N42" s="9">
        <f t="shared" si="7"/>
        <v>37</v>
      </c>
      <c r="O42" s="9" t="str">
        <f t="shared" si="5"/>
        <v>HASSAN ZARKASH</v>
      </c>
      <c r="P42" s="5" t="s">
        <v>232</v>
      </c>
      <c r="Q42" s="8">
        <v>33</v>
      </c>
      <c r="R42"/>
      <c r="S42" s="10" t="e">
        <f t="shared" si="8"/>
        <v>#N/A</v>
      </c>
    </row>
    <row r="43" spans="2:19" x14ac:dyDescent="0.45">
      <c r="K43" s="14">
        <v>39</v>
      </c>
      <c r="L43" s="9" t="str">
        <f t="shared" si="3"/>
        <v>JUNIOR</v>
      </c>
      <c r="M43" s="9" t="str">
        <f t="shared" si="4"/>
        <v>BADF</v>
      </c>
      <c r="N43" s="9">
        <f t="shared" si="7"/>
        <v>37</v>
      </c>
      <c r="O43" s="9" t="str">
        <f t="shared" si="5"/>
        <v>RASALUL AMEEN T</v>
      </c>
      <c r="P43" s="8" t="s">
        <v>25</v>
      </c>
      <c r="Q43" s="8">
        <v>33</v>
      </c>
      <c r="R43"/>
      <c r="S43" s="10" t="e">
        <f t="shared" si="8"/>
        <v>#N/A</v>
      </c>
    </row>
    <row r="44" spans="2:19" x14ac:dyDescent="0.45">
      <c r="K44" s="14">
        <v>40</v>
      </c>
      <c r="L44" s="9" t="str">
        <f t="shared" si="3"/>
        <v>SUPER SENIOR</v>
      </c>
      <c r="M44" s="9" t="str">
        <f t="shared" si="4"/>
        <v>DAHF</v>
      </c>
      <c r="N44" s="9">
        <f t="shared" si="7"/>
        <v>40</v>
      </c>
      <c r="O44" s="9" t="str">
        <f t="shared" si="5"/>
        <v>MOHAMMED IRFAN C</v>
      </c>
      <c r="P44" s="5" t="s">
        <v>312</v>
      </c>
      <c r="Q44" s="8">
        <v>32</v>
      </c>
      <c r="R44"/>
      <c r="S44" s="10" t="e">
        <f t="shared" si="8"/>
        <v>#N/A</v>
      </c>
    </row>
    <row r="45" spans="2:19" x14ac:dyDescent="0.45">
      <c r="K45" s="14">
        <v>41</v>
      </c>
      <c r="L45" s="9" t="str">
        <f t="shared" si="3"/>
        <v>SENIOR</v>
      </c>
      <c r="M45" s="9" t="str">
        <f t="shared" si="4"/>
        <v>FANT</v>
      </c>
      <c r="N45" s="9">
        <f t="shared" si="7"/>
        <v>40</v>
      </c>
      <c r="O45" s="9" t="str">
        <f t="shared" si="5"/>
        <v>ABDUL HADIL P.M</v>
      </c>
      <c r="P45" s="8" t="s">
        <v>36</v>
      </c>
      <c r="Q45" s="8">
        <v>32</v>
      </c>
      <c r="R45"/>
      <c r="S45" s="10" t="e">
        <f t="shared" si="8"/>
        <v>#N/A</v>
      </c>
    </row>
    <row r="46" spans="2:19" x14ac:dyDescent="0.45">
      <c r="K46" s="14">
        <v>42</v>
      </c>
      <c r="L46" s="9" t="str">
        <f t="shared" si="3"/>
        <v>SUB JUNIOR</v>
      </c>
      <c r="M46" s="9" t="str">
        <f t="shared" si="4"/>
        <v>BADF</v>
      </c>
      <c r="N46" s="9">
        <f t="shared" si="7"/>
        <v>42</v>
      </c>
      <c r="O46" s="9" t="str">
        <f t="shared" si="5"/>
        <v>Muhammed Naieem</v>
      </c>
      <c r="P46" s="5" t="s">
        <v>115</v>
      </c>
      <c r="Q46" s="8">
        <v>31</v>
      </c>
      <c r="R46"/>
      <c r="S46" s="10" t="e">
        <f t="shared" si="8"/>
        <v>#N/A</v>
      </c>
    </row>
    <row r="47" spans="2:19" x14ac:dyDescent="0.45">
      <c r="K47" s="14">
        <v>43</v>
      </c>
      <c r="L47" s="9" t="str">
        <f t="shared" si="3"/>
        <v>SENIOR</v>
      </c>
      <c r="M47" s="9" t="str">
        <f t="shared" si="4"/>
        <v>FANT</v>
      </c>
      <c r="N47" s="9">
        <f t="shared" si="7"/>
        <v>42</v>
      </c>
      <c r="O47" s="9" t="str">
        <f t="shared" si="5"/>
        <v>MOHAMMED SA'DUDDEEN K</v>
      </c>
      <c r="P47" s="5" t="s">
        <v>195</v>
      </c>
      <c r="Q47" s="8">
        <v>31</v>
      </c>
      <c r="R47"/>
      <c r="S47" s="10" t="e">
        <f t="shared" si="8"/>
        <v>#N/A</v>
      </c>
    </row>
    <row r="48" spans="2:19" x14ac:dyDescent="0.45">
      <c r="K48" s="14">
        <v>44</v>
      </c>
      <c r="L48" s="9" t="str">
        <f t="shared" si="3"/>
        <v>SUPER SENIOR</v>
      </c>
      <c r="M48" s="9" t="str">
        <f t="shared" si="4"/>
        <v>BADF</v>
      </c>
      <c r="N48" s="9">
        <f t="shared" si="7"/>
        <v>42</v>
      </c>
      <c r="O48" s="9" t="str">
        <f t="shared" si="5"/>
        <v>MOHAMMAD KHALANDAR ZIYAD</v>
      </c>
      <c r="P48" s="5" t="s">
        <v>269</v>
      </c>
      <c r="Q48" s="8">
        <v>31</v>
      </c>
      <c r="R48"/>
      <c r="S48" s="10" t="e">
        <f t="shared" si="8"/>
        <v>#N/A</v>
      </c>
    </row>
    <row r="49" spans="11:19" x14ac:dyDescent="0.45">
      <c r="K49" s="14">
        <v>45</v>
      </c>
      <c r="L49" s="9" t="str">
        <f t="shared" si="3"/>
        <v>SENIOR</v>
      </c>
      <c r="M49" s="9" t="str">
        <f t="shared" si="4"/>
        <v>DAHF</v>
      </c>
      <c r="N49" s="9">
        <f t="shared" si="7"/>
        <v>42</v>
      </c>
      <c r="O49" s="9" t="str">
        <f t="shared" si="5"/>
        <v>ADIL ABDULLA A</v>
      </c>
      <c r="P49" s="5" t="s">
        <v>190</v>
      </c>
      <c r="Q49" s="8">
        <v>31</v>
      </c>
      <c r="R49"/>
      <c r="S49" s="10" t="e">
        <f t="shared" si="8"/>
        <v>#N/A</v>
      </c>
    </row>
    <row r="50" spans="11:19" x14ac:dyDescent="0.45">
      <c r="K50" s="14">
        <v>46</v>
      </c>
      <c r="L50" s="9" t="str">
        <f t="shared" si="3"/>
        <v>JUNIOR</v>
      </c>
      <c r="M50" s="9" t="str">
        <f t="shared" si="4"/>
        <v>DAHF</v>
      </c>
      <c r="N50" s="9">
        <f t="shared" si="7"/>
        <v>42</v>
      </c>
      <c r="O50" s="9" t="str">
        <f t="shared" si="5"/>
        <v>ABDULLA ALBAS</v>
      </c>
      <c r="P50" s="5" t="s">
        <v>175</v>
      </c>
      <c r="Q50" s="8">
        <v>31</v>
      </c>
      <c r="R50"/>
      <c r="S50" s="10" t="e">
        <f t="shared" si="8"/>
        <v>#N/A</v>
      </c>
    </row>
    <row r="51" spans="11:19" x14ac:dyDescent="0.45">
      <c r="K51" s="14">
        <v>47</v>
      </c>
      <c r="L51" s="9" t="str">
        <f t="shared" si="3"/>
        <v>SUPER SENIOR</v>
      </c>
      <c r="M51" s="9" t="str">
        <f t="shared" si="4"/>
        <v>BADF</v>
      </c>
      <c r="N51" s="9">
        <f t="shared" si="7"/>
        <v>42</v>
      </c>
      <c r="O51" s="9" t="str">
        <f t="shared" si="5"/>
        <v>AHMED BK</v>
      </c>
      <c r="P51" s="5" t="s">
        <v>321</v>
      </c>
      <c r="Q51" s="8">
        <v>31</v>
      </c>
      <c r="R51"/>
      <c r="S51" s="10" t="e">
        <f t="shared" si="8"/>
        <v>#N/A</v>
      </c>
    </row>
    <row r="52" spans="11:19" x14ac:dyDescent="0.45">
      <c r="K52" s="14">
        <v>48</v>
      </c>
      <c r="L52" s="9" t="str">
        <f t="shared" si="3"/>
        <v>SUB JUNIOR</v>
      </c>
      <c r="M52" s="9" t="str">
        <f t="shared" si="4"/>
        <v>FANT</v>
      </c>
      <c r="N52" s="9">
        <f t="shared" si="7"/>
        <v>48</v>
      </c>
      <c r="O52" s="9" t="str">
        <f t="shared" si="5"/>
        <v>MOHAMMED SAWA T A</v>
      </c>
      <c r="P52" s="5" t="s">
        <v>104</v>
      </c>
      <c r="Q52" s="8">
        <v>30</v>
      </c>
      <c r="R52"/>
      <c r="S52" s="10" t="e">
        <f t="shared" si="8"/>
        <v>#N/A</v>
      </c>
    </row>
    <row r="53" spans="11:19" x14ac:dyDescent="0.45">
      <c r="K53" s="14">
        <v>49</v>
      </c>
      <c r="L53" s="9" t="str">
        <f t="shared" si="3"/>
        <v>SENIOR</v>
      </c>
      <c r="M53" s="9" t="str">
        <f t="shared" si="4"/>
        <v>BADF</v>
      </c>
      <c r="N53" s="9">
        <f t="shared" si="7"/>
        <v>48</v>
      </c>
      <c r="O53" s="9" t="str">
        <f t="shared" si="5"/>
        <v>MUHAMMED ABDUL KADER</v>
      </c>
      <c r="P53" s="5" t="s">
        <v>186</v>
      </c>
      <c r="Q53" s="8">
        <v>30</v>
      </c>
      <c r="R53"/>
      <c r="S53" s="10" t="e">
        <f t="shared" si="8"/>
        <v>#N/A</v>
      </c>
    </row>
    <row r="54" spans="11:19" x14ac:dyDescent="0.45">
      <c r="K54" s="14">
        <v>50</v>
      </c>
      <c r="L54" s="9" t="str">
        <f t="shared" si="3"/>
        <v>JUNIOR</v>
      </c>
      <c r="M54" s="9" t="str">
        <f t="shared" si="4"/>
        <v>FANT</v>
      </c>
      <c r="N54" s="9">
        <f t="shared" si="7"/>
        <v>50</v>
      </c>
      <c r="O54" s="9" t="str">
        <f t="shared" si="5"/>
        <v>MOHAMMED SHADIL AP</v>
      </c>
      <c r="P54" s="5" t="s">
        <v>165</v>
      </c>
      <c r="Q54" s="8">
        <v>29</v>
      </c>
      <c r="R54"/>
      <c r="S54" s="10" t="e">
        <f t="shared" si="8"/>
        <v>#N/A</v>
      </c>
    </row>
    <row r="55" spans="11:19" x14ac:dyDescent="0.45">
      <c r="K55" s="14">
        <v>51</v>
      </c>
      <c r="L55" s="9" t="str">
        <f t="shared" si="3"/>
        <v>JUNIOR</v>
      </c>
      <c r="M55" s="9" t="str">
        <f t="shared" si="4"/>
        <v>FANT</v>
      </c>
      <c r="N55" s="9">
        <f t="shared" si="7"/>
        <v>51</v>
      </c>
      <c r="O55" s="9" t="str">
        <f t="shared" si="5"/>
        <v>MOHAMMED RAFIH M R</v>
      </c>
      <c r="P55" s="5" t="s">
        <v>158</v>
      </c>
      <c r="Q55" s="8">
        <v>28</v>
      </c>
      <c r="R55"/>
      <c r="S55" s="10" t="e">
        <f t="shared" si="8"/>
        <v>#N/A</v>
      </c>
    </row>
    <row r="56" spans="11:19" x14ac:dyDescent="0.45">
      <c r="K56" s="14">
        <v>52</v>
      </c>
      <c r="L56" s="9" t="str">
        <f t="shared" si="3"/>
        <v>SUPER SENIOR</v>
      </c>
      <c r="M56" s="9" t="str">
        <f t="shared" si="4"/>
        <v>FANT</v>
      </c>
      <c r="N56" s="9">
        <f t="shared" si="7"/>
        <v>51</v>
      </c>
      <c r="O56" s="9" t="str">
        <f t="shared" si="5"/>
        <v>MEHAZIN AMAN T</v>
      </c>
      <c r="P56" s="5" t="s">
        <v>279</v>
      </c>
      <c r="Q56" s="8">
        <v>28</v>
      </c>
      <c r="R56"/>
      <c r="S56" s="10" t="e">
        <f t="shared" si="8"/>
        <v>#N/A</v>
      </c>
    </row>
    <row r="57" spans="11:19" x14ac:dyDescent="0.45">
      <c r="K57" s="14">
        <v>53</v>
      </c>
      <c r="L57" s="9" t="str">
        <f t="shared" si="3"/>
        <v>SUB JUNIOR</v>
      </c>
      <c r="M57" s="9" t="str">
        <f t="shared" si="4"/>
        <v>BADF</v>
      </c>
      <c r="N57" s="9">
        <f t="shared" si="7"/>
        <v>51</v>
      </c>
      <c r="O57" s="9" t="str">
        <f t="shared" si="5"/>
        <v>MUHAMMED LUQMAN TD</v>
      </c>
      <c r="P57" s="5" t="s">
        <v>113</v>
      </c>
      <c r="Q57" s="8">
        <v>28</v>
      </c>
      <c r="R57"/>
      <c r="S57" s="10" t="e">
        <f t="shared" si="8"/>
        <v>#N/A</v>
      </c>
    </row>
    <row r="58" spans="11:19" x14ac:dyDescent="0.45">
      <c r="K58" s="14">
        <v>54</v>
      </c>
      <c r="L58" s="9" t="str">
        <f t="shared" si="3"/>
        <v>JUNIOR</v>
      </c>
      <c r="M58" s="9" t="str">
        <f t="shared" si="4"/>
        <v>FANT</v>
      </c>
      <c r="N58" s="9">
        <f t="shared" si="7"/>
        <v>51</v>
      </c>
      <c r="O58" s="9" t="str">
        <f t="shared" si="5"/>
        <v>MUHAMMED NAFIH CI</v>
      </c>
      <c r="P58" s="8" t="s">
        <v>166</v>
      </c>
      <c r="Q58" s="8">
        <v>28</v>
      </c>
      <c r="R58"/>
      <c r="S58" s="10" t="e">
        <f t="shared" si="8"/>
        <v>#N/A</v>
      </c>
    </row>
    <row r="59" spans="11:19" x14ac:dyDescent="0.45">
      <c r="K59" s="14">
        <v>55</v>
      </c>
      <c r="L59" s="9" t="str">
        <f t="shared" si="3"/>
        <v>JUNIOR</v>
      </c>
      <c r="M59" s="9" t="str">
        <f t="shared" si="4"/>
        <v>BADF</v>
      </c>
      <c r="N59" s="9">
        <f t="shared" si="7"/>
        <v>55</v>
      </c>
      <c r="O59" s="9" t="str">
        <f t="shared" si="5"/>
        <v>MUHAMMED ROUHAN M.K</v>
      </c>
      <c r="P59" s="5" t="s">
        <v>131</v>
      </c>
      <c r="Q59" s="8">
        <v>27</v>
      </c>
      <c r="R59"/>
      <c r="S59" s="10" t="e">
        <f t="shared" si="8"/>
        <v>#N/A</v>
      </c>
    </row>
    <row r="60" spans="11:19" x14ac:dyDescent="0.45">
      <c r="K60" s="14">
        <v>56</v>
      </c>
      <c r="L60" s="9" t="str">
        <f t="shared" si="3"/>
        <v>SUB JUNIOR</v>
      </c>
      <c r="M60" s="9" t="str">
        <f t="shared" si="4"/>
        <v>JARF</v>
      </c>
      <c r="N60" s="9">
        <f t="shared" si="7"/>
        <v>56</v>
      </c>
      <c r="O60" s="9" t="str">
        <f t="shared" si="5"/>
        <v>MUHAMMED RIZIN AMAN</v>
      </c>
      <c r="P60" s="5" t="s">
        <v>59</v>
      </c>
      <c r="Q60" s="8">
        <v>26.5</v>
      </c>
      <c r="R60"/>
      <c r="S60" s="10" t="e">
        <f t="shared" si="8"/>
        <v>#N/A</v>
      </c>
    </row>
    <row r="61" spans="11:19" x14ac:dyDescent="0.45">
      <c r="K61" s="14">
        <v>57</v>
      </c>
      <c r="L61" s="9" t="str">
        <f t="shared" si="3"/>
        <v>SENIOR</v>
      </c>
      <c r="M61" s="9" t="str">
        <f t="shared" si="4"/>
        <v>DAHF</v>
      </c>
      <c r="N61" s="9">
        <f t="shared" si="7"/>
        <v>56</v>
      </c>
      <c r="O61" s="9" t="str">
        <f t="shared" si="5"/>
        <v>MOHAMMED RAZEEN S.P</v>
      </c>
      <c r="P61" s="5" t="s">
        <v>231</v>
      </c>
      <c r="Q61" s="8">
        <v>26.5</v>
      </c>
      <c r="R61"/>
      <c r="S61" s="10" t="e">
        <f t="shared" si="8"/>
        <v>#N/A</v>
      </c>
    </row>
    <row r="62" spans="11:19" x14ac:dyDescent="0.45">
      <c r="K62" s="14">
        <v>58</v>
      </c>
      <c r="L62" s="9" t="str">
        <f t="shared" si="3"/>
        <v>SENIOR</v>
      </c>
      <c r="M62" s="9" t="str">
        <f t="shared" si="4"/>
        <v>DAHF</v>
      </c>
      <c r="N62" s="9">
        <f t="shared" si="7"/>
        <v>58</v>
      </c>
      <c r="O62" s="9" t="str">
        <f t="shared" si="5"/>
        <v>MAJID MUHAMMED M</v>
      </c>
      <c r="P62" s="5" t="s">
        <v>203</v>
      </c>
      <c r="Q62" s="8">
        <v>26</v>
      </c>
      <c r="R62"/>
      <c r="S62" s="10" t="e">
        <f t="shared" si="8"/>
        <v>#N/A</v>
      </c>
    </row>
    <row r="63" spans="11:19" x14ac:dyDescent="0.45">
      <c r="K63" s="14">
        <v>59</v>
      </c>
      <c r="L63" s="9" t="str">
        <f t="shared" si="3"/>
        <v>SUB JUNIOR</v>
      </c>
      <c r="M63" s="9" t="str">
        <f t="shared" si="4"/>
        <v>BADF</v>
      </c>
      <c r="N63" s="9">
        <f t="shared" si="7"/>
        <v>59</v>
      </c>
      <c r="O63" s="9" t="str">
        <f t="shared" si="5"/>
        <v>MUHAMMAD AZEEM</v>
      </c>
      <c r="P63" s="5" t="s">
        <v>60</v>
      </c>
      <c r="Q63" s="8">
        <v>25.5</v>
      </c>
      <c r="R63"/>
      <c r="S63" s="10" t="e">
        <f t="shared" si="8"/>
        <v>#N/A</v>
      </c>
    </row>
    <row r="64" spans="11:19" x14ac:dyDescent="0.45">
      <c r="K64" s="14">
        <v>60</v>
      </c>
      <c r="L64" s="9" t="str">
        <f t="shared" si="3"/>
        <v>SUPER SENIOR</v>
      </c>
      <c r="M64" s="9" t="str">
        <f t="shared" si="4"/>
        <v>FANT</v>
      </c>
      <c r="N64" s="9">
        <f t="shared" si="7"/>
        <v>60</v>
      </c>
      <c r="O64" s="9" t="str">
        <f t="shared" si="5"/>
        <v>MOHAMMED SHAMSHEER</v>
      </c>
      <c r="P64" s="5" t="s">
        <v>284</v>
      </c>
      <c r="Q64" s="8">
        <v>25</v>
      </c>
      <c r="R64"/>
      <c r="S64" s="10" t="e">
        <f t="shared" si="8"/>
        <v>#N/A</v>
      </c>
    </row>
    <row r="65" spans="11:19" x14ac:dyDescent="0.45">
      <c r="K65" s="14">
        <v>61</v>
      </c>
      <c r="L65" s="9" t="str">
        <f t="shared" si="3"/>
        <v>SUPER SENIOR</v>
      </c>
      <c r="M65" s="9" t="str">
        <f t="shared" si="4"/>
        <v>BADF</v>
      </c>
      <c r="N65" s="9">
        <f t="shared" si="7"/>
        <v>60</v>
      </c>
      <c r="O65" s="9" t="str">
        <f t="shared" si="5"/>
        <v>MUHAMMED UNAIS CK</v>
      </c>
      <c r="P65" s="5" t="s">
        <v>280</v>
      </c>
      <c r="Q65" s="8">
        <v>25</v>
      </c>
      <c r="R65"/>
      <c r="S65" s="10" t="e">
        <f t="shared" si="8"/>
        <v>#N/A</v>
      </c>
    </row>
    <row r="66" spans="11:19" x14ac:dyDescent="0.45">
      <c r="K66" s="14">
        <v>62</v>
      </c>
      <c r="L66" s="9" t="str">
        <f t="shared" si="3"/>
        <v>JUNIOR</v>
      </c>
      <c r="M66" s="9" t="str">
        <f t="shared" si="4"/>
        <v>JARF</v>
      </c>
      <c r="N66" s="9">
        <f t="shared" si="7"/>
        <v>60</v>
      </c>
      <c r="O66" s="9" t="str">
        <f t="shared" si="5"/>
        <v>MUHAMMED ZAMIL</v>
      </c>
      <c r="P66" s="8" t="s">
        <v>20</v>
      </c>
      <c r="Q66" s="8">
        <v>25</v>
      </c>
      <c r="R66"/>
      <c r="S66" s="10" t="e">
        <f t="shared" si="8"/>
        <v>#N/A</v>
      </c>
    </row>
    <row r="67" spans="11:19" x14ac:dyDescent="0.45">
      <c r="K67" s="14">
        <v>63</v>
      </c>
      <c r="L67" s="9" t="str">
        <f t="shared" si="3"/>
        <v>SUB JUNIOR</v>
      </c>
      <c r="M67" s="9" t="str">
        <f t="shared" si="4"/>
        <v>DAHF</v>
      </c>
      <c r="N67" s="9">
        <f t="shared" si="7"/>
        <v>60</v>
      </c>
      <c r="O67" s="9" t="str">
        <f t="shared" si="5"/>
        <v>MUHAMMED MIDLAJ</v>
      </c>
      <c r="P67" s="5" t="s">
        <v>114</v>
      </c>
      <c r="Q67" s="8">
        <v>25</v>
      </c>
      <c r="R67"/>
      <c r="S67" s="10" t="e">
        <f t="shared" si="8"/>
        <v>#N/A</v>
      </c>
    </row>
    <row r="68" spans="11:19" x14ac:dyDescent="0.45">
      <c r="K68" s="14">
        <v>64</v>
      </c>
      <c r="L68" s="9" t="str">
        <f t="shared" si="3"/>
        <v>SUB JUNIOR</v>
      </c>
      <c r="M68" s="9" t="str">
        <f t="shared" si="4"/>
        <v>JARF</v>
      </c>
      <c r="N68" s="9">
        <f t="shared" si="7"/>
        <v>64</v>
      </c>
      <c r="O68" s="9" t="str">
        <f t="shared" si="5"/>
        <v>FADIL AMEEN ABDULLA</v>
      </c>
      <c r="P68" s="5" t="s">
        <v>101</v>
      </c>
      <c r="Q68" s="8">
        <v>24</v>
      </c>
      <c r="R68"/>
      <c r="S68" s="10" t="e">
        <f t="shared" si="8"/>
        <v>#N/A</v>
      </c>
    </row>
    <row r="69" spans="11:19" x14ac:dyDescent="0.45">
      <c r="K69" s="14">
        <v>65</v>
      </c>
      <c r="L69" s="9" t="str">
        <f t="shared" ref="L69:L132" si="9">_xlfn.IFNA(VLOOKUP(P69,f_details_of_candidates,4,FALSE),"")</f>
        <v>SUB JUNIOR</v>
      </c>
      <c r="M69" s="9" t="str">
        <f t="shared" ref="M69:M132" si="10">_xlfn.IFNA(VLOOKUP(P69,f_details_of_candidates,3,FALSE),"")</f>
        <v>BADF</v>
      </c>
      <c r="N69" s="9">
        <f t="shared" si="7"/>
        <v>64</v>
      </c>
      <c r="O69" s="9" t="str">
        <f t="shared" ref="O69:O132" si="11">_xlfn.IFNA(VLOOKUP(P69,f_details_of_candidates,2,FALSE),"")</f>
        <v>Muhammed Anshad A</v>
      </c>
      <c r="P69" s="5" t="s">
        <v>94</v>
      </c>
      <c r="Q69" s="8">
        <v>24</v>
      </c>
      <c r="R69"/>
      <c r="S69" s="10" t="e">
        <f t="shared" si="8"/>
        <v>#N/A</v>
      </c>
    </row>
    <row r="70" spans="11:19" x14ac:dyDescent="0.45">
      <c r="K70" s="14">
        <v>66</v>
      </c>
      <c r="L70" s="9" t="str">
        <f t="shared" si="9"/>
        <v>SUPER SENIOR</v>
      </c>
      <c r="M70" s="9" t="str">
        <f t="shared" si="10"/>
        <v>BADF</v>
      </c>
      <c r="N70" s="9">
        <f t="shared" ref="N70:N133" si="12">IF(P70&lt;&gt;0,RANK(Q70,Q$5:Q$326,0),"")</f>
        <v>64</v>
      </c>
      <c r="O70" s="9" t="str">
        <f t="shared" si="11"/>
        <v>MUHAMMED YASIR K</v>
      </c>
      <c r="P70" s="5" t="s">
        <v>303</v>
      </c>
      <c r="Q70" s="8">
        <v>24</v>
      </c>
      <c r="R70"/>
      <c r="S70" s="10" t="e">
        <f t="shared" ref="S70:S133" si="13">RANK(R70,R$5:R$264,0)</f>
        <v>#N/A</v>
      </c>
    </row>
    <row r="71" spans="11:19" x14ac:dyDescent="0.45">
      <c r="K71" s="14">
        <v>67</v>
      </c>
      <c r="L71" s="9" t="str">
        <f t="shared" si="9"/>
        <v>JUNIOR</v>
      </c>
      <c r="M71" s="9" t="str">
        <f t="shared" si="10"/>
        <v>DAHF</v>
      </c>
      <c r="N71" s="9">
        <f t="shared" si="12"/>
        <v>64</v>
      </c>
      <c r="O71" s="9" t="str">
        <f t="shared" si="11"/>
        <v>FADIL MOHAMMED K M</v>
      </c>
      <c r="P71" s="5" t="s">
        <v>179</v>
      </c>
      <c r="Q71" s="8">
        <v>24</v>
      </c>
      <c r="R71"/>
      <c r="S71" s="10" t="e">
        <f t="shared" si="13"/>
        <v>#N/A</v>
      </c>
    </row>
    <row r="72" spans="11:19" x14ac:dyDescent="0.45">
      <c r="K72" s="14">
        <v>68</v>
      </c>
      <c r="L72" s="9" t="str">
        <f t="shared" si="9"/>
        <v>SUB JUNIOR</v>
      </c>
      <c r="M72" s="9" t="str">
        <f t="shared" si="10"/>
        <v>JARF</v>
      </c>
      <c r="N72" s="9">
        <f t="shared" si="12"/>
        <v>68</v>
      </c>
      <c r="O72" s="9" t="str">
        <f t="shared" si="11"/>
        <v>MUHAMMED SHUHAIR</v>
      </c>
      <c r="P72" s="5" t="s">
        <v>93</v>
      </c>
      <c r="Q72" s="8">
        <v>23</v>
      </c>
      <c r="R72"/>
      <c r="S72" s="10" t="e">
        <f t="shared" si="13"/>
        <v>#N/A</v>
      </c>
    </row>
    <row r="73" spans="11:19" x14ac:dyDescent="0.45">
      <c r="K73" s="14">
        <v>69</v>
      </c>
      <c r="L73" s="9" t="str">
        <f t="shared" si="9"/>
        <v>SENIOR</v>
      </c>
      <c r="M73" s="9" t="str">
        <f t="shared" si="10"/>
        <v>BADF</v>
      </c>
      <c r="N73" s="9">
        <f t="shared" si="12"/>
        <v>68</v>
      </c>
      <c r="O73" s="9" t="str">
        <f t="shared" si="11"/>
        <v>MUHAMMED THASLEEM</v>
      </c>
      <c r="P73" s="5" t="s">
        <v>35</v>
      </c>
      <c r="Q73" s="8">
        <v>23</v>
      </c>
      <c r="R73"/>
      <c r="S73" s="10" t="e">
        <f t="shared" si="13"/>
        <v>#N/A</v>
      </c>
    </row>
    <row r="74" spans="11:19" x14ac:dyDescent="0.45">
      <c r="K74" s="14">
        <v>70</v>
      </c>
      <c r="L74" s="9" t="str">
        <f t="shared" si="9"/>
        <v>SENIOR</v>
      </c>
      <c r="M74" s="9" t="str">
        <f t="shared" si="10"/>
        <v>BADF</v>
      </c>
      <c r="N74" s="9">
        <f t="shared" si="12"/>
        <v>68</v>
      </c>
      <c r="O74" s="9" t="str">
        <f t="shared" si="11"/>
        <v>HADIL RIJAS</v>
      </c>
      <c r="P74" s="5" t="s">
        <v>187</v>
      </c>
      <c r="Q74" s="8">
        <v>23</v>
      </c>
      <c r="R74"/>
      <c r="S74" s="10" t="e">
        <f t="shared" si="13"/>
        <v>#N/A</v>
      </c>
    </row>
    <row r="75" spans="11:19" x14ac:dyDescent="0.45">
      <c r="K75" s="14">
        <v>71</v>
      </c>
      <c r="L75" s="9" t="str">
        <f t="shared" si="9"/>
        <v>JUNIOR</v>
      </c>
      <c r="M75" s="9" t="str">
        <f t="shared" si="10"/>
        <v>DAHF</v>
      </c>
      <c r="N75" s="9">
        <f t="shared" si="12"/>
        <v>71</v>
      </c>
      <c r="O75" s="9" t="str">
        <f t="shared" si="11"/>
        <v>MUHAMMED FARHAN PH</v>
      </c>
      <c r="P75" s="5" t="s">
        <v>170</v>
      </c>
      <c r="Q75" s="8">
        <v>22.5</v>
      </c>
      <c r="R75"/>
      <c r="S75" s="10" t="e">
        <f t="shared" si="13"/>
        <v>#N/A</v>
      </c>
    </row>
    <row r="76" spans="11:19" x14ac:dyDescent="0.45">
      <c r="K76" s="14">
        <v>72</v>
      </c>
      <c r="L76" s="9" t="str">
        <f t="shared" si="9"/>
        <v>SUB JUNIOR</v>
      </c>
      <c r="M76" s="9" t="str">
        <f t="shared" si="10"/>
        <v>DAHF</v>
      </c>
      <c r="N76" s="9">
        <f t="shared" si="12"/>
        <v>72</v>
      </c>
      <c r="O76" s="9" t="str">
        <f t="shared" si="11"/>
        <v>AHMED WALEED K A</v>
      </c>
      <c r="P76" s="5" t="s">
        <v>99</v>
      </c>
      <c r="Q76" s="8">
        <v>22</v>
      </c>
      <c r="R76"/>
      <c r="S76" s="10" t="e">
        <f t="shared" si="13"/>
        <v>#N/A</v>
      </c>
    </row>
    <row r="77" spans="11:19" x14ac:dyDescent="0.45">
      <c r="K77" s="14">
        <v>73</v>
      </c>
      <c r="L77" s="9" t="str">
        <f t="shared" si="9"/>
        <v>SUB JUNIOR</v>
      </c>
      <c r="M77" s="9" t="str">
        <f t="shared" si="10"/>
        <v>DAHF</v>
      </c>
      <c r="N77" s="9">
        <f t="shared" si="12"/>
        <v>73</v>
      </c>
      <c r="O77" s="9" t="str">
        <f t="shared" si="11"/>
        <v>THUFAIL</v>
      </c>
      <c r="P77" s="5" t="s">
        <v>123</v>
      </c>
      <c r="Q77" s="8">
        <v>20.5</v>
      </c>
      <c r="R77"/>
      <c r="S77" s="10" t="e">
        <f t="shared" si="13"/>
        <v>#N/A</v>
      </c>
    </row>
    <row r="78" spans="11:19" x14ac:dyDescent="0.45">
      <c r="K78" s="14">
        <v>74</v>
      </c>
      <c r="L78" s="9" t="str">
        <f t="shared" si="9"/>
        <v>JUNIOR</v>
      </c>
      <c r="M78" s="9" t="str">
        <f t="shared" si="10"/>
        <v>FANT</v>
      </c>
      <c r="N78" s="9">
        <f t="shared" si="12"/>
        <v>74</v>
      </c>
      <c r="O78" s="9" t="str">
        <f t="shared" si="11"/>
        <v>HAFIL ADIL AMANULLAH K K</v>
      </c>
      <c r="P78" s="5" t="s">
        <v>153</v>
      </c>
      <c r="Q78" s="8">
        <v>20</v>
      </c>
      <c r="R78"/>
      <c r="S78" s="10" t="e">
        <f t="shared" si="13"/>
        <v>#N/A</v>
      </c>
    </row>
    <row r="79" spans="11:19" x14ac:dyDescent="0.45">
      <c r="K79" s="14">
        <v>75</v>
      </c>
      <c r="L79" s="9" t="str">
        <f t="shared" si="9"/>
        <v>SUB JUNIOR</v>
      </c>
      <c r="M79" s="9" t="str">
        <f t="shared" si="10"/>
        <v>JARF</v>
      </c>
      <c r="N79" s="9">
        <f t="shared" si="12"/>
        <v>74</v>
      </c>
      <c r="O79" s="9" t="str">
        <f t="shared" si="11"/>
        <v>MUHAMMAD SHAHSAD HASAN</v>
      </c>
      <c r="P79" s="5" t="s">
        <v>107</v>
      </c>
      <c r="Q79" s="8">
        <v>20</v>
      </c>
      <c r="R79"/>
      <c r="S79" s="10" t="e">
        <f t="shared" si="13"/>
        <v>#N/A</v>
      </c>
    </row>
    <row r="80" spans="11:19" x14ac:dyDescent="0.45">
      <c r="K80" s="14">
        <v>76</v>
      </c>
      <c r="L80" s="9" t="str">
        <f t="shared" si="9"/>
        <v>SENIOR</v>
      </c>
      <c r="M80" s="9" t="str">
        <f t="shared" si="10"/>
        <v>BADF</v>
      </c>
      <c r="N80" s="9">
        <f t="shared" si="12"/>
        <v>74</v>
      </c>
      <c r="O80" s="9" t="str">
        <f t="shared" si="11"/>
        <v>MUHAMMED SHABEEB</v>
      </c>
      <c r="P80" s="8" t="s">
        <v>226</v>
      </c>
      <c r="Q80" s="8">
        <v>20</v>
      </c>
      <c r="R80"/>
      <c r="S80" s="10" t="e">
        <f t="shared" si="13"/>
        <v>#N/A</v>
      </c>
    </row>
    <row r="81" spans="11:19" x14ac:dyDescent="0.45">
      <c r="K81" s="14">
        <v>77</v>
      </c>
      <c r="L81" s="9" t="str">
        <f t="shared" si="9"/>
        <v>SUB JUNIOR</v>
      </c>
      <c r="M81" s="9" t="str">
        <f t="shared" si="10"/>
        <v>FANT</v>
      </c>
      <c r="N81" s="9">
        <f t="shared" si="12"/>
        <v>74</v>
      </c>
      <c r="O81" s="9" t="str">
        <f t="shared" si="11"/>
        <v>MUHAMMED FAREED A S</v>
      </c>
      <c r="P81" s="5" t="s">
        <v>112</v>
      </c>
      <c r="Q81" s="8">
        <v>20</v>
      </c>
      <c r="R81"/>
      <c r="S81" s="10" t="e">
        <f t="shared" si="13"/>
        <v>#N/A</v>
      </c>
    </row>
    <row r="82" spans="11:19" x14ac:dyDescent="0.45">
      <c r="K82" s="14">
        <v>78</v>
      </c>
      <c r="L82" s="9" t="str">
        <f t="shared" si="9"/>
        <v>SUB JUNIOR</v>
      </c>
      <c r="M82" s="9" t="str">
        <f t="shared" si="10"/>
        <v>DAHF</v>
      </c>
      <c r="N82" s="9">
        <f t="shared" si="12"/>
        <v>74</v>
      </c>
      <c r="O82" s="9" t="str">
        <f t="shared" si="11"/>
        <v>HILAL ABDULLA C H</v>
      </c>
      <c r="P82" s="5" t="s">
        <v>66</v>
      </c>
      <c r="Q82" s="8">
        <v>20</v>
      </c>
      <c r="R82"/>
      <c r="S82" s="10" t="e">
        <f t="shared" si="13"/>
        <v>#N/A</v>
      </c>
    </row>
    <row r="83" spans="11:19" x14ac:dyDescent="0.45">
      <c r="K83" s="14">
        <v>79</v>
      </c>
      <c r="L83" s="9" t="str">
        <f t="shared" si="9"/>
        <v>SUB JUNIOR</v>
      </c>
      <c r="M83" s="9" t="str">
        <f t="shared" si="10"/>
        <v>JARF</v>
      </c>
      <c r="N83" s="9">
        <f t="shared" si="12"/>
        <v>79</v>
      </c>
      <c r="O83" s="9" t="str">
        <f t="shared" si="11"/>
        <v>BEERAN MUEENUDHEEN MH</v>
      </c>
      <c r="P83" s="5" t="s">
        <v>75</v>
      </c>
      <c r="Q83" s="8">
        <v>19</v>
      </c>
      <c r="R83"/>
      <c r="S83" s="10" t="e">
        <f t="shared" si="13"/>
        <v>#N/A</v>
      </c>
    </row>
    <row r="84" spans="11:19" x14ac:dyDescent="0.45">
      <c r="K84" s="14">
        <v>80</v>
      </c>
      <c r="L84" s="9" t="str">
        <f t="shared" si="9"/>
        <v>JUNIOR</v>
      </c>
      <c r="M84" s="9" t="str">
        <f t="shared" si="10"/>
        <v>JARF</v>
      </c>
      <c r="N84" s="9">
        <f t="shared" si="12"/>
        <v>80</v>
      </c>
      <c r="O84" s="9" t="str">
        <f t="shared" si="11"/>
        <v>MUHAMMED MUNAZIR MM</v>
      </c>
      <c r="P84" s="5" t="s">
        <v>173</v>
      </c>
      <c r="Q84" s="8">
        <v>18.5</v>
      </c>
      <c r="R84"/>
      <c r="S84" s="10" t="e">
        <f t="shared" si="13"/>
        <v>#N/A</v>
      </c>
    </row>
    <row r="85" spans="11:19" x14ac:dyDescent="0.45">
      <c r="K85" s="14">
        <v>81</v>
      </c>
      <c r="L85" s="9" t="str">
        <f t="shared" si="9"/>
        <v>SUPER SENIOR</v>
      </c>
      <c r="M85" s="9" t="str">
        <f t="shared" si="10"/>
        <v>DAHF</v>
      </c>
      <c r="N85" s="9">
        <f t="shared" si="12"/>
        <v>81</v>
      </c>
      <c r="O85" s="9" t="str">
        <f t="shared" si="11"/>
        <v>ABDUL VAJID K</v>
      </c>
      <c r="P85" s="5" t="s">
        <v>338</v>
      </c>
      <c r="Q85" s="8">
        <v>18</v>
      </c>
      <c r="R85"/>
      <c r="S85" s="10" t="e">
        <f t="shared" si="13"/>
        <v>#N/A</v>
      </c>
    </row>
    <row r="86" spans="11:19" x14ac:dyDescent="0.45">
      <c r="K86" s="14">
        <v>82</v>
      </c>
      <c r="L86" s="9" t="str">
        <f t="shared" si="9"/>
        <v>SENIOR</v>
      </c>
      <c r="M86" s="9" t="str">
        <f t="shared" si="10"/>
        <v>JARF</v>
      </c>
      <c r="N86" s="9">
        <f t="shared" si="12"/>
        <v>81</v>
      </c>
      <c r="O86" s="9" t="str">
        <f t="shared" si="11"/>
        <v>MUHAMMED MUJTHABA MK</v>
      </c>
      <c r="P86" s="5" t="s">
        <v>243</v>
      </c>
      <c r="Q86" s="8">
        <v>18</v>
      </c>
      <c r="R86"/>
      <c r="S86" s="10" t="e">
        <f t="shared" si="13"/>
        <v>#N/A</v>
      </c>
    </row>
    <row r="87" spans="11:19" x14ac:dyDescent="0.45">
      <c r="K87" s="14">
        <v>83</v>
      </c>
      <c r="L87" s="9" t="str">
        <f t="shared" si="9"/>
        <v>SUPER SENIOR</v>
      </c>
      <c r="M87" s="9" t="str">
        <f t="shared" si="10"/>
        <v>JARF</v>
      </c>
      <c r="N87" s="9">
        <f t="shared" si="12"/>
        <v>81</v>
      </c>
      <c r="O87" s="9" t="str">
        <f t="shared" si="11"/>
        <v>AHMED ADIL B.K</v>
      </c>
      <c r="P87" s="5" t="s">
        <v>316</v>
      </c>
      <c r="Q87" s="8">
        <v>18</v>
      </c>
      <c r="R87"/>
      <c r="S87" s="10" t="e">
        <f t="shared" si="13"/>
        <v>#N/A</v>
      </c>
    </row>
    <row r="88" spans="11:19" x14ac:dyDescent="0.45">
      <c r="K88" s="14">
        <v>84</v>
      </c>
      <c r="L88" s="9" t="str">
        <f t="shared" si="9"/>
        <v>JUNIOR</v>
      </c>
      <c r="M88" s="9" t="str">
        <f t="shared" si="10"/>
        <v>BADF</v>
      </c>
      <c r="N88" s="9">
        <f t="shared" si="12"/>
        <v>81</v>
      </c>
      <c r="O88" s="9" t="str">
        <f t="shared" si="11"/>
        <v>MUHAMMED IHTHISHAM P I</v>
      </c>
      <c r="P88" s="5" t="s">
        <v>137</v>
      </c>
      <c r="Q88" s="8">
        <v>18</v>
      </c>
      <c r="R88"/>
      <c r="S88" s="10" t="e">
        <f t="shared" si="13"/>
        <v>#N/A</v>
      </c>
    </row>
    <row r="89" spans="11:19" x14ac:dyDescent="0.45">
      <c r="K89" s="14">
        <v>85</v>
      </c>
      <c r="L89" s="9" t="str">
        <f t="shared" si="9"/>
        <v>SUPER SENIOR</v>
      </c>
      <c r="M89" s="9" t="str">
        <f t="shared" si="10"/>
        <v>FANT</v>
      </c>
      <c r="N89" s="9">
        <f t="shared" si="12"/>
        <v>81</v>
      </c>
      <c r="O89" s="9" t="str">
        <f t="shared" si="11"/>
        <v>AKBAR P</v>
      </c>
      <c r="P89" s="5" t="s">
        <v>318</v>
      </c>
      <c r="Q89" s="8">
        <v>18</v>
      </c>
      <c r="R89"/>
      <c r="S89" s="10" t="e">
        <f t="shared" si="13"/>
        <v>#N/A</v>
      </c>
    </row>
    <row r="90" spans="11:19" x14ac:dyDescent="0.45">
      <c r="K90" s="14">
        <v>86</v>
      </c>
      <c r="L90" s="9" t="str">
        <f t="shared" si="9"/>
        <v>SUB JUNIOR</v>
      </c>
      <c r="M90" s="9" t="str">
        <f t="shared" si="10"/>
        <v>FANT</v>
      </c>
      <c r="N90" s="9">
        <f t="shared" si="12"/>
        <v>81</v>
      </c>
      <c r="O90" s="9" t="str">
        <f t="shared" si="11"/>
        <v>NAZWAN MOHAMMED</v>
      </c>
      <c r="P90" s="5" t="s">
        <v>118</v>
      </c>
      <c r="Q90" s="8">
        <v>18</v>
      </c>
      <c r="R90"/>
      <c r="S90" s="10" t="e">
        <f t="shared" si="13"/>
        <v>#N/A</v>
      </c>
    </row>
    <row r="91" spans="11:19" x14ac:dyDescent="0.45">
      <c r="K91" s="14">
        <v>87</v>
      </c>
      <c r="L91" s="9" t="str">
        <f t="shared" si="9"/>
        <v>SUB JUNIOR</v>
      </c>
      <c r="M91" s="9" t="str">
        <f t="shared" si="10"/>
        <v>DAHF</v>
      </c>
      <c r="N91" s="9">
        <f t="shared" si="12"/>
        <v>87</v>
      </c>
      <c r="O91" s="9" t="str">
        <f t="shared" si="11"/>
        <v>SAYYED MUHAMMED ABOOBACKER</v>
      </c>
      <c r="P91" s="5" t="s">
        <v>121</v>
      </c>
      <c r="Q91" s="8">
        <v>17</v>
      </c>
      <c r="R91"/>
      <c r="S91" s="10" t="e">
        <f t="shared" si="13"/>
        <v>#N/A</v>
      </c>
    </row>
    <row r="92" spans="11:19" x14ac:dyDescent="0.45">
      <c r="K92" s="14">
        <v>88</v>
      </c>
      <c r="L92" s="9" t="str">
        <f t="shared" si="9"/>
        <v>SUB JUNIOR</v>
      </c>
      <c r="M92" s="9" t="str">
        <f t="shared" si="10"/>
        <v>JARF</v>
      </c>
      <c r="N92" s="9">
        <f t="shared" si="12"/>
        <v>87</v>
      </c>
      <c r="O92" s="9" t="str">
        <f t="shared" si="11"/>
        <v>MUHAMMED ASHIR M</v>
      </c>
      <c r="P92" s="5" t="s">
        <v>109</v>
      </c>
      <c r="Q92" s="8">
        <v>17</v>
      </c>
      <c r="R92"/>
      <c r="S92" s="10" t="e">
        <f t="shared" si="13"/>
        <v>#N/A</v>
      </c>
    </row>
    <row r="93" spans="11:19" x14ac:dyDescent="0.45">
      <c r="K93" s="14">
        <v>89</v>
      </c>
      <c r="L93" s="9" t="str">
        <f t="shared" si="9"/>
        <v>JUNIOR</v>
      </c>
      <c r="M93" s="9" t="str">
        <f t="shared" si="10"/>
        <v>FANT</v>
      </c>
      <c r="N93" s="9">
        <f t="shared" si="12"/>
        <v>87</v>
      </c>
      <c r="O93" s="9" t="str">
        <f t="shared" si="11"/>
        <v>YASEEN NOORULLA PH</v>
      </c>
      <c r="P93" s="5" t="s">
        <v>167</v>
      </c>
      <c r="Q93" s="8">
        <v>17</v>
      </c>
      <c r="R93"/>
      <c r="S93" s="10" t="e">
        <f t="shared" si="13"/>
        <v>#N/A</v>
      </c>
    </row>
    <row r="94" spans="11:19" x14ac:dyDescent="0.45">
      <c r="K94" s="14">
        <v>90</v>
      </c>
      <c r="L94" s="9" t="str">
        <f t="shared" si="9"/>
        <v>SUB JUNIOR</v>
      </c>
      <c r="M94" s="9" t="str">
        <f t="shared" si="10"/>
        <v>DAHF</v>
      </c>
      <c r="N94" s="9">
        <f t="shared" si="12"/>
        <v>87</v>
      </c>
      <c r="O94" s="9" t="str">
        <f t="shared" si="11"/>
        <v>MOIDEEN KAIS</v>
      </c>
      <c r="P94" s="5" t="s">
        <v>67</v>
      </c>
      <c r="Q94" s="8">
        <v>17</v>
      </c>
      <c r="R94"/>
      <c r="S94" s="10" t="e">
        <f t="shared" si="13"/>
        <v>#N/A</v>
      </c>
    </row>
    <row r="95" spans="11:19" x14ac:dyDescent="0.45">
      <c r="K95" s="14">
        <v>91</v>
      </c>
      <c r="L95" s="9" t="str">
        <f t="shared" si="9"/>
        <v>SENIOR</v>
      </c>
      <c r="M95" s="9" t="str">
        <f t="shared" si="10"/>
        <v>FANT</v>
      </c>
      <c r="N95" s="9">
        <f t="shared" si="12"/>
        <v>87</v>
      </c>
      <c r="O95" s="9" t="str">
        <f t="shared" si="11"/>
        <v>MUHAMMED T A</v>
      </c>
      <c r="P95" s="5" t="s">
        <v>248</v>
      </c>
      <c r="Q95" s="8">
        <v>17</v>
      </c>
      <c r="R95"/>
      <c r="S95" s="10" t="e">
        <f t="shared" si="13"/>
        <v>#N/A</v>
      </c>
    </row>
    <row r="96" spans="11:19" x14ac:dyDescent="0.45">
      <c r="K96" s="14">
        <v>92</v>
      </c>
      <c r="L96" s="9" t="str">
        <f t="shared" si="9"/>
        <v>JUNIOR</v>
      </c>
      <c r="M96" s="9" t="str">
        <f t="shared" si="10"/>
        <v>DAHF</v>
      </c>
      <c r="N96" s="9">
        <f t="shared" si="12"/>
        <v>87</v>
      </c>
      <c r="O96" s="9" t="str">
        <f t="shared" si="11"/>
        <v>MUHAMMED MUHAZ P A</v>
      </c>
      <c r="P96" s="5" t="s">
        <v>134</v>
      </c>
      <c r="Q96" s="8">
        <v>17</v>
      </c>
      <c r="R96"/>
      <c r="S96" s="10" t="e">
        <f t="shared" si="13"/>
        <v>#N/A</v>
      </c>
    </row>
    <row r="97" spans="11:19" x14ac:dyDescent="0.45">
      <c r="K97" s="14">
        <v>93</v>
      </c>
      <c r="L97" s="9" t="str">
        <f t="shared" si="9"/>
        <v>JUNIOR</v>
      </c>
      <c r="M97" s="9" t="str">
        <f t="shared" si="10"/>
        <v>JARF</v>
      </c>
      <c r="N97" s="9">
        <f t="shared" si="12"/>
        <v>87</v>
      </c>
      <c r="O97" s="9" t="str">
        <f t="shared" si="11"/>
        <v>RAYHAN PH</v>
      </c>
      <c r="P97" s="5" t="s">
        <v>183</v>
      </c>
      <c r="Q97" s="8">
        <v>17</v>
      </c>
      <c r="R97"/>
      <c r="S97" s="10" t="e">
        <f t="shared" si="13"/>
        <v>#N/A</v>
      </c>
    </row>
    <row r="98" spans="11:19" x14ac:dyDescent="0.45">
      <c r="K98" s="14">
        <v>94</v>
      </c>
      <c r="L98" s="9" t="str">
        <f t="shared" si="9"/>
        <v>SUPER SENIOR</v>
      </c>
      <c r="M98" s="9" t="str">
        <f t="shared" si="10"/>
        <v>FANT</v>
      </c>
      <c r="N98" s="9">
        <f t="shared" si="12"/>
        <v>94</v>
      </c>
      <c r="O98" s="9" t="str">
        <f t="shared" si="11"/>
        <v>AMEEN ABDULLA</v>
      </c>
      <c r="P98" s="5" t="s">
        <v>263</v>
      </c>
      <c r="Q98" s="8">
        <v>16</v>
      </c>
      <c r="R98"/>
      <c r="S98" s="10" t="e">
        <f t="shared" si="13"/>
        <v>#N/A</v>
      </c>
    </row>
    <row r="99" spans="11:19" x14ac:dyDescent="0.45">
      <c r="K99" s="14">
        <v>95</v>
      </c>
      <c r="L99" s="9" t="str">
        <f t="shared" si="9"/>
        <v>JUNIOR</v>
      </c>
      <c r="M99" s="9" t="str">
        <f t="shared" si="10"/>
        <v>FANT</v>
      </c>
      <c r="N99" s="9">
        <f t="shared" si="12"/>
        <v>94</v>
      </c>
      <c r="O99" s="9" t="str">
        <f t="shared" si="11"/>
        <v>MUHAMMED YASEEN</v>
      </c>
      <c r="P99" s="5" t="s">
        <v>147</v>
      </c>
      <c r="Q99" s="8">
        <v>16</v>
      </c>
      <c r="R99"/>
      <c r="S99" s="10" t="e">
        <f t="shared" si="13"/>
        <v>#N/A</v>
      </c>
    </row>
    <row r="100" spans="11:19" x14ac:dyDescent="0.45">
      <c r="K100" s="14">
        <v>96</v>
      </c>
      <c r="L100" s="9" t="str">
        <f t="shared" si="9"/>
        <v>SUB JUNIOR</v>
      </c>
      <c r="M100" s="9" t="str">
        <f t="shared" si="10"/>
        <v>DAHF</v>
      </c>
      <c r="N100" s="9">
        <f t="shared" si="12"/>
        <v>94</v>
      </c>
      <c r="O100" s="9" t="str">
        <f t="shared" si="11"/>
        <v>P.V.AHMAD ANAS</v>
      </c>
      <c r="P100" s="5" t="s">
        <v>119</v>
      </c>
      <c r="Q100" s="8">
        <v>16</v>
      </c>
      <c r="R100"/>
      <c r="S100" s="10" t="e">
        <f t="shared" si="13"/>
        <v>#N/A</v>
      </c>
    </row>
    <row r="101" spans="11:19" x14ac:dyDescent="0.45">
      <c r="K101" s="14">
        <v>97</v>
      </c>
      <c r="L101" s="9" t="str">
        <f t="shared" si="9"/>
        <v>SUPER SENIOR</v>
      </c>
      <c r="M101" s="9" t="str">
        <f t="shared" si="10"/>
        <v>FANT</v>
      </c>
      <c r="N101" s="9">
        <f t="shared" si="12"/>
        <v>94</v>
      </c>
      <c r="O101" s="9" t="str">
        <f t="shared" si="11"/>
        <v>MOHAMMED SAHL CS</v>
      </c>
      <c r="P101" s="5" t="s">
        <v>268</v>
      </c>
      <c r="Q101" s="8">
        <v>16</v>
      </c>
      <c r="R101"/>
      <c r="S101" s="10" t="e">
        <f t="shared" si="13"/>
        <v>#N/A</v>
      </c>
    </row>
    <row r="102" spans="11:19" x14ac:dyDescent="0.45">
      <c r="K102" s="14">
        <v>98</v>
      </c>
      <c r="L102" s="9" t="str">
        <f t="shared" si="9"/>
        <v>SENIOR</v>
      </c>
      <c r="M102" s="9" t="str">
        <f t="shared" si="10"/>
        <v>DAHF</v>
      </c>
      <c r="N102" s="9">
        <f t="shared" si="12"/>
        <v>94</v>
      </c>
      <c r="O102" s="9" t="str">
        <f t="shared" si="11"/>
        <v>MUHAMMED FARHAN</v>
      </c>
      <c r="P102" s="5" t="s">
        <v>38</v>
      </c>
      <c r="Q102" s="8">
        <v>16</v>
      </c>
      <c r="R102"/>
      <c r="S102" s="10" t="e">
        <f t="shared" si="13"/>
        <v>#N/A</v>
      </c>
    </row>
    <row r="103" spans="11:19" x14ac:dyDescent="0.45">
      <c r="K103" s="14">
        <v>99</v>
      </c>
      <c r="L103" s="9" t="str">
        <f t="shared" si="9"/>
        <v>SUPER SENIOR</v>
      </c>
      <c r="M103" s="9" t="str">
        <f t="shared" si="10"/>
        <v>DAHF</v>
      </c>
      <c r="N103" s="9">
        <f t="shared" si="12"/>
        <v>94</v>
      </c>
      <c r="O103" s="9" t="str">
        <f t="shared" si="11"/>
        <v>MOHAMMAD SWALIH K</v>
      </c>
      <c r="P103" s="5" t="s">
        <v>326</v>
      </c>
      <c r="Q103" s="8">
        <v>16</v>
      </c>
      <c r="R103"/>
      <c r="S103" s="10" t="e">
        <f t="shared" si="13"/>
        <v>#N/A</v>
      </c>
    </row>
    <row r="104" spans="11:19" x14ac:dyDescent="0.45">
      <c r="K104" s="14">
        <v>100</v>
      </c>
      <c r="L104" s="9" t="str">
        <f t="shared" si="9"/>
        <v>JUNIOR</v>
      </c>
      <c r="M104" s="9" t="str">
        <f t="shared" si="10"/>
        <v>JARF</v>
      </c>
      <c r="N104" s="9">
        <f t="shared" si="12"/>
        <v>100</v>
      </c>
      <c r="O104" s="9" t="str">
        <f t="shared" si="11"/>
        <v>ABDUL RAHIMAN FAIZ T A</v>
      </c>
      <c r="P104" s="5" t="s">
        <v>132</v>
      </c>
      <c r="Q104" s="8">
        <v>15</v>
      </c>
      <c r="R104"/>
      <c r="S104" s="10" t="e">
        <f t="shared" si="13"/>
        <v>#N/A</v>
      </c>
    </row>
    <row r="105" spans="11:19" x14ac:dyDescent="0.45">
      <c r="K105" s="14">
        <v>101</v>
      </c>
      <c r="L105" s="9" t="str">
        <f t="shared" si="9"/>
        <v>SUB JUNIOR</v>
      </c>
      <c r="M105" s="9" t="str">
        <f t="shared" si="10"/>
        <v>FANT</v>
      </c>
      <c r="N105" s="9">
        <f t="shared" si="12"/>
        <v>100</v>
      </c>
      <c r="O105" s="9" t="str">
        <f t="shared" si="11"/>
        <v>MUHAMMED HAFIZ S T</v>
      </c>
      <c r="P105" s="5" t="s">
        <v>61</v>
      </c>
      <c r="Q105" s="8">
        <v>15</v>
      </c>
      <c r="R105"/>
      <c r="S105" s="10" t="e">
        <f t="shared" si="13"/>
        <v>#N/A</v>
      </c>
    </row>
    <row r="106" spans="11:19" x14ac:dyDescent="0.45">
      <c r="K106" s="14">
        <v>102</v>
      </c>
      <c r="L106" s="9" t="str">
        <f t="shared" si="9"/>
        <v>JUNIOR</v>
      </c>
      <c r="M106" s="9" t="str">
        <f t="shared" si="10"/>
        <v>DAHF</v>
      </c>
      <c r="N106" s="9">
        <f t="shared" si="12"/>
        <v>100</v>
      </c>
      <c r="O106" s="9" t="str">
        <f t="shared" si="11"/>
        <v>MUHAMMAD FAYIZ B</v>
      </c>
      <c r="P106" s="5" t="s">
        <v>146</v>
      </c>
      <c r="Q106" s="8">
        <v>15</v>
      </c>
      <c r="R106"/>
      <c r="S106" s="10" t="e">
        <f t="shared" si="13"/>
        <v>#N/A</v>
      </c>
    </row>
    <row r="107" spans="11:19" x14ac:dyDescent="0.45">
      <c r="K107" s="14">
        <v>103</v>
      </c>
      <c r="L107" s="9" t="str">
        <f t="shared" si="9"/>
        <v>JUNIOR</v>
      </c>
      <c r="M107" s="9" t="str">
        <f t="shared" si="10"/>
        <v>BADF</v>
      </c>
      <c r="N107" s="9">
        <f t="shared" si="12"/>
        <v>100</v>
      </c>
      <c r="O107" s="9" t="str">
        <f t="shared" si="11"/>
        <v>MOHIDDEEN SHAHSHAD</v>
      </c>
      <c r="P107" s="5" t="s">
        <v>145</v>
      </c>
      <c r="Q107" s="8">
        <v>15</v>
      </c>
      <c r="R107"/>
      <c r="S107" s="10" t="e">
        <f t="shared" si="13"/>
        <v>#N/A</v>
      </c>
    </row>
    <row r="108" spans="11:19" x14ac:dyDescent="0.45">
      <c r="K108" s="14">
        <v>104</v>
      </c>
      <c r="L108" s="9" t="str">
        <f t="shared" si="9"/>
        <v>SENIOR</v>
      </c>
      <c r="M108" s="9" t="str">
        <f t="shared" si="10"/>
        <v>FANT</v>
      </c>
      <c r="N108" s="9">
        <f t="shared" si="12"/>
        <v>104</v>
      </c>
      <c r="O108" s="9" t="str">
        <f t="shared" si="11"/>
        <v>AHAMMED MINHAJ E M</v>
      </c>
      <c r="P108" s="5" t="s">
        <v>208</v>
      </c>
      <c r="Q108" s="8">
        <v>14</v>
      </c>
      <c r="R108"/>
      <c r="S108" s="10" t="e">
        <f t="shared" si="13"/>
        <v>#N/A</v>
      </c>
    </row>
    <row r="109" spans="11:19" x14ac:dyDescent="0.45">
      <c r="K109" s="14">
        <v>105</v>
      </c>
      <c r="L109" s="9" t="str">
        <f t="shared" si="9"/>
        <v>JUNIOR</v>
      </c>
      <c r="M109" s="9" t="str">
        <f t="shared" si="10"/>
        <v>DAHF</v>
      </c>
      <c r="N109" s="9">
        <f t="shared" si="12"/>
        <v>104</v>
      </c>
      <c r="O109" s="9" t="str">
        <f t="shared" si="11"/>
        <v>MUHAMMED SAEED THUFAIL</v>
      </c>
      <c r="P109" s="5" t="s">
        <v>155</v>
      </c>
      <c r="Q109" s="8">
        <v>14</v>
      </c>
      <c r="R109"/>
      <c r="S109" s="10" t="e">
        <f t="shared" si="13"/>
        <v>#N/A</v>
      </c>
    </row>
    <row r="110" spans="11:19" x14ac:dyDescent="0.45">
      <c r="K110" s="14">
        <v>106</v>
      </c>
      <c r="L110" s="9" t="str">
        <f t="shared" si="9"/>
        <v>SUB JUNIOR</v>
      </c>
      <c r="M110" s="9" t="str">
        <f t="shared" si="10"/>
        <v>JARF</v>
      </c>
      <c r="N110" s="9">
        <f t="shared" si="12"/>
        <v>104</v>
      </c>
      <c r="O110" s="9" t="str">
        <f t="shared" si="11"/>
        <v>AJZAL ASHRAF OV</v>
      </c>
      <c r="P110" s="5" t="s">
        <v>58</v>
      </c>
      <c r="Q110" s="8">
        <v>14</v>
      </c>
      <c r="R110"/>
      <c r="S110" s="10" t="e">
        <f t="shared" si="13"/>
        <v>#N/A</v>
      </c>
    </row>
    <row r="111" spans="11:19" x14ac:dyDescent="0.45">
      <c r="K111" s="14">
        <v>107</v>
      </c>
      <c r="L111" s="9" t="str">
        <f t="shared" si="9"/>
        <v>SENIOR</v>
      </c>
      <c r="M111" s="9" t="str">
        <f t="shared" si="10"/>
        <v>DAHF</v>
      </c>
      <c r="N111" s="9">
        <f t="shared" si="12"/>
        <v>104</v>
      </c>
      <c r="O111" s="9" t="str">
        <f t="shared" si="11"/>
        <v>MUHAMMED PK</v>
      </c>
      <c r="P111" s="5" t="s">
        <v>228</v>
      </c>
      <c r="Q111" s="8">
        <v>14</v>
      </c>
      <c r="R111"/>
      <c r="S111" s="10" t="e">
        <f t="shared" si="13"/>
        <v>#N/A</v>
      </c>
    </row>
    <row r="112" spans="11:19" x14ac:dyDescent="0.45">
      <c r="K112" s="14">
        <v>108</v>
      </c>
      <c r="L112" s="9" t="str">
        <f t="shared" si="9"/>
        <v>SENIOR</v>
      </c>
      <c r="M112" s="9" t="str">
        <f t="shared" si="10"/>
        <v>FANT</v>
      </c>
      <c r="N112" s="9">
        <f t="shared" si="12"/>
        <v>104</v>
      </c>
      <c r="O112" s="9" t="str">
        <f t="shared" si="11"/>
        <v>ABDULLA RAMSHAD</v>
      </c>
      <c r="P112" s="5" t="s">
        <v>233</v>
      </c>
      <c r="Q112" s="8">
        <v>14</v>
      </c>
      <c r="R112"/>
      <c r="S112" s="10" t="e">
        <f t="shared" si="13"/>
        <v>#N/A</v>
      </c>
    </row>
    <row r="113" spans="11:19" x14ac:dyDescent="0.45">
      <c r="K113" s="14">
        <v>109</v>
      </c>
      <c r="L113" s="9" t="str">
        <f t="shared" si="9"/>
        <v>JUNIOR</v>
      </c>
      <c r="M113" s="9" t="str">
        <f t="shared" si="10"/>
        <v>JARF</v>
      </c>
      <c r="N113" s="9">
        <f t="shared" si="12"/>
        <v>104</v>
      </c>
      <c r="O113" s="9" t="str">
        <f t="shared" si="11"/>
        <v>HASAN THAMMEEM</v>
      </c>
      <c r="P113" s="5" t="s">
        <v>130</v>
      </c>
      <c r="Q113" s="8">
        <v>14</v>
      </c>
      <c r="R113"/>
      <c r="S113" s="10" t="e">
        <f t="shared" si="13"/>
        <v>#N/A</v>
      </c>
    </row>
    <row r="114" spans="11:19" x14ac:dyDescent="0.45">
      <c r="K114" s="14">
        <v>110</v>
      </c>
      <c r="L114" s="9" t="str">
        <f t="shared" si="9"/>
        <v>SUPER SENIOR</v>
      </c>
      <c r="M114" s="9" t="str">
        <f t="shared" si="10"/>
        <v>BADF</v>
      </c>
      <c r="N114" s="9">
        <f t="shared" si="12"/>
        <v>104</v>
      </c>
      <c r="O114" s="9" t="str">
        <f t="shared" si="11"/>
        <v>MUHAMMAD MUSTHAFA P.K</v>
      </c>
      <c r="P114" s="5" t="s">
        <v>290</v>
      </c>
      <c r="Q114" s="8">
        <v>14</v>
      </c>
      <c r="R114"/>
      <c r="S114" s="10" t="e">
        <f t="shared" si="13"/>
        <v>#N/A</v>
      </c>
    </row>
    <row r="115" spans="11:19" x14ac:dyDescent="0.45">
      <c r="K115" s="14">
        <v>111</v>
      </c>
      <c r="L115" s="9" t="str">
        <f t="shared" si="9"/>
        <v>SENIOR</v>
      </c>
      <c r="M115" s="9" t="str">
        <f t="shared" si="10"/>
        <v>DAHF</v>
      </c>
      <c r="N115" s="9">
        <f t="shared" si="12"/>
        <v>104</v>
      </c>
      <c r="O115" s="9" t="str">
        <f t="shared" si="11"/>
        <v>RESWAN</v>
      </c>
      <c r="P115" s="5" t="s">
        <v>242</v>
      </c>
      <c r="Q115" s="8">
        <v>14</v>
      </c>
      <c r="R115"/>
      <c r="S115" s="10" t="e">
        <f t="shared" si="13"/>
        <v>#N/A</v>
      </c>
    </row>
    <row r="116" spans="11:19" x14ac:dyDescent="0.45">
      <c r="K116" s="14">
        <v>112</v>
      </c>
      <c r="L116" s="9" t="str">
        <f t="shared" si="9"/>
        <v>JUNIOR</v>
      </c>
      <c r="M116" s="9" t="str">
        <f t="shared" si="10"/>
        <v>BADF</v>
      </c>
      <c r="N116" s="9">
        <f t="shared" si="12"/>
        <v>104</v>
      </c>
      <c r="O116" s="9" t="str">
        <f t="shared" si="11"/>
        <v>ABDUL KHADER ISHAQUE</v>
      </c>
      <c r="P116" s="5" t="s">
        <v>174</v>
      </c>
      <c r="Q116" s="8">
        <v>14</v>
      </c>
      <c r="R116"/>
      <c r="S116" s="10" t="e">
        <f t="shared" si="13"/>
        <v>#N/A</v>
      </c>
    </row>
    <row r="117" spans="11:19" x14ac:dyDescent="0.45">
      <c r="K117" s="14">
        <v>113</v>
      </c>
      <c r="L117" s="9" t="str">
        <f t="shared" si="9"/>
        <v>JUNIOR</v>
      </c>
      <c r="M117" s="9" t="str">
        <f t="shared" si="10"/>
        <v>FANT</v>
      </c>
      <c r="N117" s="9">
        <f t="shared" si="12"/>
        <v>104</v>
      </c>
      <c r="O117" s="9" t="str">
        <f t="shared" si="11"/>
        <v>MUHAMMED MIHRAZ</v>
      </c>
      <c r="P117" s="5" t="s">
        <v>178</v>
      </c>
      <c r="Q117" s="8">
        <v>14</v>
      </c>
      <c r="R117"/>
      <c r="S117" s="10" t="e">
        <f t="shared" si="13"/>
        <v>#N/A</v>
      </c>
    </row>
    <row r="118" spans="11:19" x14ac:dyDescent="0.45">
      <c r="K118" s="14">
        <v>114</v>
      </c>
      <c r="L118" s="9" t="str">
        <f t="shared" si="9"/>
        <v>JUNIOR</v>
      </c>
      <c r="M118" s="9" t="str">
        <f t="shared" si="10"/>
        <v>BADF</v>
      </c>
      <c r="N118" s="9">
        <f t="shared" si="12"/>
        <v>114</v>
      </c>
      <c r="O118" s="9" t="str">
        <f t="shared" si="11"/>
        <v>MUHAMMAD SABITH V K P</v>
      </c>
      <c r="P118" s="5" t="s">
        <v>141</v>
      </c>
      <c r="Q118" s="8">
        <v>13</v>
      </c>
      <c r="R118"/>
      <c r="S118" s="10" t="e">
        <f t="shared" si="13"/>
        <v>#N/A</v>
      </c>
    </row>
    <row r="119" spans="11:19" x14ac:dyDescent="0.45">
      <c r="K119" s="14">
        <v>115</v>
      </c>
      <c r="L119" s="9" t="str">
        <f t="shared" si="9"/>
        <v>SENIOR</v>
      </c>
      <c r="M119" s="9" t="str">
        <f t="shared" si="10"/>
        <v>FANT</v>
      </c>
      <c r="N119" s="9">
        <f t="shared" si="12"/>
        <v>114</v>
      </c>
      <c r="O119" s="9" t="str">
        <f t="shared" si="11"/>
        <v>SHAMMAZ P A</v>
      </c>
      <c r="P119" s="5" t="s">
        <v>210</v>
      </c>
      <c r="Q119" s="8">
        <v>13</v>
      </c>
      <c r="R119"/>
      <c r="S119" s="10" t="e">
        <f t="shared" si="13"/>
        <v>#N/A</v>
      </c>
    </row>
    <row r="120" spans="11:19" x14ac:dyDescent="0.45">
      <c r="K120" s="14">
        <v>116</v>
      </c>
      <c r="L120" s="9" t="str">
        <f t="shared" si="9"/>
        <v>SUB JUNIOR</v>
      </c>
      <c r="M120" s="9" t="str">
        <f t="shared" si="10"/>
        <v>BADF</v>
      </c>
      <c r="N120" s="9">
        <f t="shared" si="12"/>
        <v>114</v>
      </c>
      <c r="O120" s="9" t="str">
        <f t="shared" si="11"/>
        <v>MOHAMMED QUBAIB A H</v>
      </c>
      <c r="P120" s="5" t="s">
        <v>103</v>
      </c>
      <c r="Q120" s="8">
        <v>13</v>
      </c>
      <c r="R120"/>
      <c r="S120" s="10" t="e">
        <f t="shared" si="13"/>
        <v>#N/A</v>
      </c>
    </row>
    <row r="121" spans="11:19" x14ac:dyDescent="0.45">
      <c r="K121" s="14">
        <v>117</v>
      </c>
      <c r="L121" s="9" t="str">
        <f t="shared" si="9"/>
        <v>SUB JUNIOR</v>
      </c>
      <c r="M121" s="9" t="str">
        <f t="shared" si="10"/>
        <v>FANT</v>
      </c>
      <c r="N121" s="9">
        <f t="shared" si="12"/>
        <v>114</v>
      </c>
      <c r="O121" s="9" t="str">
        <f t="shared" si="11"/>
        <v>ABDUL AFEEZ C.F</v>
      </c>
      <c r="P121" s="5" t="s">
        <v>95</v>
      </c>
      <c r="Q121" s="8">
        <v>13</v>
      </c>
      <c r="R121"/>
      <c r="S121" s="10" t="e">
        <f t="shared" si="13"/>
        <v>#N/A</v>
      </c>
    </row>
    <row r="122" spans="11:19" x14ac:dyDescent="0.45">
      <c r="K122" s="14">
        <v>118</v>
      </c>
      <c r="L122" s="9" t="str">
        <f t="shared" si="9"/>
        <v>SUB JUNIOR</v>
      </c>
      <c r="M122" s="9" t="str">
        <f t="shared" si="10"/>
        <v>BADF</v>
      </c>
      <c r="N122" s="9">
        <f t="shared" si="12"/>
        <v>118</v>
      </c>
      <c r="O122" s="9" t="str">
        <f t="shared" si="11"/>
        <v>AYAAN ABOOBAKAR</v>
      </c>
      <c r="P122" s="5" t="s">
        <v>100</v>
      </c>
      <c r="Q122" s="8">
        <v>12.5</v>
      </c>
      <c r="R122"/>
      <c r="S122" s="10" t="e">
        <f t="shared" si="13"/>
        <v>#N/A</v>
      </c>
    </row>
    <row r="123" spans="11:19" x14ac:dyDescent="0.45">
      <c r="K123" s="14">
        <v>119</v>
      </c>
      <c r="L123" s="9" t="str">
        <f t="shared" si="9"/>
        <v>JUNIOR</v>
      </c>
      <c r="M123" s="9" t="str">
        <f t="shared" si="10"/>
        <v>BADF</v>
      </c>
      <c r="N123" s="9">
        <f t="shared" si="12"/>
        <v>119</v>
      </c>
      <c r="O123" s="9" t="str">
        <f t="shared" si="11"/>
        <v>MUHAMMAD MIJVAD K</v>
      </c>
      <c r="P123" s="5" t="s">
        <v>159</v>
      </c>
      <c r="Q123" s="8">
        <v>12</v>
      </c>
      <c r="R123"/>
      <c r="S123" s="10" t="e">
        <f t="shared" si="13"/>
        <v>#N/A</v>
      </c>
    </row>
    <row r="124" spans="11:19" x14ac:dyDescent="0.45">
      <c r="K124" s="14">
        <v>120</v>
      </c>
      <c r="L124" s="9" t="str">
        <f t="shared" si="9"/>
        <v>SENIOR</v>
      </c>
      <c r="M124" s="9" t="str">
        <f t="shared" si="10"/>
        <v>JARF</v>
      </c>
      <c r="N124" s="9">
        <f t="shared" si="12"/>
        <v>119</v>
      </c>
      <c r="O124" s="9" t="str">
        <f t="shared" si="11"/>
        <v>MOHAMMED SAHEED A.K</v>
      </c>
      <c r="P124" s="5" t="s">
        <v>240</v>
      </c>
      <c r="Q124" s="8">
        <v>12</v>
      </c>
      <c r="R124"/>
      <c r="S124" s="10" t="e">
        <f t="shared" si="13"/>
        <v>#N/A</v>
      </c>
    </row>
    <row r="125" spans="11:19" x14ac:dyDescent="0.45">
      <c r="K125" s="14">
        <v>121</v>
      </c>
      <c r="L125" s="9" t="str">
        <f t="shared" si="9"/>
        <v>SENIOR</v>
      </c>
      <c r="M125" s="9" t="str">
        <f t="shared" si="10"/>
        <v>BADF</v>
      </c>
      <c r="N125" s="9">
        <f t="shared" si="12"/>
        <v>119</v>
      </c>
      <c r="O125" s="9" t="str">
        <f t="shared" si="11"/>
        <v>MUHAMMED KAIF BS</v>
      </c>
      <c r="P125" s="5" t="s">
        <v>236</v>
      </c>
      <c r="Q125" s="8">
        <v>12</v>
      </c>
      <c r="R125"/>
      <c r="S125" s="10" t="e">
        <f t="shared" si="13"/>
        <v>#N/A</v>
      </c>
    </row>
    <row r="126" spans="11:19" x14ac:dyDescent="0.45">
      <c r="K126" s="14">
        <v>122</v>
      </c>
      <c r="L126" s="9" t="str">
        <f t="shared" si="9"/>
        <v>JUNIOR</v>
      </c>
      <c r="M126" s="9" t="str">
        <f t="shared" si="10"/>
        <v>DAHF</v>
      </c>
      <c r="N126" s="9">
        <f t="shared" si="12"/>
        <v>119</v>
      </c>
      <c r="O126" s="9" t="str">
        <f t="shared" si="11"/>
        <v>AJMAL AHMED MT</v>
      </c>
      <c r="P126" s="5" t="s">
        <v>180</v>
      </c>
      <c r="Q126" s="8">
        <v>12</v>
      </c>
      <c r="R126"/>
      <c r="S126" s="10" t="e">
        <f t="shared" si="13"/>
        <v>#N/A</v>
      </c>
    </row>
    <row r="127" spans="11:19" x14ac:dyDescent="0.45">
      <c r="K127" s="14">
        <v>123</v>
      </c>
      <c r="L127" s="9" t="str">
        <f t="shared" si="9"/>
        <v>SENIOR</v>
      </c>
      <c r="M127" s="9" t="str">
        <f t="shared" si="10"/>
        <v>FANT</v>
      </c>
      <c r="N127" s="9">
        <f t="shared" si="12"/>
        <v>123</v>
      </c>
      <c r="O127" s="9" t="str">
        <f t="shared" si="11"/>
        <v>MUHAMMAD K.A</v>
      </c>
      <c r="P127" s="5" t="s">
        <v>239</v>
      </c>
      <c r="Q127" s="8">
        <v>11</v>
      </c>
      <c r="R127"/>
      <c r="S127" s="10" t="e">
        <f t="shared" si="13"/>
        <v>#N/A</v>
      </c>
    </row>
    <row r="128" spans="11:19" x14ac:dyDescent="0.45">
      <c r="K128" s="14">
        <v>124</v>
      </c>
      <c r="L128" s="9" t="str">
        <f t="shared" si="9"/>
        <v>SENIOR</v>
      </c>
      <c r="M128" s="9" t="str">
        <f t="shared" si="10"/>
        <v>DAHF</v>
      </c>
      <c r="N128" s="9">
        <f t="shared" si="12"/>
        <v>123</v>
      </c>
      <c r="O128" s="9" t="str">
        <f t="shared" si="11"/>
        <v>AHAMED SHAMMAS C.M</v>
      </c>
      <c r="P128" s="5" t="s">
        <v>246</v>
      </c>
      <c r="Q128" s="8">
        <v>11</v>
      </c>
      <c r="R128"/>
      <c r="S128" s="10" t="e">
        <f t="shared" si="13"/>
        <v>#N/A</v>
      </c>
    </row>
    <row r="129" spans="11:19" x14ac:dyDescent="0.45">
      <c r="K129" s="14">
        <v>125</v>
      </c>
      <c r="L129" s="9" t="str">
        <f t="shared" si="9"/>
        <v>SUPER SENIOR</v>
      </c>
      <c r="M129" s="9" t="str">
        <f t="shared" si="10"/>
        <v>JARF</v>
      </c>
      <c r="N129" s="9">
        <f t="shared" si="12"/>
        <v>123</v>
      </c>
      <c r="O129" s="9" t="str">
        <f t="shared" si="11"/>
        <v>MUHAMMED UNAIS PT</v>
      </c>
      <c r="P129" s="5" t="s">
        <v>301</v>
      </c>
      <c r="Q129" s="8">
        <v>11</v>
      </c>
      <c r="R129"/>
      <c r="S129" s="10" t="e">
        <f t="shared" si="13"/>
        <v>#N/A</v>
      </c>
    </row>
    <row r="130" spans="11:19" x14ac:dyDescent="0.45">
      <c r="K130" s="14">
        <v>126</v>
      </c>
      <c r="L130" s="9" t="str">
        <f t="shared" si="9"/>
        <v>SUB JUNIOR</v>
      </c>
      <c r="M130" s="9" t="str">
        <f t="shared" si="10"/>
        <v>FANT</v>
      </c>
      <c r="N130" s="9">
        <f t="shared" si="12"/>
        <v>123</v>
      </c>
      <c r="O130" s="9" t="str">
        <f t="shared" si="11"/>
        <v>MOHAMMAD K A</v>
      </c>
      <c r="P130" s="5" t="s">
        <v>76</v>
      </c>
      <c r="Q130" s="8">
        <v>11</v>
      </c>
      <c r="R130"/>
      <c r="S130" s="10" t="e">
        <f t="shared" si="13"/>
        <v>#N/A</v>
      </c>
    </row>
    <row r="131" spans="11:19" x14ac:dyDescent="0.45">
      <c r="K131" s="14">
        <v>127</v>
      </c>
      <c r="L131" s="9" t="str">
        <f t="shared" si="9"/>
        <v>JUNIOR</v>
      </c>
      <c r="M131" s="9" t="str">
        <f t="shared" si="10"/>
        <v>BADF</v>
      </c>
      <c r="N131" s="9">
        <f t="shared" si="12"/>
        <v>123</v>
      </c>
      <c r="O131" s="9" t="str">
        <f t="shared" si="11"/>
        <v>MOHAMMED AFNAN</v>
      </c>
      <c r="P131" s="5" t="s">
        <v>152</v>
      </c>
      <c r="Q131" s="8">
        <v>11</v>
      </c>
      <c r="R131"/>
      <c r="S131" s="10" t="e">
        <f t="shared" si="13"/>
        <v>#N/A</v>
      </c>
    </row>
    <row r="132" spans="11:19" x14ac:dyDescent="0.45">
      <c r="K132" s="14">
        <v>128</v>
      </c>
      <c r="L132" s="9" t="str">
        <f t="shared" si="9"/>
        <v>SENIOR</v>
      </c>
      <c r="M132" s="9" t="str">
        <f t="shared" si="10"/>
        <v>JARF</v>
      </c>
      <c r="N132" s="9">
        <f t="shared" si="12"/>
        <v>123</v>
      </c>
      <c r="O132" s="9" t="str">
        <f t="shared" si="11"/>
        <v>AHAMED ZAKI FOUZAN T.Z</v>
      </c>
      <c r="P132" s="5" t="s">
        <v>31</v>
      </c>
      <c r="Q132" s="8">
        <v>11</v>
      </c>
      <c r="R132"/>
      <c r="S132" s="10" t="e">
        <f t="shared" si="13"/>
        <v>#N/A</v>
      </c>
    </row>
    <row r="133" spans="11:19" x14ac:dyDescent="0.45">
      <c r="K133" s="14">
        <v>129</v>
      </c>
      <c r="L133" s="9" t="str">
        <f t="shared" ref="L133:L196" si="14">_xlfn.IFNA(VLOOKUP(P133,f_details_of_candidates,4,FALSE),"")</f>
        <v>SUB JUNIOR</v>
      </c>
      <c r="M133" s="9" t="str">
        <f t="shared" ref="M133:M196" si="15">_xlfn.IFNA(VLOOKUP(P133,f_details_of_candidates,3,FALSE),"")</f>
        <v>FANT</v>
      </c>
      <c r="N133" s="9">
        <f t="shared" si="12"/>
        <v>123</v>
      </c>
      <c r="O133" s="9" t="str">
        <f t="shared" ref="O133:O196" si="16">_xlfn.IFNA(VLOOKUP(P133,f_details_of_candidates,2,FALSE),"")</f>
        <v>MUHAMMED AFLAH.MK</v>
      </c>
      <c r="P133" s="5" t="s">
        <v>92</v>
      </c>
      <c r="Q133" s="8">
        <v>11</v>
      </c>
      <c r="R133"/>
      <c r="S133" s="10" t="e">
        <f t="shared" si="13"/>
        <v>#N/A</v>
      </c>
    </row>
    <row r="134" spans="11:19" x14ac:dyDescent="0.45">
      <c r="K134" s="14">
        <v>130</v>
      </c>
      <c r="L134" s="9" t="str">
        <f t="shared" si="14"/>
        <v>SENIOR</v>
      </c>
      <c r="M134" s="9" t="str">
        <f t="shared" si="15"/>
        <v>BADF</v>
      </c>
      <c r="N134" s="9">
        <f t="shared" ref="N134:N197" si="17">IF(P134&lt;&gt;0,RANK(Q134,Q$5:Q$326,0),"")</f>
        <v>130</v>
      </c>
      <c r="O134" s="9" t="str">
        <f t="shared" si="16"/>
        <v>AJMAL RUWAIS</v>
      </c>
      <c r="P134" s="5" t="s">
        <v>197</v>
      </c>
      <c r="Q134" s="8">
        <v>10.5</v>
      </c>
      <c r="R134"/>
      <c r="S134" s="10" t="e">
        <f t="shared" ref="S134:S197" si="18">RANK(R134,R$5:R$264,0)</f>
        <v>#N/A</v>
      </c>
    </row>
    <row r="135" spans="11:19" x14ac:dyDescent="0.45">
      <c r="K135" s="14">
        <v>131</v>
      </c>
      <c r="L135" s="9" t="str">
        <f t="shared" si="14"/>
        <v>SUB JUNIOR</v>
      </c>
      <c r="M135" s="9" t="str">
        <f t="shared" si="15"/>
        <v>FANT</v>
      </c>
      <c r="N135" s="9">
        <f t="shared" si="17"/>
        <v>131</v>
      </c>
      <c r="O135" s="9" t="str">
        <f t="shared" si="16"/>
        <v>HUSSAIN MUHAVIZ B A</v>
      </c>
      <c r="P135" s="5" t="s">
        <v>14</v>
      </c>
      <c r="Q135" s="8">
        <v>10</v>
      </c>
      <c r="R135"/>
      <c r="S135" s="10" t="e">
        <f t="shared" si="18"/>
        <v>#N/A</v>
      </c>
    </row>
    <row r="136" spans="11:19" x14ac:dyDescent="0.45">
      <c r="K136" s="14">
        <v>132</v>
      </c>
      <c r="L136" s="9" t="str">
        <f t="shared" si="14"/>
        <v>SUPER SENIOR</v>
      </c>
      <c r="M136" s="9" t="str">
        <f t="shared" si="15"/>
        <v>BADF</v>
      </c>
      <c r="N136" s="9">
        <f t="shared" si="17"/>
        <v>131</v>
      </c>
      <c r="O136" s="9" t="str">
        <f t="shared" si="16"/>
        <v>MUHAMMED MIDHLAJ KK</v>
      </c>
      <c r="P136" s="5" t="s">
        <v>277</v>
      </c>
      <c r="Q136" s="8">
        <v>10</v>
      </c>
      <c r="R136"/>
      <c r="S136" s="10" t="e">
        <f t="shared" si="18"/>
        <v>#N/A</v>
      </c>
    </row>
    <row r="137" spans="11:19" x14ac:dyDescent="0.45">
      <c r="K137" s="14">
        <v>133</v>
      </c>
      <c r="L137" s="9" t="str">
        <f t="shared" si="14"/>
        <v>SUPER SENIOR</v>
      </c>
      <c r="M137" s="9" t="str">
        <f t="shared" si="15"/>
        <v>BADF</v>
      </c>
      <c r="N137" s="9">
        <f t="shared" si="17"/>
        <v>131</v>
      </c>
      <c r="O137" s="9" t="str">
        <f t="shared" si="16"/>
        <v>ABBAS ARFAS O.R</v>
      </c>
      <c r="P137" s="5" t="s">
        <v>294</v>
      </c>
      <c r="Q137" s="8">
        <v>10</v>
      </c>
      <c r="R137"/>
      <c r="S137" s="10" t="e">
        <f t="shared" si="18"/>
        <v>#N/A</v>
      </c>
    </row>
    <row r="138" spans="11:19" x14ac:dyDescent="0.45">
      <c r="K138" s="14">
        <v>134</v>
      </c>
      <c r="L138" s="9" t="str">
        <f t="shared" si="14"/>
        <v>SENIOR</v>
      </c>
      <c r="M138" s="9" t="str">
        <f t="shared" si="15"/>
        <v>JARF</v>
      </c>
      <c r="N138" s="9">
        <f t="shared" si="17"/>
        <v>131</v>
      </c>
      <c r="O138" s="9" t="str">
        <f t="shared" si="16"/>
        <v>MUHAMMED SINAN M</v>
      </c>
      <c r="P138" s="5" t="s">
        <v>222</v>
      </c>
      <c r="Q138" s="8">
        <v>10</v>
      </c>
      <c r="R138"/>
      <c r="S138" s="10" t="e">
        <f t="shared" si="18"/>
        <v>#N/A</v>
      </c>
    </row>
    <row r="139" spans="11:19" x14ac:dyDescent="0.45">
      <c r="K139" s="14">
        <v>135</v>
      </c>
      <c r="L139" s="9" t="str">
        <f t="shared" si="14"/>
        <v>JUNIOR</v>
      </c>
      <c r="M139" s="9" t="str">
        <f t="shared" si="15"/>
        <v>FANT</v>
      </c>
      <c r="N139" s="9">
        <f t="shared" si="17"/>
        <v>131</v>
      </c>
      <c r="O139" s="9" t="str">
        <f t="shared" si="16"/>
        <v>MOHAMMED RIYAN</v>
      </c>
      <c r="P139" s="5" t="s">
        <v>144</v>
      </c>
      <c r="Q139" s="8">
        <v>10</v>
      </c>
      <c r="R139"/>
      <c r="S139" s="10" t="e">
        <f t="shared" si="18"/>
        <v>#N/A</v>
      </c>
    </row>
    <row r="140" spans="11:19" x14ac:dyDescent="0.45">
      <c r="K140" s="14">
        <v>136</v>
      </c>
      <c r="L140" s="9" t="str">
        <f t="shared" si="14"/>
        <v>SUB JUNIOR</v>
      </c>
      <c r="M140" s="9" t="str">
        <f t="shared" si="15"/>
        <v>JARF</v>
      </c>
      <c r="N140" s="9">
        <f t="shared" si="17"/>
        <v>131</v>
      </c>
      <c r="O140" s="9" t="str">
        <f t="shared" si="16"/>
        <v>MUHAMMED AYAAN</v>
      </c>
      <c r="P140" s="5" t="s">
        <v>110</v>
      </c>
      <c r="Q140" s="8">
        <v>10</v>
      </c>
      <c r="R140"/>
      <c r="S140" s="10" t="e">
        <f t="shared" si="18"/>
        <v>#N/A</v>
      </c>
    </row>
    <row r="141" spans="11:19" x14ac:dyDescent="0.45">
      <c r="K141" s="14">
        <v>137</v>
      </c>
      <c r="L141" s="9" t="str">
        <f t="shared" si="14"/>
        <v>SUPER SENIOR</v>
      </c>
      <c r="M141" s="9" t="str">
        <f t="shared" si="15"/>
        <v>BADF</v>
      </c>
      <c r="N141" s="9">
        <f t="shared" si="17"/>
        <v>131</v>
      </c>
      <c r="O141" s="9" t="str">
        <f t="shared" si="16"/>
        <v>ABU THAHIR</v>
      </c>
      <c r="P141" s="5" t="s">
        <v>270</v>
      </c>
      <c r="Q141" s="8">
        <v>10</v>
      </c>
      <c r="R141"/>
      <c r="S141" s="10" t="e">
        <f t="shared" si="18"/>
        <v>#N/A</v>
      </c>
    </row>
    <row r="142" spans="11:19" x14ac:dyDescent="0.45">
      <c r="K142" s="14">
        <v>138</v>
      </c>
      <c r="L142" s="9" t="str">
        <f t="shared" si="14"/>
        <v>SUPER SENIOR</v>
      </c>
      <c r="M142" s="9" t="str">
        <f t="shared" si="15"/>
        <v>DAHF</v>
      </c>
      <c r="N142" s="9">
        <f t="shared" si="17"/>
        <v>131</v>
      </c>
      <c r="O142" s="9" t="str">
        <f t="shared" si="16"/>
        <v>HASHIR HUSSAIN IK</v>
      </c>
      <c r="P142" s="5" t="s">
        <v>286</v>
      </c>
      <c r="Q142" s="8">
        <v>10</v>
      </c>
      <c r="R142"/>
      <c r="S142" s="10" t="e">
        <f t="shared" si="18"/>
        <v>#N/A</v>
      </c>
    </row>
    <row r="143" spans="11:19" x14ac:dyDescent="0.45">
      <c r="K143" s="14">
        <v>139</v>
      </c>
      <c r="L143" s="9" t="str">
        <f t="shared" si="14"/>
        <v>SENIOR</v>
      </c>
      <c r="M143" s="9" t="str">
        <f t="shared" si="15"/>
        <v>DAHF</v>
      </c>
      <c r="N143" s="9">
        <f t="shared" si="17"/>
        <v>139</v>
      </c>
      <c r="O143" s="9" t="str">
        <f t="shared" si="16"/>
        <v>AHAMMED MAHSHOOK M.B</v>
      </c>
      <c r="P143" s="5" t="s">
        <v>185</v>
      </c>
      <c r="Q143" s="8">
        <v>9</v>
      </c>
      <c r="R143"/>
      <c r="S143" s="10" t="e">
        <f t="shared" si="18"/>
        <v>#N/A</v>
      </c>
    </row>
    <row r="144" spans="11:19" x14ac:dyDescent="0.45">
      <c r="K144" s="14">
        <v>140</v>
      </c>
      <c r="L144" s="9" t="str">
        <f t="shared" si="14"/>
        <v>JUNIOR</v>
      </c>
      <c r="M144" s="9" t="str">
        <f t="shared" si="15"/>
        <v>FANT</v>
      </c>
      <c r="N144" s="9">
        <f t="shared" si="17"/>
        <v>139</v>
      </c>
      <c r="O144" s="9" t="str">
        <f t="shared" si="16"/>
        <v>HASSAN SAHAL N A</v>
      </c>
      <c r="P144" s="5" t="s">
        <v>139</v>
      </c>
      <c r="Q144" s="8">
        <v>9</v>
      </c>
      <c r="R144"/>
      <c r="S144" s="10" t="e">
        <f t="shared" si="18"/>
        <v>#N/A</v>
      </c>
    </row>
    <row r="145" spans="11:19" x14ac:dyDescent="0.45">
      <c r="K145" s="14">
        <v>141</v>
      </c>
      <c r="L145" s="9" t="str">
        <f t="shared" si="14"/>
        <v>SUB JUNIOR</v>
      </c>
      <c r="M145" s="9" t="str">
        <f t="shared" si="15"/>
        <v>FANT</v>
      </c>
      <c r="N145" s="9">
        <f t="shared" si="17"/>
        <v>139</v>
      </c>
      <c r="O145" s="9" t="str">
        <f t="shared" si="16"/>
        <v>Muhammed Hisham K M</v>
      </c>
      <c r="P145" s="5" t="s">
        <v>65</v>
      </c>
      <c r="Q145" s="8">
        <v>9</v>
      </c>
      <c r="R145"/>
      <c r="S145" s="10" t="e">
        <f t="shared" si="18"/>
        <v>#N/A</v>
      </c>
    </row>
    <row r="146" spans="11:19" x14ac:dyDescent="0.45">
      <c r="K146" s="14">
        <v>142</v>
      </c>
      <c r="L146" s="9" t="str">
        <f t="shared" si="14"/>
        <v>SUB JUNIOR</v>
      </c>
      <c r="M146" s="9" t="str">
        <f t="shared" si="15"/>
        <v>DAHF</v>
      </c>
      <c r="N146" s="9">
        <f t="shared" si="17"/>
        <v>139</v>
      </c>
      <c r="O146" s="9" t="str">
        <f t="shared" si="16"/>
        <v>MUHAMMED RAZI A T</v>
      </c>
      <c r="P146" s="5" t="s">
        <v>78</v>
      </c>
      <c r="Q146" s="8">
        <v>9</v>
      </c>
      <c r="R146"/>
      <c r="S146" s="10" t="e">
        <f t="shared" si="18"/>
        <v>#N/A</v>
      </c>
    </row>
    <row r="147" spans="11:19" x14ac:dyDescent="0.45">
      <c r="K147" s="14">
        <v>143</v>
      </c>
      <c r="L147" s="9" t="str">
        <f t="shared" si="14"/>
        <v>SENIOR</v>
      </c>
      <c r="M147" s="9" t="str">
        <f t="shared" si="15"/>
        <v>FANT</v>
      </c>
      <c r="N147" s="9">
        <f t="shared" si="17"/>
        <v>139</v>
      </c>
      <c r="O147" s="9" t="str">
        <f t="shared" si="16"/>
        <v>AHMED FAHEEM MA</v>
      </c>
      <c r="P147" s="5" t="s">
        <v>241</v>
      </c>
      <c r="Q147" s="8">
        <v>9</v>
      </c>
      <c r="R147"/>
      <c r="S147" s="10" t="e">
        <f t="shared" si="18"/>
        <v>#N/A</v>
      </c>
    </row>
    <row r="148" spans="11:19" x14ac:dyDescent="0.45">
      <c r="K148" s="14">
        <v>144</v>
      </c>
      <c r="L148" s="9" t="str">
        <f t="shared" si="14"/>
        <v>JUNIOR</v>
      </c>
      <c r="M148" s="9" t="str">
        <f t="shared" si="15"/>
        <v>BADF</v>
      </c>
      <c r="N148" s="9">
        <f t="shared" si="17"/>
        <v>139</v>
      </c>
      <c r="O148" s="9" t="str">
        <f t="shared" si="16"/>
        <v>MOHAMMED NAFIH BA</v>
      </c>
      <c r="P148" s="5" t="s">
        <v>128</v>
      </c>
      <c r="Q148" s="8">
        <v>9</v>
      </c>
      <c r="R148"/>
      <c r="S148" s="10" t="e">
        <f t="shared" si="18"/>
        <v>#N/A</v>
      </c>
    </row>
    <row r="149" spans="11:19" x14ac:dyDescent="0.45">
      <c r="K149" s="14">
        <v>145</v>
      </c>
      <c r="L149" s="9" t="str">
        <f t="shared" si="14"/>
        <v>SUPER SENIOR</v>
      </c>
      <c r="M149" s="9" t="str">
        <f t="shared" si="15"/>
        <v>BADF</v>
      </c>
      <c r="N149" s="9">
        <f t="shared" si="17"/>
        <v>139</v>
      </c>
      <c r="O149" s="9" t="str">
        <f t="shared" si="16"/>
        <v>AYYOOB V.N</v>
      </c>
      <c r="P149" s="5" t="s">
        <v>287</v>
      </c>
      <c r="Q149" s="8">
        <v>9</v>
      </c>
      <c r="R149"/>
      <c r="S149" s="10" t="e">
        <f t="shared" si="18"/>
        <v>#N/A</v>
      </c>
    </row>
    <row r="150" spans="11:19" x14ac:dyDescent="0.45">
      <c r="K150" s="14">
        <v>146</v>
      </c>
      <c r="L150" s="9" t="str">
        <f t="shared" si="14"/>
        <v>JUNIOR</v>
      </c>
      <c r="M150" s="9" t="str">
        <f t="shared" si="15"/>
        <v>JARF</v>
      </c>
      <c r="N150" s="9">
        <f t="shared" si="17"/>
        <v>139</v>
      </c>
      <c r="O150" s="9" t="str">
        <f t="shared" si="16"/>
        <v>MOHAMMED DAWOOD K</v>
      </c>
      <c r="P150" s="5" t="s">
        <v>181</v>
      </c>
      <c r="Q150" s="8">
        <v>9</v>
      </c>
      <c r="R150"/>
      <c r="S150" s="10" t="e">
        <f t="shared" si="18"/>
        <v>#N/A</v>
      </c>
    </row>
    <row r="151" spans="11:19" x14ac:dyDescent="0.45">
      <c r="K151" s="14">
        <v>147</v>
      </c>
      <c r="L151" s="9" t="str">
        <f t="shared" si="14"/>
        <v>JUNIOR</v>
      </c>
      <c r="M151" s="9" t="str">
        <f t="shared" si="15"/>
        <v>JARF</v>
      </c>
      <c r="N151" s="9">
        <f t="shared" si="17"/>
        <v>147</v>
      </c>
      <c r="O151" s="9" t="str">
        <f t="shared" si="16"/>
        <v>MOHAMMED SHAMEEM B K</v>
      </c>
      <c r="P151" s="5" t="s">
        <v>169</v>
      </c>
      <c r="Q151" s="8">
        <v>8</v>
      </c>
      <c r="R151"/>
      <c r="S151" s="10" t="e">
        <f t="shared" si="18"/>
        <v>#N/A</v>
      </c>
    </row>
    <row r="152" spans="11:19" x14ac:dyDescent="0.45">
      <c r="K152" s="14">
        <v>148</v>
      </c>
      <c r="L152" s="9" t="str">
        <f t="shared" si="14"/>
        <v>SENIOR</v>
      </c>
      <c r="M152" s="9" t="str">
        <f t="shared" si="15"/>
        <v>JARF</v>
      </c>
      <c r="N152" s="9">
        <f t="shared" si="17"/>
        <v>147</v>
      </c>
      <c r="O152" s="9" t="str">
        <f t="shared" si="16"/>
        <v>MUHAMMED ZAYAN N.S</v>
      </c>
      <c r="P152" s="5" t="s">
        <v>250</v>
      </c>
      <c r="Q152" s="8">
        <v>8</v>
      </c>
      <c r="R152"/>
      <c r="S152" s="10" t="e">
        <f t="shared" si="18"/>
        <v>#N/A</v>
      </c>
    </row>
    <row r="153" spans="11:19" x14ac:dyDescent="0.45">
      <c r="K153" s="14">
        <v>149</v>
      </c>
      <c r="L153" s="9" t="str">
        <f t="shared" si="14"/>
        <v>SENIOR</v>
      </c>
      <c r="M153" s="9" t="str">
        <f t="shared" si="15"/>
        <v>JARF</v>
      </c>
      <c r="N153" s="9">
        <f t="shared" si="17"/>
        <v>147</v>
      </c>
      <c r="O153" s="9" t="str">
        <f t="shared" si="16"/>
        <v>ABDULLAH MAZIN</v>
      </c>
      <c r="P153" s="5" t="s">
        <v>247</v>
      </c>
      <c r="Q153" s="8">
        <v>8</v>
      </c>
      <c r="R153"/>
      <c r="S153" s="10" t="e">
        <f t="shared" si="18"/>
        <v>#N/A</v>
      </c>
    </row>
    <row r="154" spans="11:19" x14ac:dyDescent="0.45">
      <c r="K154" s="14">
        <v>150</v>
      </c>
      <c r="L154" s="9" t="str">
        <f t="shared" si="14"/>
        <v>SENIOR</v>
      </c>
      <c r="M154" s="9" t="str">
        <f t="shared" si="15"/>
        <v>FANT</v>
      </c>
      <c r="N154" s="9">
        <f t="shared" si="17"/>
        <v>147</v>
      </c>
      <c r="O154" s="9" t="str">
        <f t="shared" si="16"/>
        <v>MOHAMMED MOINUDDEEN CHISTY</v>
      </c>
      <c r="P154" s="5" t="s">
        <v>218</v>
      </c>
      <c r="Q154" s="8">
        <v>8</v>
      </c>
      <c r="R154"/>
      <c r="S154" s="10" t="e">
        <f t="shared" si="18"/>
        <v>#N/A</v>
      </c>
    </row>
    <row r="155" spans="11:19" x14ac:dyDescent="0.45">
      <c r="K155" s="14">
        <v>151</v>
      </c>
      <c r="L155" s="9" t="str">
        <f t="shared" si="14"/>
        <v>SUPER SENIOR</v>
      </c>
      <c r="M155" s="9" t="str">
        <f t="shared" si="15"/>
        <v>JARF</v>
      </c>
      <c r="N155" s="9">
        <f t="shared" si="17"/>
        <v>147</v>
      </c>
      <c r="O155" s="9" t="str">
        <f t="shared" si="16"/>
        <v>MOHAMMED AFSAL</v>
      </c>
      <c r="P155" s="5" t="s">
        <v>252</v>
      </c>
      <c r="Q155" s="8">
        <v>8</v>
      </c>
      <c r="R155"/>
      <c r="S155" s="10" t="e">
        <f t="shared" si="18"/>
        <v>#N/A</v>
      </c>
    </row>
    <row r="156" spans="11:19" x14ac:dyDescent="0.45">
      <c r="K156" s="14">
        <v>152</v>
      </c>
      <c r="L156" s="9" t="str">
        <f t="shared" si="14"/>
        <v>SUPER SENIOR</v>
      </c>
      <c r="M156" s="9" t="str">
        <f t="shared" si="15"/>
        <v>JARF</v>
      </c>
      <c r="N156" s="9">
        <f t="shared" si="17"/>
        <v>147</v>
      </c>
      <c r="O156" s="9" t="str">
        <f t="shared" si="16"/>
        <v>MOHAMMED MARZOOK AM</v>
      </c>
      <c r="P156" s="5" t="s">
        <v>297</v>
      </c>
      <c r="Q156" s="8">
        <v>8</v>
      </c>
      <c r="R156"/>
      <c r="S156" s="10" t="e">
        <f t="shared" si="18"/>
        <v>#N/A</v>
      </c>
    </row>
    <row r="157" spans="11:19" x14ac:dyDescent="0.45">
      <c r="K157" s="14">
        <v>153</v>
      </c>
      <c r="L157" s="9" t="str">
        <f t="shared" si="14"/>
        <v>SUPER SENIOR</v>
      </c>
      <c r="M157" s="9" t="str">
        <f t="shared" si="15"/>
        <v>BADF</v>
      </c>
      <c r="N157" s="9">
        <f t="shared" si="17"/>
        <v>147</v>
      </c>
      <c r="O157" s="9" t="str">
        <f t="shared" si="16"/>
        <v>ABBAS AZNAB M.A</v>
      </c>
      <c r="P157" s="5" t="s">
        <v>261</v>
      </c>
      <c r="Q157" s="8">
        <v>8</v>
      </c>
      <c r="R157"/>
      <c r="S157" s="10" t="e">
        <f t="shared" si="18"/>
        <v>#N/A</v>
      </c>
    </row>
    <row r="158" spans="11:19" x14ac:dyDescent="0.45">
      <c r="K158" s="14">
        <v>154</v>
      </c>
      <c r="L158" s="9" t="str">
        <f t="shared" si="14"/>
        <v>SENIOR</v>
      </c>
      <c r="M158" s="9" t="str">
        <f t="shared" si="15"/>
        <v>BADF</v>
      </c>
      <c r="N158" s="9">
        <f t="shared" si="17"/>
        <v>147</v>
      </c>
      <c r="O158" s="9" t="str">
        <f t="shared" si="16"/>
        <v>AHMAD MINHAJ</v>
      </c>
      <c r="P158" s="5" t="s">
        <v>220</v>
      </c>
      <c r="Q158" s="8">
        <v>8</v>
      </c>
      <c r="R158"/>
      <c r="S158" s="10" t="e">
        <f t="shared" si="18"/>
        <v>#N/A</v>
      </c>
    </row>
    <row r="159" spans="11:19" x14ac:dyDescent="0.45">
      <c r="K159" s="14">
        <v>155</v>
      </c>
      <c r="L159" s="9" t="str">
        <f t="shared" si="14"/>
        <v>JUNIOR</v>
      </c>
      <c r="M159" s="9" t="str">
        <f t="shared" si="15"/>
        <v>DAHF</v>
      </c>
      <c r="N159" s="9">
        <f t="shared" si="17"/>
        <v>147</v>
      </c>
      <c r="O159" s="9" t="str">
        <f t="shared" si="16"/>
        <v>MUHAMMED A</v>
      </c>
      <c r="P159" s="5" t="s">
        <v>176</v>
      </c>
      <c r="Q159" s="8">
        <v>8</v>
      </c>
      <c r="R159"/>
      <c r="S159" s="10" t="e">
        <f t="shared" si="18"/>
        <v>#N/A</v>
      </c>
    </row>
    <row r="160" spans="11:19" x14ac:dyDescent="0.45">
      <c r="K160" s="14">
        <v>156</v>
      </c>
      <c r="L160" s="9" t="str">
        <f t="shared" si="14"/>
        <v>SUB JUNIOR</v>
      </c>
      <c r="M160" s="9" t="str">
        <f t="shared" si="15"/>
        <v>BADF</v>
      </c>
      <c r="N160" s="9">
        <f t="shared" si="17"/>
        <v>147</v>
      </c>
      <c r="O160" s="9" t="str">
        <f t="shared" si="16"/>
        <v>Abdul Khader Uvais K A</v>
      </c>
      <c r="P160" s="5" t="s">
        <v>62</v>
      </c>
      <c r="Q160" s="8">
        <v>8</v>
      </c>
      <c r="R160"/>
      <c r="S160" s="10" t="e">
        <f t="shared" si="18"/>
        <v>#N/A</v>
      </c>
    </row>
    <row r="161" spans="11:19" x14ac:dyDescent="0.45">
      <c r="K161" s="14">
        <v>157</v>
      </c>
      <c r="L161" s="9" t="str">
        <f t="shared" si="14"/>
        <v>SENIOR</v>
      </c>
      <c r="M161" s="9" t="str">
        <f t="shared" si="15"/>
        <v>BADF</v>
      </c>
      <c r="N161" s="9">
        <f t="shared" si="17"/>
        <v>147</v>
      </c>
      <c r="O161" s="9" t="str">
        <f t="shared" si="16"/>
        <v>ABDULLA FARHAN M</v>
      </c>
      <c r="P161" s="5" t="s">
        <v>192</v>
      </c>
      <c r="Q161" s="8">
        <v>8</v>
      </c>
      <c r="R161"/>
      <c r="S161" s="10" t="e">
        <f t="shared" si="18"/>
        <v>#N/A</v>
      </c>
    </row>
    <row r="162" spans="11:19" x14ac:dyDescent="0.45">
      <c r="K162" s="14">
        <v>158</v>
      </c>
      <c r="L162" s="9" t="str">
        <f t="shared" si="14"/>
        <v>JUNIOR</v>
      </c>
      <c r="M162" s="9" t="str">
        <f t="shared" si="15"/>
        <v>DAHF</v>
      </c>
      <c r="N162" s="9">
        <f t="shared" si="17"/>
        <v>147</v>
      </c>
      <c r="O162" s="9" t="str">
        <f t="shared" si="16"/>
        <v>Muhammad</v>
      </c>
      <c r="P162" s="5" t="s">
        <v>161</v>
      </c>
      <c r="Q162" s="8">
        <v>8</v>
      </c>
      <c r="R162"/>
      <c r="S162" s="10" t="e">
        <f t="shared" si="18"/>
        <v>#N/A</v>
      </c>
    </row>
    <row r="163" spans="11:19" x14ac:dyDescent="0.45">
      <c r="K163" s="14">
        <v>159</v>
      </c>
      <c r="L163" s="9" t="str">
        <f t="shared" si="14"/>
        <v>SUPER SENIOR</v>
      </c>
      <c r="M163" s="9" t="str">
        <f t="shared" si="15"/>
        <v>FANT</v>
      </c>
      <c r="N163" s="9">
        <f t="shared" si="17"/>
        <v>147</v>
      </c>
      <c r="O163" s="9" t="str">
        <f t="shared" si="16"/>
        <v>ABDUL WADHOOD</v>
      </c>
      <c r="P163" s="5" t="s">
        <v>256</v>
      </c>
      <c r="Q163" s="8">
        <v>8</v>
      </c>
      <c r="R163"/>
      <c r="S163" s="10" t="e">
        <f t="shared" si="18"/>
        <v>#N/A</v>
      </c>
    </row>
    <row r="164" spans="11:19" x14ac:dyDescent="0.45">
      <c r="K164" s="14">
        <v>160</v>
      </c>
      <c r="L164" s="9" t="str">
        <f t="shared" si="14"/>
        <v>SUPER SENIOR</v>
      </c>
      <c r="M164" s="9" t="str">
        <f t="shared" si="15"/>
        <v>BADF</v>
      </c>
      <c r="N164" s="9">
        <f t="shared" si="17"/>
        <v>147</v>
      </c>
      <c r="O164" s="9" t="str">
        <f t="shared" si="16"/>
        <v>MUHAMMAD MUZAMMIL E.A</v>
      </c>
      <c r="P164" s="5" t="s">
        <v>305</v>
      </c>
      <c r="Q164" s="8">
        <v>8</v>
      </c>
      <c r="R164"/>
      <c r="S164" s="10" t="e">
        <f t="shared" si="18"/>
        <v>#N/A</v>
      </c>
    </row>
    <row r="165" spans="11:19" x14ac:dyDescent="0.45">
      <c r="K165" s="14">
        <v>161</v>
      </c>
      <c r="L165" s="9" t="str">
        <f t="shared" si="14"/>
        <v>SUPER SENIOR</v>
      </c>
      <c r="M165" s="9" t="str">
        <f t="shared" si="15"/>
        <v>FANT</v>
      </c>
      <c r="N165" s="9">
        <f t="shared" si="17"/>
        <v>147</v>
      </c>
      <c r="O165" s="9" t="str">
        <f t="shared" si="16"/>
        <v>SALAHUDDEEN AYYOOBI KM</v>
      </c>
      <c r="P165" s="5" t="s">
        <v>328</v>
      </c>
      <c r="Q165" s="8">
        <v>8</v>
      </c>
      <c r="R165"/>
      <c r="S165" s="10" t="e">
        <f t="shared" si="18"/>
        <v>#N/A</v>
      </c>
    </row>
    <row r="166" spans="11:19" x14ac:dyDescent="0.45">
      <c r="K166" s="14">
        <v>162</v>
      </c>
      <c r="L166" s="9" t="str">
        <f t="shared" si="14"/>
        <v>SUPER SENIOR</v>
      </c>
      <c r="M166" s="9" t="str">
        <f t="shared" si="15"/>
        <v>JARF</v>
      </c>
      <c r="N166" s="9">
        <f t="shared" si="17"/>
        <v>147</v>
      </c>
      <c r="O166" s="9" t="str">
        <f t="shared" si="16"/>
        <v>MOHAMMED SALIH</v>
      </c>
      <c r="P166" s="5" t="s">
        <v>274</v>
      </c>
      <c r="Q166" s="8">
        <v>8</v>
      </c>
      <c r="R166"/>
      <c r="S166" s="10" t="e">
        <f t="shared" si="18"/>
        <v>#N/A</v>
      </c>
    </row>
    <row r="167" spans="11:19" x14ac:dyDescent="0.45">
      <c r="K167" s="14">
        <v>163</v>
      </c>
      <c r="L167" s="9" t="str">
        <f t="shared" si="14"/>
        <v>SUB JUNIOR</v>
      </c>
      <c r="M167" s="9" t="str">
        <f t="shared" si="15"/>
        <v>BADF</v>
      </c>
      <c r="N167" s="9">
        <f t="shared" si="17"/>
        <v>147</v>
      </c>
      <c r="O167" s="9" t="str">
        <f t="shared" si="16"/>
        <v>MUHAMMED SHAHID K A</v>
      </c>
      <c r="P167" s="5" t="s">
        <v>68</v>
      </c>
      <c r="Q167" s="8">
        <v>8</v>
      </c>
      <c r="R167"/>
      <c r="S167" s="10" t="e">
        <f t="shared" si="18"/>
        <v>#N/A</v>
      </c>
    </row>
    <row r="168" spans="11:19" x14ac:dyDescent="0.45">
      <c r="K168" s="14">
        <v>164</v>
      </c>
      <c r="L168" s="9" t="str">
        <f t="shared" si="14"/>
        <v>SUB JUNIOR</v>
      </c>
      <c r="M168" s="9" t="str">
        <f t="shared" si="15"/>
        <v>DAHF</v>
      </c>
      <c r="N168" s="9">
        <f t="shared" si="17"/>
        <v>147</v>
      </c>
      <c r="O168" s="9" t="str">
        <f t="shared" si="16"/>
        <v>YASEEN MUHAMMED</v>
      </c>
      <c r="P168" s="5" t="s">
        <v>86</v>
      </c>
      <c r="Q168" s="8">
        <v>8</v>
      </c>
      <c r="R168"/>
      <c r="S168" s="10" t="e">
        <f t="shared" si="18"/>
        <v>#N/A</v>
      </c>
    </row>
    <row r="169" spans="11:19" x14ac:dyDescent="0.45">
      <c r="K169" s="14">
        <v>165</v>
      </c>
      <c r="L169" s="9" t="str">
        <f t="shared" si="14"/>
        <v>JUNIOR</v>
      </c>
      <c r="M169" s="9" t="str">
        <f t="shared" si="15"/>
        <v>DAHF</v>
      </c>
      <c r="N169" s="9">
        <f t="shared" si="17"/>
        <v>147</v>
      </c>
      <c r="O169" s="9" t="str">
        <f t="shared" si="16"/>
        <v>MUHAMMED RAZI TM</v>
      </c>
      <c r="P169" s="5" t="s">
        <v>182</v>
      </c>
      <c r="Q169" s="8">
        <v>8</v>
      </c>
      <c r="R169"/>
      <c r="S169" s="10" t="e">
        <f t="shared" si="18"/>
        <v>#N/A</v>
      </c>
    </row>
    <row r="170" spans="11:19" x14ac:dyDescent="0.45">
      <c r="K170" s="14">
        <v>166</v>
      </c>
      <c r="L170" s="9" t="str">
        <f t="shared" si="14"/>
        <v>SENIOR</v>
      </c>
      <c r="M170" s="9" t="str">
        <f t="shared" si="15"/>
        <v>FANT</v>
      </c>
      <c r="N170" s="9">
        <f t="shared" si="17"/>
        <v>147</v>
      </c>
      <c r="O170" s="9" t="str">
        <f t="shared" si="16"/>
        <v>MUHAMMAD SHAMMAS</v>
      </c>
      <c r="P170" s="5" t="s">
        <v>201</v>
      </c>
      <c r="Q170" s="8">
        <v>8</v>
      </c>
      <c r="R170"/>
      <c r="S170" s="10" t="e">
        <f t="shared" si="18"/>
        <v>#N/A</v>
      </c>
    </row>
    <row r="171" spans="11:19" x14ac:dyDescent="0.45">
      <c r="K171" s="14">
        <v>167</v>
      </c>
      <c r="L171" s="9" t="str">
        <f t="shared" si="14"/>
        <v>SUPER SENIOR</v>
      </c>
      <c r="M171" s="9" t="str">
        <f t="shared" si="15"/>
        <v>FANT</v>
      </c>
      <c r="N171" s="9">
        <f t="shared" si="17"/>
        <v>167</v>
      </c>
      <c r="O171" s="9" t="str">
        <f t="shared" si="16"/>
        <v>MUHAMMED SAFWAN</v>
      </c>
      <c r="P171" s="5" t="s">
        <v>340</v>
      </c>
      <c r="Q171" s="8">
        <v>7</v>
      </c>
      <c r="R171"/>
      <c r="S171" s="10" t="e">
        <f t="shared" si="18"/>
        <v>#N/A</v>
      </c>
    </row>
    <row r="172" spans="11:19" x14ac:dyDescent="0.45">
      <c r="K172" s="14">
        <v>168</v>
      </c>
      <c r="L172" s="9" t="str">
        <f t="shared" si="14"/>
        <v>JUNIOR</v>
      </c>
      <c r="M172" s="9" t="str">
        <f t="shared" si="15"/>
        <v>BADF</v>
      </c>
      <c r="N172" s="9">
        <f t="shared" si="17"/>
        <v>167</v>
      </c>
      <c r="O172" s="9" t="str">
        <f t="shared" si="16"/>
        <v>MOHAMMED SHAHID</v>
      </c>
      <c r="P172" s="5" t="s">
        <v>162</v>
      </c>
      <c r="Q172" s="8">
        <v>7</v>
      </c>
      <c r="R172"/>
      <c r="S172" s="10" t="e">
        <f t="shared" si="18"/>
        <v>#N/A</v>
      </c>
    </row>
    <row r="173" spans="11:19" x14ac:dyDescent="0.45">
      <c r="K173" s="14">
        <v>169</v>
      </c>
      <c r="L173" s="9" t="str">
        <f t="shared" si="14"/>
        <v>SENIOR</v>
      </c>
      <c r="M173" s="9" t="str">
        <f t="shared" si="15"/>
        <v>JARF</v>
      </c>
      <c r="N173" s="9">
        <f t="shared" si="17"/>
        <v>167</v>
      </c>
      <c r="O173" s="9" t="str">
        <f t="shared" si="16"/>
        <v>IJAS EBRAHIM</v>
      </c>
      <c r="P173" s="5" t="s">
        <v>219</v>
      </c>
      <c r="Q173" s="8">
        <v>7</v>
      </c>
      <c r="R173"/>
      <c r="S173" s="10" t="e">
        <f t="shared" si="18"/>
        <v>#N/A</v>
      </c>
    </row>
    <row r="174" spans="11:19" x14ac:dyDescent="0.45">
      <c r="K174" s="14">
        <v>170</v>
      </c>
      <c r="L174" s="9" t="str">
        <f t="shared" si="14"/>
        <v>SUPER SENIOR</v>
      </c>
      <c r="M174" s="9" t="str">
        <f t="shared" si="15"/>
        <v>FANT</v>
      </c>
      <c r="N174" s="9">
        <f t="shared" si="17"/>
        <v>167</v>
      </c>
      <c r="O174" s="9" t="str">
        <f t="shared" si="16"/>
        <v>ABOOBAKR MA'ROOF</v>
      </c>
      <c r="P174" s="5" t="s">
        <v>283</v>
      </c>
      <c r="Q174" s="8">
        <v>7</v>
      </c>
      <c r="R174"/>
      <c r="S174" s="10" t="e">
        <f t="shared" si="18"/>
        <v>#N/A</v>
      </c>
    </row>
    <row r="175" spans="11:19" x14ac:dyDescent="0.45">
      <c r="K175" s="14">
        <v>171</v>
      </c>
      <c r="L175" s="9" t="str">
        <f t="shared" si="14"/>
        <v>SENIOR</v>
      </c>
      <c r="M175" s="9" t="str">
        <f t="shared" si="15"/>
        <v>FANT</v>
      </c>
      <c r="N175" s="9">
        <f t="shared" si="17"/>
        <v>171</v>
      </c>
      <c r="O175" s="9" t="str">
        <f t="shared" si="16"/>
        <v>IBRAHIM AHRAZ</v>
      </c>
      <c r="P175" s="5" t="s">
        <v>214</v>
      </c>
      <c r="Q175" s="8">
        <v>6</v>
      </c>
      <c r="R175"/>
      <c r="S175" s="10" t="e">
        <f t="shared" si="18"/>
        <v>#N/A</v>
      </c>
    </row>
    <row r="176" spans="11:19" x14ac:dyDescent="0.45">
      <c r="K176" s="14">
        <v>172</v>
      </c>
      <c r="L176" s="9" t="str">
        <f t="shared" si="14"/>
        <v>JUNIOR</v>
      </c>
      <c r="M176" s="9" t="str">
        <f t="shared" si="15"/>
        <v>JARF</v>
      </c>
      <c r="N176" s="9">
        <f t="shared" si="17"/>
        <v>171</v>
      </c>
      <c r="O176" s="9" t="str">
        <f t="shared" si="16"/>
        <v>AHAMMED JABIR K H</v>
      </c>
      <c r="P176" s="5" t="s">
        <v>150</v>
      </c>
      <c r="Q176" s="8">
        <v>6</v>
      </c>
      <c r="R176"/>
      <c r="S176" s="10" t="e">
        <f t="shared" si="18"/>
        <v>#N/A</v>
      </c>
    </row>
    <row r="177" spans="11:19" x14ac:dyDescent="0.45">
      <c r="K177" s="14">
        <v>173</v>
      </c>
      <c r="L177" s="9" t="str">
        <f t="shared" si="14"/>
        <v>SENIOR</v>
      </c>
      <c r="M177" s="9" t="str">
        <f t="shared" si="15"/>
        <v>BADF</v>
      </c>
      <c r="N177" s="9">
        <f t="shared" si="17"/>
        <v>171</v>
      </c>
      <c r="O177" s="9" t="str">
        <f t="shared" si="16"/>
        <v>P K ZAMEEL AHMED</v>
      </c>
      <c r="P177" s="5" t="s">
        <v>212</v>
      </c>
      <c r="Q177" s="8">
        <v>6</v>
      </c>
      <c r="R177"/>
      <c r="S177" s="10" t="e">
        <f t="shared" si="18"/>
        <v>#N/A</v>
      </c>
    </row>
    <row r="178" spans="11:19" x14ac:dyDescent="0.45">
      <c r="K178" s="14">
        <v>174</v>
      </c>
      <c r="L178" s="9" t="str">
        <f t="shared" si="14"/>
        <v>SENIOR</v>
      </c>
      <c r="M178" s="9" t="str">
        <f t="shared" si="15"/>
        <v>FANT</v>
      </c>
      <c r="N178" s="9">
        <f t="shared" si="17"/>
        <v>171</v>
      </c>
      <c r="O178" s="9" t="str">
        <f t="shared" si="16"/>
        <v>ABDUL BAAIS N.A</v>
      </c>
      <c r="P178" s="5" t="s">
        <v>227</v>
      </c>
      <c r="Q178" s="8">
        <v>6</v>
      </c>
      <c r="R178"/>
      <c r="S178" s="10" t="e">
        <f t="shared" si="18"/>
        <v>#N/A</v>
      </c>
    </row>
    <row r="179" spans="11:19" x14ac:dyDescent="0.45">
      <c r="K179" s="14">
        <v>175</v>
      </c>
      <c r="L179" s="9" t="str">
        <f t="shared" si="14"/>
        <v>SUB JUNIOR</v>
      </c>
      <c r="M179" s="9" t="str">
        <f t="shared" si="15"/>
        <v>JARF</v>
      </c>
      <c r="N179" s="9">
        <f t="shared" si="17"/>
        <v>171</v>
      </c>
      <c r="O179" s="9" t="str">
        <f t="shared" si="16"/>
        <v>MUHAMMED TAMEEM</v>
      </c>
      <c r="P179" s="5" t="s">
        <v>57</v>
      </c>
      <c r="Q179" s="8">
        <v>6</v>
      </c>
      <c r="R179"/>
      <c r="S179" s="10" t="e">
        <f t="shared" si="18"/>
        <v>#N/A</v>
      </c>
    </row>
    <row r="180" spans="11:19" x14ac:dyDescent="0.45">
      <c r="K180" s="14">
        <v>176</v>
      </c>
      <c r="L180" s="9" t="str">
        <f t="shared" si="14"/>
        <v>SENIOR</v>
      </c>
      <c r="M180" s="9" t="str">
        <f t="shared" si="15"/>
        <v>JARF</v>
      </c>
      <c r="N180" s="9">
        <f t="shared" si="17"/>
        <v>171</v>
      </c>
      <c r="O180" s="9" t="str">
        <f t="shared" si="16"/>
        <v>MOHAMMED ASHMIL K A</v>
      </c>
      <c r="P180" s="5" t="s">
        <v>32</v>
      </c>
      <c r="Q180" s="8">
        <v>6</v>
      </c>
      <c r="R180"/>
      <c r="S180" s="10" t="e">
        <f t="shared" si="18"/>
        <v>#N/A</v>
      </c>
    </row>
    <row r="181" spans="11:19" x14ac:dyDescent="0.45">
      <c r="K181" s="14">
        <v>177</v>
      </c>
      <c r="L181" s="9" t="str">
        <f t="shared" si="14"/>
        <v>SUB JUNIOR</v>
      </c>
      <c r="M181" s="9" t="str">
        <f t="shared" si="15"/>
        <v>DAHF</v>
      </c>
      <c r="N181" s="9">
        <f t="shared" si="17"/>
        <v>171</v>
      </c>
      <c r="O181" s="9" t="str">
        <f t="shared" si="16"/>
        <v>SAYYED MOHAMMED SINAN AM</v>
      </c>
      <c r="P181" s="5" t="s">
        <v>120</v>
      </c>
      <c r="Q181" s="8">
        <v>6</v>
      </c>
      <c r="R181"/>
      <c r="S181" s="10" t="e">
        <f t="shared" si="18"/>
        <v>#N/A</v>
      </c>
    </row>
    <row r="182" spans="11:19" x14ac:dyDescent="0.45">
      <c r="K182" s="14">
        <v>178</v>
      </c>
      <c r="L182" s="9" t="str">
        <f t="shared" si="14"/>
        <v>SUPER SENIOR</v>
      </c>
      <c r="M182" s="9" t="str">
        <f t="shared" si="15"/>
        <v>DAHF</v>
      </c>
      <c r="N182" s="9">
        <f t="shared" si="17"/>
        <v>171</v>
      </c>
      <c r="O182" s="9" t="str">
        <f t="shared" si="16"/>
        <v>MAHAMMAD RIYAZ</v>
      </c>
      <c r="P182" s="5" t="s">
        <v>282</v>
      </c>
      <c r="Q182" s="8">
        <v>6</v>
      </c>
      <c r="R182"/>
      <c r="S182" s="10" t="e">
        <f t="shared" si="18"/>
        <v>#N/A</v>
      </c>
    </row>
    <row r="183" spans="11:19" x14ac:dyDescent="0.45">
      <c r="K183" s="14">
        <v>179</v>
      </c>
      <c r="L183" s="9" t="str">
        <f t="shared" si="14"/>
        <v>SUB JUNIOR</v>
      </c>
      <c r="M183" s="9" t="str">
        <f t="shared" si="15"/>
        <v>DAHF</v>
      </c>
      <c r="N183" s="9">
        <f t="shared" si="17"/>
        <v>171</v>
      </c>
      <c r="O183" s="9" t="str">
        <f t="shared" si="16"/>
        <v>YOUSUF FAHEEM P</v>
      </c>
      <c r="P183" s="5" t="s">
        <v>124</v>
      </c>
      <c r="Q183" s="8">
        <v>6</v>
      </c>
      <c r="R183"/>
      <c r="S183" s="10" t="e">
        <f t="shared" si="18"/>
        <v>#N/A</v>
      </c>
    </row>
    <row r="184" spans="11:19" x14ac:dyDescent="0.45">
      <c r="K184" s="14">
        <v>180</v>
      </c>
      <c r="L184" s="9" t="str">
        <f t="shared" si="14"/>
        <v>SUB JUNIOR</v>
      </c>
      <c r="M184" s="9" t="str">
        <f t="shared" si="15"/>
        <v>JARF</v>
      </c>
      <c r="N184" s="9">
        <f t="shared" si="17"/>
        <v>171</v>
      </c>
      <c r="O184" s="9" t="str">
        <f t="shared" si="16"/>
        <v>IBRAHIM KALEEL</v>
      </c>
      <c r="P184" s="5" t="s">
        <v>15</v>
      </c>
      <c r="Q184" s="8">
        <v>6</v>
      </c>
      <c r="R184"/>
      <c r="S184" s="10" t="e">
        <f t="shared" si="18"/>
        <v>#N/A</v>
      </c>
    </row>
    <row r="185" spans="11:19" x14ac:dyDescent="0.45">
      <c r="K185" s="14">
        <v>181</v>
      </c>
      <c r="L185" s="9" t="str">
        <f t="shared" si="14"/>
        <v>SUPER SENIOR</v>
      </c>
      <c r="M185" s="9" t="str">
        <f t="shared" si="15"/>
        <v>DAHF</v>
      </c>
      <c r="N185" s="9">
        <f t="shared" si="17"/>
        <v>171</v>
      </c>
      <c r="O185" s="9" t="str">
        <f t="shared" si="16"/>
        <v>ABDUL YOUNUS</v>
      </c>
      <c r="P185" s="5" t="s">
        <v>295</v>
      </c>
      <c r="Q185" s="8">
        <v>6</v>
      </c>
      <c r="R185"/>
      <c r="S185" s="10" t="e">
        <f t="shared" si="18"/>
        <v>#N/A</v>
      </c>
    </row>
    <row r="186" spans="11:19" x14ac:dyDescent="0.45">
      <c r="K186" s="14">
        <v>182</v>
      </c>
      <c r="L186" s="9" t="str">
        <f t="shared" si="14"/>
        <v>SENIOR</v>
      </c>
      <c r="M186" s="9" t="str">
        <f t="shared" si="15"/>
        <v>JARF</v>
      </c>
      <c r="N186" s="9">
        <f t="shared" si="17"/>
        <v>171</v>
      </c>
      <c r="O186" s="9" t="str">
        <f t="shared" si="16"/>
        <v>MUHAMMED SABITH ALI TM</v>
      </c>
      <c r="P186" s="5" t="s">
        <v>229</v>
      </c>
      <c r="Q186" s="8">
        <v>6</v>
      </c>
      <c r="R186"/>
      <c r="S186" s="10" t="e">
        <f t="shared" si="18"/>
        <v>#N/A</v>
      </c>
    </row>
    <row r="187" spans="11:19" x14ac:dyDescent="0.45">
      <c r="K187" s="14">
        <v>183</v>
      </c>
      <c r="L187" s="9" t="str">
        <f t="shared" si="14"/>
        <v>SUPER SENIOR</v>
      </c>
      <c r="M187" s="9" t="str">
        <f t="shared" si="15"/>
        <v>BADF</v>
      </c>
      <c r="N187" s="9">
        <f t="shared" si="17"/>
        <v>171</v>
      </c>
      <c r="O187" s="9" t="str">
        <f t="shared" si="16"/>
        <v>MUHAMMED MA</v>
      </c>
      <c r="P187" s="5" t="s">
        <v>292</v>
      </c>
      <c r="Q187" s="8">
        <v>6</v>
      </c>
      <c r="R187"/>
      <c r="S187" s="10" t="e">
        <f t="shared" si="18"/>
        <v>#N/A</v>
      </c>
    </row>
    <row r="188" spans="11:19" x14ac:dyDescent="0.45">
      <c r="K188" s="14">
        <v>184</v>
      </c>
      <c r="L188" s="9" t="str">
        <f t="shared" si="14"/>
        <v>SENIOR</v>
      </c>
      <c r="M188" s="9" t="str">
        <f t="shared" si="15"/>
        <v>DAHF</v>
      </c>
      <c r="N188" s="9">
        <f t="shared" si="17"/>
        <v>171</v>
      </c>
      <c r="O188" s="9" t="str">
        <f t="shared" si="16"/>
        <v>ABDUL FATHAH AHAMMED C</v>
      </c>
      <c r="P188" s="5" t="s">
        <v>235</v>
      </c>
      <c r="Q188" s="8">
        <v>6</v>
      </c>
      <c r="R188"/>
      <c r="S188" s="10" t="e">
        <f t="shared" si="18"/>
        <v>#N/A</v>
      </c>
    </row>
    <row r="189" spans="11:19" x14ac:dyDescent="0.45">
      <c r="K189" s="14">
        <v>185</v>
      </c>
      <c r="L189" s="9" t="str">
        <f t="shared" si="14"/>
        <v>JUNIOR</v>
      </c>
      <c r="M189" s="9" t="str">
        <f t="shared" si="15"/>
        <v>DAHF</v>
      </c>
      <c r="N189" s="9">
        <f t="shared" si="17"/>
        <v>171</v>
      </c>
      <c r="O189" s="9" t="str">
        <f t="shared" si="16"/>
        <v>AMEEN RAHMAN MTP</v>
      </c>
      <c r="P189" s="5" t="s">
        <v>138</v>
      </c>
      <c r="Q189" s="8">
        <v>6</v>
      </c>
      <c r="R189"/>
      <c r="S189" s="10" t="e">
        <f t="shared" si="18"/>
        <v>#N/A</v>
      </c>
    </row>
    <row r="190" spans="11:19" x14ac:dyDescent="0.45">
      <c r="K190" s="14">
        <v>186</v>
      </c>
      <c r="L190" s="9" t="str">
        <f t="shared" si="14"/>
        <v>JUNIOR</v>
      </c>
      <c r="M190" s="9" t="str">
        <f t="shared" si="15"/>
        <v>JARF</v>
      </c>
      <c r="N190" s="9">
        <f t="shared" si="17"/>
        <v>171</v>
      </c>
      <c r="O190" s="9" t="str">
        <f t="shared" si="16"/>
        <v>MEERAN MOHIUDHEEN RAFIH</v>
      </c>
      <c r="P190" s="5" t="s">
        <v>156</v>
      </c>
      <c r="Q190" s="8">
        <v>6</v>
      </c>
      <c r="R190"/>
      <c r="S190" s="10" t="e">
        <f t="shared" si="18"/>
        <v>#N/A</v>
      </c>
    </row>
    <row r="191" spans="11:19" x14ac:dyDescent="0.45">
      <c r="K191" s="14">
        <v>187</v>
      </c>
      <c r="L191" s="9" t="str">
        <f t="shared" si="14"/>
        <v>SUPER SENIOR</v>
      </c>
      <c r="M191" s="9" t="str">
        <f t="shared" si="15"/>
        <v>JARF</v>
      </c>
      <c r="N191" s="9">
        <f t="shared" si="17"/>
        <v>171</v>
      </c>
      <c r="O191" s="9" t="str">
        <f t="shared" si="16"/>
        <v>THAMJEED TM</v>
      </c>
      <c r="P191" s="5" t="s">
        <v>333</v>
      </c>
      <c r="Q191" s="8">
        <v>6</v>
      </c>
      <c r="R191"/>
      <c r="S191" s="10" t="e">
        <f t="shared" si="18"/>
        <v>#N/A</v>
      </c>
    </row>
    <row r="192" spans="11:19" x14ac:dyDescent="0.45">
      <c r="K192" s="14">
        <v>188</v>
      </c>
      <c r="L192" s="9" t="str">
        <f t="shared" si="14"/>
        <v>JUNIOR</v>
      </c>
      <c r="M192" s="9" t="str">
        <f t="shared" si="15"/>
        <v>BADF</v>
      </c>
      <c r="N192" s="9">
        <f t="shared" si="17"/>
        <v>171</v>
      </c>
      <c r="O192" s="9" t="str">
        <f t="shared" si="16"/>
        <v>MOHAMMAD IJAN</v>
      </c>
      <c r="P192" s="5" t="s">
        <v>160</v>
      </c>
      <c r="Q192" s="8">
        <v>6</v>
      </c>
      <c r="R192"/>
      <c r="S192" s="10" t="e">
        <f t="shared" si="18"/>
        <v>#N/A</v>
      </c>
    </row>
    <row r="193" spans="11:19" x14ac:dyDescent="0.45">
      <c r="K193" s="14">
        <v>189</v>
      </c>
      <c r="L193" s="9" t="str">
        <f t="shared" si="14"/>
        <v>SUB JUNIOR</v>
      </c>
      <c r="M193" s="9" t="str">
        <f t="shared" si="15"/>
        <v>BADF</v>
      </c>
      <c r="N193" s="9">
        <f t="shared" si="17"/>
        <v>171</v>
      </c>
      <c r="O193" s="9" t="str">
        <f t="shared" si="16"/>
        <v>SHAHUL HAMEED B.I</v>
      </c>
      <c r="P193" s="5" t="s">
        <v>122</v>
      </c>
      <c r="Q193" s="8">
        <v>6</v>
      </c>
      <c r="R193"/>
      <c r="S193" s="10" t="e">
        <f t="shared" si="18"/>
        <v>#N/A</v>
      </c>
    </row>
    <row r="194" spans="11:19" x14ac:dyDescent="0.45">
      <c r="K194" s="14">
        <v>190</v>
      </c>
      <c r="L194" s="9" t="str">
        <f t="shared" si="14"/>
        <v>SENIOR</v>
      </c>
      <c r="M194" s="9" t="str">
        <f t="shared" si="15"/>
        <v>BADF</v>
      </c>
      <c r="N194" s="9">
        <f t="shared" si="17"/>
        <v>190</v>
      </c>
      <c r="O194" s="9" t="str">
        <f t="shared" si="16"/>
        <v>ABDUL RAHMAN ANFHAL M I</v>
      </c>
      <c r="P194" s="5" t="s">
        <v>189</v>
      </c>
      <c r="Q194" s="8">
        <v>5</v>
      </c>
      <c r="R194"/>
      <c r="S194" s="10" t="e">
        <f t="shared" si="18"/>
        <v>#N/A</v>
      </c>
    </row>
    <row r="195" spans="11:19" x14ac:dyDescent="0.45">
      <c r="K195" s="14">
        <v>191</v>
      </c>
      <c r="L195" s="9" t="str">
        <f t="shared" si="14"/>
        <v>SUPER SENIOR</v>
      </c>
      <c r="M195" s="9" t="str">
        <f t="shared" si="15"/>
        <v>BADF</v>
      </c>
      <c r="N195" s="9">
        <f t="shared" si="17"/>
        <v>190</v>
      </c>
      <c r="O195" s="9" t="str">
        <f t="shared" si="16"/>
        <v>ABOOBACKER SIDDIK</v>
      </c>
      <c r="P195" s="5" t="s">
        <v>317</v>
      </c>
      <c r="Q195" s="8">
        <v>5</v>
      </c>
      <c r="R195"/>
      <c r="S195" s="10" t="e">
        <f t="shared" si="18"/>
        <v>#N/A</v>
      </c>
    </row>
    <row r="196" spans="11:19" x14ac:dyDescent="0.45">
      <c r="K196" s="14">
        <v>192</v>
      </c>
      <c r="L196" s="9" t="str">
        <f t="shared" si="14"/>
        <v>SENIOR</v>
      </c>
      <c r="M196" s="9" t="str">
        <f t="shared" si="15"/>
        <v>FANT</v>
      </c>
      <c r="N196" s="9">
        <f t="shared" si="17"/>
        <v>190</v>
      </c>
      <c r="O196" s="9" t="str">
        <f t="shared" si="16"/>
        <v>ABDULLA SALMAN FARIS M</v>
      </c>
      <c r="P196" s="5" t="s">
        <v>191</v>
      </c>
      <c r="Q196" s="8">
        <v>5</v>
      </c>
      <c r="R196"/>
      <c r="S196" s="10" t="e">
        <f t="shared" si="18"/>
        <v>#N/A</v>
      </c>
    </row>
    <row r="197" spans="11:19" x14ac:dyDescent="0.45">
      <c r="K197" s="14">
        <v>193</v>
      </c>
      <c r="L197" s="9" t="str">
        <f t="shared" ref="L197:L260" si="19">_xlfn.IFNA(VLOOKUP(P197,f_details_of_candidates,4,FALSE),"")</f>
        <v>JUNIOR</v>
      </c>
      <c r="M197" s="9" t="str">
        <f t="shared" ref="M197:M260" si="20">_xlfn.IFNA(VLOOKUP(P197,f_details_of_candidates,3,FALSE),"")</f>
        <v>BADF</v>
      </c>
      <c r="N197" s="9">
        <f t="shared" si="17"/>
        <v>190</v>
      </c>
      <c r="O197" s="9" t="str">
        <f t="shared" ref="O197:O260" si="21">_xlfn.IFNA(VLOOKUP(P197,f_details_of_candidates,2,FALSE),"")</f>
        <v>ZAINUL ABID K</v>
      </c>
      <c r="P197" s="5" t="s">
        <v>125</v>
      </c>
      <c r="Q197" s="8">
        <v>5</v>
      </c>
      <c r="R197"/>
      <c r="S197" s="10" t="e">
        <f t="shared" si="18"/>
        <v>#N/A</v>
      </c>
    </row>
    <row r="198" spans="11:19" x14ac:dyDescent="0.45">
      <c r="K198" s="14">
        <v>194</v>
      </c>
      <c r="L198" s="9" t="str">
        <f t="shared" si="19"/>
        <v>SUB JUNIOR</v>
      </c>
      <c r="M198" s="9" t="str">
        <f t="shared" si="20"/>
        <v>JARF</v>
      </c>
      <c r="N198" s="9">
        <f t="shared" ref="N198:N261" si="22">IF(P198&lt;&gt;0,RANK(Q198,Q$5:Q$326,0),"")</f>
        <v>190</v>
      </c>
      <c r="O198" s="9" t="str">
        <f t="shared" si="21"/>
        <v>MOHAMMAD AJWAD</v>
      </c>
      <c r="P198" s="5" t="s">
        <v>82</v>
      </c>
      <c r="Q198" s="8">
        <v>5</v>
      </c>
      <c r="R198"/>
      <c r="S198" s="10" t="e">
        <f t="shared" ref="S198:S261" si="23">RANK(R198,R$5:R$264,0)</f>
        <v>#N/A</v>
      </c>
    </row>
    <row r="199" spans="11:19" x14ac:dyDescent="0.45">
      <c r="K199" s="14">
        <v>195</v>
      </c>
      <c r="L199" s="9" t="str">
        <f t="shared" si="19"/>
        <v>JUNIOR</v>
      </c>
      <c r="M199" s="9" t="str">
        <f t="shared" si="20"/>
        <v>FANT</v>
      </c>
      <c r="N199" s="9">
        <f t="shared" si="22"/>
        <v>190</v>
      </c>
      <c r="O199" s="9" t="str">
        <f t="shared" si="21"/>
        <v>AHMAD MUBASHAR</v>
      </c>
      <c r="P199" s="5" t="s">
        <v>127</v>
      </c>
      <c r="Q199" s="8">
        <v>5</v>
      </c>
      <c r="R199"/>
      <c r="S199" s="10" t="e">
        <f t="shared" si="23"/>
        <v>#N/A</v>
      </c>
    </row>
    <row r="200" spans="11:19" x14ac:dyDescent="0.45">
      <c r="K200" s="14">
        <v>196</v>
      </c>
      <c r="L200" s="9" t="str">
        <f t="shared" si="19"/>
        <v>SUB JUNIOR</v>
      </c>
      <c r="M200" s="9" t="str">
        <f t="shared" si="20"/>
        <v>DAHF</v>
      </c>
      <c r="N200" s="9">
        <f t="shared" si="22"/>
        <v>190</v>
      </c>
      <c r="O200" s="9" t="str">
        <f t="shared" si="21"/>
        <v>MOHAMMED NAFIH</v>
      </c>
      <c r="P200" s="5" t="s">
        <v>74</v>
      </c>
      <c r="Q200" s="8">
        <v>5</v>
      </c>
      <c r="R200"/>
      <c r="S200" s="10" t="e">
        <f t="shared" si="23"/>
        <v>#N/A</v>
      </c>
    </row>
    <row r="201" spans="11:19" x14ac:dyDescent="0.45">
      <c r="K201" s="14">
        <v>197</v>
      </c>
      <c r="L201" s="9" t="str">
        <f t="shared" si="19"/>
        <v>SUB JUNIOR</v>
      </c>
      <c r="M201" s="9" t="str">
        <f t="shared" si="20"/>
        <v>FANT</v>
      </c>
      <c r="N201" s="9">
        <f t="shared" si="22"/>
        <v>197</v>
      </c>
      <c r="O201" s="9" t="str">
        <f t="shared" si="21"/>
        <v>Mohammad Yaseen</v>
      </c>
      <c r="P201" s="5" t="s">
        <v>102</v>
      </c>
      <c r="Q201" s="8">
        <v>4</v>
      </c>
      <c r="R201"/>
      <c r="S201" s="10" t="e">
        <f t="shared" si="23"/>
        <v>#N/A</v>
      </c>
    </row>
    <row r="202" spans="11:19" x14ac:dyDescent="0.45">
      <c r="K202" s="14">
        <v>198</v>
      </c>
      <c r="L202" s="9" t="str">
        <f t="shared" si="19"/>
        <v>SUPER SENIOR</v>
      </c>
      <c r="M202" s="9" t="str">
        <f t="shared" si="20"/>
        <v>DAHF</v>
      </c>
      <c r="N202" s="9">
        <f t="shared" si="22"/>
        <v>197</v>
      </c>
      <c r="O202" s="9" t="str">
        <f t="shared" si="21"/>
        <v>JALALUDHEEN K</v>
      </c>
      <c r="P202" s="5" t="s">
        <v>253</v>
      </c>
      <c r="Q202" s="8">
        <v>4</v>
      </c>
      <c r="R202"/>
      <c r="S202" s="10" t="e">
        <f t="shared" si="23"/>
        <v>#N/A</v>
      </c>
    </row>
    <row r="203" spans="11:19" x14ac:dyDescent="0.45">
      <c r="K203" s="14">
        <v>199</v>
      </c>
      <c r="L203" s="9" t="str">
        <f t="shared" si="19"/>
        <v>SUPER SENIOR</v>
      </c>
      <c r="M203" s="9" t="str">
        <f t="shared" si="20"/>
        <v>JARF</v>
      </c>
      <c r="N203" s="9">
        <f t="shared" si="22"/>
        <v>197</v>
      </c>
      <c r="O203" s="9" t="str">
        <f t="shared" si="21"/>
        <v>ZULFIKARALI</v>
      </c>
      <c r="P203" s="5" t="s">
        <v>264</v>
      </c>
      <c r="Q203" s="8">
        <v>4</v>
      </c>
      <c r="R203"/>
      <c r="S203" s="10" t="e">
        <f t="shared" si="23"/>
        <v>#N/A</v>
      </c>
    </row>
    <row r="204" spans="11:19" x14ac:dyDescent="0.45">
      <c r="K204" s="14">
        <v>200</v>
      </c>
      <c r="L204" s="9" t="str">
        <f t="shared" si="19"/>
        <v>SUPER SENIOR</v>
      </c>
      <c r="M204" s="9" t="str">
        <f t="shared" si="20"/>
        <v>BADF</v>
      </c>
      <c r="N204" s="9">
        <f t="shared" si="22"/>
        <v>197</v>
      </c>
      <c r="O204" s="9" t="str">
        <f t="shared" si="21"/>
        <v>ASGAR ALI</v>
      </c>
      <c r="P204" s="5" t="s">
        <v>331</v>
      </c>
      <c r="Q204" s="8">
        <v>4</v>
      </c>
      <c r="R204"/>
      <c r="S204" s="10" t="e">
        <f t="shared" si="23"/>
        <v>#N/A</v>
      </c>
    </row>
    <row r="205" spans="11:19" x14ac:dyDescent="0.45">
      <c r="K205" s="14">
        <v>201</v>
      </c>
      <c r="L205" s="9" t="str">
        <f t="shared" si="19"/>
        <v>SUPER SENIOR</v>
      </c>
      <c r="M205" s="9" t="str">
        <f t="shared" si="20"/>
        <v>JARF</v>
      </c>
      <c r="N205" s="9">
        <f t="shared" si="22"/>
        <v>197</v>
      </c>
      <c r="O205" s="9" t="str">
        <f t="shared" si="21"/>
        <v>MOHAMMED RAZI</v>
      </c>
      <c r="P205" s="5" t="s">
        <v>251</v>
      </c>
      <c r="Q205" s="8">
        <v>4</v>
      </c>
      <c r="R205"/>
      <c r="S205" s="10" t="e">
        <f t="shared" si="23"/>
        <v>#N/A</v>
      </c>
    </row>
    <row r="206" spans="11:19" x14ac:dyDescent="0.45">
      <c r="K206" s="14">
        <v>202</v>
      </c>
      <c r="L206" s="9" t="str">
        <f t="shared" si="19"/>
        <v>SENIOR</v>
      </c>
      <c r="M206" s="9" t="str">
        <f t="shared" si="20"/>
        <v>JARF</v>
      </c>
      <c r="N206" s="9">
        <f t="shared" si="22"/>
        <v>197</v>
      </c>
      <c r="O206" s="9" t="str">
        <f t="shared" si="21"/>
        <v>ABDUL SALAM ARIF</v>
      </c>
      <c r="P206" s="5" t="s">
        <v>204</v>
      </c>
      <c r="Q206" s="8">
        <v>4</v>
      </c>
      <c r="R206"/>
      <c r="S206" s="10" t="e">
        <f t="shared" si="23"/>
        <v>#N/A</v>
      </c>
    </row>
    <row r="207" spans="11:19" x14ac:dyDescent="0.45">
      <c r="K207" s="14">
        <v>203</v>
      </c>
      <c r="L207" s="9" t="str">
        <f t="shared" si="19"/>
        <v>SENIOR</v>
      </c>
      <c r="M207" s="9" t="str">
        <f t="shared" si="20"/>
        <v>JARF</v>
      </c>
      <c r="N207" s="9">
        <f t="shared" si="22"/>
        <v>197</v>
      </c>
      <c r="O207" s="9" t="str">
        <f t="shared" si="21"/>
        <v>SEYYAD MUHAMMED FAHMAN</v>
      </c>
      <c r="P207" s="5" t="s">
        <v>196</v>
      </c>
      <c r="Q207" s="8">
        <v>4</v>
      </c>
      <c r="R207"/>
      <c r="S207" s="10" t="e">
        <f t="shared" si="23"/>
        <v>#N/A</v>
      </c>
    </row>
    <row r="208" spans="11:19" x14ac:dyDescent="0.45">
      <c r="K208" s="14">
        <v>204</v>
      </c>
      <c r="L208" s="9" t="str">
        <f t="shared" si="19"/>
        <v>SENIOR</v>
      </c>
      <c r="M208" s="9" t="str">
        <f t="shared" si="20"/>
        <v>FANT</v>
      </c>
      <c r="N208" s="9">
        <f t="shared" si="22"/>
        <v>197</v>
      </c>
      <c r="O208" s="9" t="str">
        <f t="shared" si="21"/>
        <v>AHMAD AMEEN T S</v>
      </c>
      <c r="P208" s="5" t="s">
        <v>221</v>
      </c>
      <c r="Q208" s="8">
        <v>4</v>
      </c>
      <c r="R208"/>
      <c r="S208" s="10" t="e">
        <f t="shared" si="23"/>
        <v>#N/A</v>
      </c>
    </row>
    <row r="209" spans="11:19" x14ac:dyDescent="0.45">
      <c r="K209" s="14">
        <v>205</v>
      </c>
      <c r="L209" s="9" t="str">
        <f t="shared" si="19"/>
        <v>SUPER SENIOR</v>
      </c>
      <c r="M209" s="9" t="str">
        <f t="shared" si="20"/>
        <v>DAHF</v>
      </c>
      <c r="N209" s="9">
        <f t="shared" si="22"/>
        <v>197</v>
      </c>
      <c r="O209" s="9" t="str">
        <f t="shared" si="21"/>
        <v>ABDULLA M HAKEEM</v>
      </c>
      <c r="P209" s="5" t="s">
        <v>266</v>
      </c>
      <c r="Q209" s="8">
        <v>4</v>
      </c>
      <c r="R209"/>
      <c r="S209" s="10" t="e">
        <f t="shared" si="23"/>
        <v>#N/A</v>
      </c>
    </row>
    <row r="210" spans="11:19" x14ac:dyDescent="0.45">
      <c r="K210" s="14">
        <v>206</v>
      </c>
      <c r="L210" s="9" t="str">
        <f t="shared" si="19"/>
        <v>SENIOR</v>
      </c>
      <c r="M210" s="9" t="str">
        <f t="shared" si="20"/>
        <v>DAHF</v>
      </c>
      <c r="N210" s="9">
        <f t="shared" si="22"/>
        <v>197</v>
      </c>
      <c r="O210" s="9" t="str">
        <f t="shared" si="21"/>
        <v>MUHAMMED AHMASH K</v>
      </c>
      <c r="P210" s="5" t="s">
        <v>230</v>
      </c>
      <c r="Q210" s="8">
        <v>4</v>
      </c>
      <c r="R210"/>
      <c r="S210" s="10" t="e">
        <f t="shared" si="23"/>
        <v>#N/A</v>
      </c>
    </row>
    <row r="211" spans="11:19" x14ac:dyDescent="0.45">
      <c r="K211" s="14">
        <v>207</v>
      </c>
      <c r="L211" s="9" t="str">
        <f t="shared" si="19"/>
        <v>SUPER SENIOR</v>
      </c>
      <c r="M211" s="9" t="str">
        <f t="shared" si="20"/>
        <v>DAHF</v>
      </c>
      <c r="N211" s="9">
        <f t="shared" si="22"/>
        <v>197</v>
      </c>
      <c r="O211" s="9" t="str">
        <f t="shared" si="21"/>
        <v>MOHAMMAD ISMAIL SINAN KM</v>
      </c>
      <c r="P211" s="5" t="s">
        <v>300</v>
      </c>
      <c r="Q211" s="8">
        <v>4</v>
      </c>
      <c r="R211"/>
      <c r="S211" s="10" t="e">
        <f t="shared" si="23"/>
        <v>#N/A</v>
      </c>
    </row>
    <row r="212" spans="11:19" x14ac:dyDescent="0.45">
      <c r="K212" s="14">
        <v>208</v>
      </c>
      <c r="L212" s="9" t="str">
        <f t="shared" si="19"/>
        <v>SUB JUNIOR</v>
      </c>
      <c r="M212" s="9" t="str">
        <f t="shared" si="20"/>
        <v>DAHF</v>
      </c>
      <c r="N212" s="9">
        <f t="shared" si="22"/>
        <v>208</v>
      </c>
      <c r="O212" s="9" t="str">
        <f t="shared" si="21"/>
        <v>K MUHAMMAD JALAL</v>
      </c>
      <c r="P212" s="5" t="s">
        <v>69</v>
      </c>
      <c r="Q212" s="8">
        <v>3.5</v>
      </c>
      <c r="R212"/>
      <c r="S212" s="10" t="e">
        <f t="shared" si="23"/>
        <v>#N/A</v>
      </c>
    </row>
    <row r="213" spans="11:19" x14ac:dyDescent="0.45">
      <c r="K213" s="14">
        <v>209</v>
      </c>
      <c r="L213" s="9" t="str">
        <f t="shared" si="19"/>
        <v>JUNIOR</v>
      </c>
      <c r="M213" s="9" t="str">
        <f t="shared" si="20"/>
        <v>FANT</v>
      </c>
      <c r="N213" s="9">
        <f t="shared" si="22"/>
        <v>209</v>
      </c>
      <c r="O213" s="9" t="str">
        <f t="shared" si="21"/>
        <v>ABDULLA FAHAD T.U</v>
      </c>
      <c r="P213" s="5" t="s">
        <v>171</v>
      </c>
      <c r="Q213" s="8">
        <v>3</v>
      </c>
      <c r="R213"/>
      <c r="S213" s="10" t="e">
        <f t="shared" si="23"/>
        <v>#N/A</v>
      </c>
    </row>
    <row r="214" spans="11:19" x14ac:dyDescent="0.45">
      <c r="K214" s="14">
        <v>210</v>
      </c>
      <c r="L214" s="9" t="str">
        <f t="shared" si="19"/>
        <v>SUPER SENIOR</v>
      </c>
      <c r="M214" s="9" t="str">
        <f t="shared" si="20"/>
        <v>JARF</v>
      </c>
      <c r="N214" s="9">
        <f t="shared" si="22"/>
        <v>209</v>
      </c>
      <c r="O214" s="9" t="str">
        <f t="shared" si="21"/>
        <v>MUHAMMAD SHANEED.</v>
      </c>
      <c r="P214" s="5" t="s">
        <v>255</v>
      </c>
      <c r="Q214" s="8">
        <v>3</v>
      </c>
      <c r="R214"/>
      <c r="S214" s="10" t="e">
        <f t="shared" si="23"/>
        <v>#N/A</v>
      </c>
    </row>
    <row r="215" spans="11:19" x14ac:dyDescent="0.45">
      <c r="K215" s="14">
        <v>211</v>
      </c>
      <c r="L215" s="9" t="str">
        <f t="shared" si="19"/>
        <v>JUNIOR</v>
      </c>
      <c r="M215" s="9" t="str">
        <f t="shared" si="20"/>
        <v>JARF</v>
      </c>
      <c r="N215" s="9">
        <f t="shared" si="22"/>
        <v>209</v>
      </c>
      <c r="O215" s="9" t="str">
        <f t="shared" si="21"/>
        <v>MOHAMMED BAQIR TS</v>
      </c>
      <c r="P215" s="5" t="s">
        <v>23</v>
      </c>
      <c r="Q215" s="8">
        <v>3</v>
      </c>
      <c r="R215"/>
      <c r="S215" s="10" t="e">
        <f t="shared" si="23"/>
        <v>#N/A</v>
      </c>
    </row>
    <row r="216" spans="11:19" x14ac:dyDescent="0.45">
      <c r="K216" s="14">
        <v>212</v>
      </c>
      <c r="L216" s="9" t="str">
        <f t="shared" si="19"/>
        <v>SUPER SENIOR</v>
      </c>
      <c r="M216" s="9" t="str">
        <f t="shared" si="20"/>
        <v>JARF</v>
      </c>
      <c r="N216" s="9">
        <f t="shared" si="22"/>
        <v>209</v>
      </c>
      <c r="O216" s="9" t="str">
        <f t="shared" si="21"/>
        <v>MUHAMMED SHANAVAS M.A</v>
      </c>
      <c r="P216" s="5" t="s">
        <v>299</v>
      </c>
      <c r="Q216" s="8">
        <v>3</v>
      </c>
      <c r="R216"/>
      <c r="S216" s="10" t="e">
        <f t="shared" si="23"/>
        <v>#N/A</v>
      </c>
    </row>
    <row r="217" spans="11:19" x14ac:dyDescent="0.45">
      <c r="K217" s="14">
        <v>213</v>
      </c>
      <c r="L217" s="9" t="str">
        <f t="shared" si="19"/>
        <v>SUPER SENIOR</v>
      </c>
      <c r="M217" s="9" t="str">
        <f t="shared" si="20"/>
        <v>DAHF</v>
      </c>
      <c r="N217" s="9">
        <f t="shared" si="22"/>
        <v>209</v>
      </c>
      <c r="O217" s="9" t="str">
        <f t="shared" si="21"/>
        <v>MUHAMMED SIFARATH T A</v>
      </c>
      <c r="P217" s="5" t="s">
        <v>334</v>
      </c>
      <c r="Q217" s="8">
        <v>3</v>
      </c>
      <c r="R217"/>
      <c r="S217" s="10" t="e">
        <f t="shared" si="23"/>
        <v>#N/A</v>
      </c>
    </row>
    <row r="218" spans="11:19" x14ac:dyDescent="0.45">
      <c r="K218" s="14">
        <v>214</v>
      </c>
      <c r="L218" s="9" t="str">
        <f t="shared" si="19"/>
        <v>SUB JUNIOR</v>
      </c>
      <c r="M218" s="9" t="str">
        <f t="shared" si="20"/>
        <v>FANT</v>
      </c>
      <c r="N218" s="9">
        <f t="shared" si="22"/>
        <v>209</v>
      </c>
      <c r="O218" s="9" t="str">
        <f t="shared" si="21"/>
        <v>MUHAMMED ADNAN K.A</v>
      </c>
      <c r="P218" s="5" t="s">
        <v>108</v>
      </c>
      <c r="Q218" s="8">
        <v>3</v>
      </c>
      <c r="R218"/>
      <c r="S218" s="10" t="e">
        <f t="shared" si="23"/>
        <v>#N/A</v>
      </c>
    </row>
    <row r="219" spans="11:19" x14ac:dyDescent="0.45">
      <c r="K219" s="14">
        <v>215</v>
      </c>
      <c r="L219" s="9" t="str">
        <f t="shared" si="19"/>
        <v>SUB JUNIOR</v>
      </c>
      <c r="M219" s="9" t="str">
        <f t="shared" si="20"/>
        <v>FANT</v>
      </c>
      <c r="N219" s="9">
        <f t="shared" si="22"/>
        <v>209</v>
      </c>
      <c r="O219" s="9" t="str">
        <f t="shared" si="21"/>
        <v>MUHAMMED BIN JAFAR</v>
      </c>
      <c r="P219" s="5" t="s">
        <v>16</v>
      </c>
      <c r="Q219" s="8">
        <v>3</v>
      </c>
      <c r="R219"/>
      <c r="S219" s="10" t="e">
        <f t="shared" si="23"/>
        <v>#N/A</v>
      </c>
    </row>
    <row r="220" spans="11:19" x14ac:dyDescent="0.45">
      <c r="K220" s="14">
        <v>216</v>
      </c>
      <c r="L220" s="9" t="str">
        <f t="shared" si="19"/>
        <v>SUB JUNIOR</v>
      </c>
      <c r="M220" s="9" t="str">
        <f t="shared" si="20"/>
        <v>BADF</v>
      </c>
      <c r="N220" s="9">
        <f t="shared" si="22"/>
        <v>209</v>
      </c>
      <c r="O220" s="9" t="str">
        <f t="shared" si="21"/>
        <v>ABDULLAH A P</v>
      </c>
      <c r="P220" s="5" t="s">
        <v>97</v>
      </c>
      <c r="Q220" s="8">
        <v>3</v>
      </c>
      <c r="R220"/>
      <c r="S220" s="10" t="e">
        <f t="shared" si="23"/>
        <v>#N/A</v>
      </c>
    </row>
    <row r="221" spans="11:19" x14ac:dyDescent="0.45">
      <c r="K221" s="14">
        <v>217</v>
      </c>
      <c r="L221" s="9" t="str">
        <f t="shared" si="19"/>
        <v>SENIOR</v>
      </c>
      <c r="M221" s="9" t="str">
        <f t="shared" si="20"/>
        <v>BADF</v>
      </c>
      <c r="N221" s="9">
        <f t="shared" si="22"/>
        <v>209</v>
      </c>
      <c r="O221" s="9" t="str">
        <f t="shared" si="21"/>
        <v>AJMAL AM</v>
      </c>
      <c r="P221" s="5" t="s">
        <v>237</v>
      </c>
      <c r="Q221" s="8">
        <v>3</v>
      </c>
      <c r="R221"/>
      <c r="S221" s="10" t="e">
        <f t="shared" si="23"/>
        <v>#N/A</v>
      </c>
    </row>
    <row r="222" spans="11:19" x14ac:dyDescent="0.45">
      <c r="K222" s="14">
        <v>218</v>
      </c>
      <c r="L222" s="9" t="str">
        <f t="shared" si="19"/>
        <v>SENIOR</v>
      </c>
      <c r="M222" s="9" t="str">
        <f t="shared" si="20"/>
        <v>DAHF</v>
      </c>
      <c r="N222" s="9">
        <f t="shared" si="22"/>
        <v>209</v>
      </c>
      <c r="O222" s="9" t="str">
        <f t="shared" si="21"/>
        <v>SHADIL AHAMED</v>
      </c>
      <c r="P222" s="5" t="s">
        <v>193</v>
      </c>
      <c r="Q222" s="8">
        <v>3</v>
      </c>
      <c r="R222"/>
      <c r="S222" s="10" t="e">
        <f t="shared" si="23"/>
        <v>#N/A</v>
      </c>
    </row>
    <row r="223" spans="11:19" x14ac:dyDescent="0.45">
      <c r="K223" s="14">
        <v>219</v>
      </c>
      <c r="L223" s="9" t="str">
        <f t="shared" si="19"/>
        <v>SUB JUNIOR</v>
      </c>
      <c r="M223" s="9" t="str">
        <f t="shared" si="20"/>
        <v>FANT</v>
      </c>
      <c r="N223" s="9">
        <f t="shared" si="22"/>
        <v>209</v>
      </c>
      <c r="O223" s="9" t="str">
        <f t="shared" si="21"/>
        <v>MUHAMMED MOIDEEN KUNHI</v>
      </c>
      <c r="P223" s="5" t="s">
        <v>91</v>
      </c>
      <c r="Q223" s="8">
        <v>3</v>
      </c>
      <c r="R223"/>
      <c r="S223" s="10" t="e">
        <f t="shared" si="23"/>
        <v>#N/A</v>
      </c>
    </row>
    <row r="224" spans="11:19" x14ac:dyDescent="0.45">
      <c r="K224" s="14">
        <v>220</v>
      </c>
      <c r="L224" s="9" t="str">
        <f t="shared" si="19"/>
        <v>SUPER SENIOR</v>
      </c>
      <c r="M224" s="9" t="str">
        <f t="shared" si="20"/>
        <v>BADF</v>
      </c>
      <c r="N224" s="9">
        <f t="shared" si="22"/>
        <v>209</v>
      </c>
      <c r="O224" s="9" t="str">
        <f t="shared" si="21"/>
        <v>MOHAMMED ATHHAR THAYYIB MS</v>
      </c>
      <c r="P224" s="5" t="s">
        <v>309</v>
      </c>
      <c r="Q224" s="8">
        <v>3</v>
      </c>
      <c r="R224"/>
      <c r="S224" s="10" t="e">
        <f t="shared" si="23"/>
        <v>#N/A</v>
      </c>
    </row>
    <row r="225" spans="11:19" x14ac:dyDescent="0.45">
      <c r="K225" s="14">
        <v>221</v>
      </c>
      <c r="L225" s="9" t="str">
        <f t="shared" si="19"/>
        <v>JUNIOR</v>
      </c>
      <c r="M225" s="9" t="str">
        <f t="shared" si="20"/>
        <v>BADF</v>
      </c>
      <c r="N225" s="9">
        <f t="shared" si="22"/>
        <v>209</v>
      </c>
      <c r="O225" s="9" t="str">
        <f t="shared" si="21"/>
        <v>ABDUL GAFOOR</v>
      </c>
      <c r="P225" s="5" t="s">
        <v>172</v>
      </c>
      <c r="Q225" s="8">
        <v>3</v>
      </c>
      <c r="R225"/>
      <c r="S225" s="10" t="e">
        <f t="shared" si="23"/>
        <v>#N/A</v>
      </c>
    </row>
    <row r="226" spans="11:19" x14ac:dyDescent="0.45">
      <c r="K226" s="14">
        <v>222</v>
      </c>
      <c r="L226" s="9" t="str">
        <f t="shared" si="19"/>
        <v>SUB JUNIOR</v>
      </c>
      <c r="M226" s="9" t="str">
        <f t="shared" si="20"/>
        <v>BADF</v>
      </c>
      <c r="N226" s="9">
        <f t="shared" si="22"/>
        <v>209</v>
      </c>
      <c r="O226" s="9" t="str">
        <f t="shared" si="21"/>
        <v>MUHAMMED UVAIS.P. S</v>
      </c>
      <c r="P226" s="5" t="s">
        <v>88</v>
      </c>
      <c r="Q226" s="8">
        <v>3</v>
      </c>
      <c r="R226"/>
      <c r="S226" s="10" t="e">
        <f t="shared" si="23"/>
        <v>#N/A</v>
      </c>
    </row>
    <row r="227" spans="11:19" x14ac:dyDescent="0.45">
      <c r="K227" s="14">
        <v>223</v>
      </c>
      <c r="L227" s="9" t="str">
        <f t="shared" si="19"/>
        <v>SUB JUNIOR</v>
      </c>
      <c r="M227" s="9" t="str">
        <f t="shared" si="20"/>
        <v>BADF</v>
      </c>
      <c r="N227" s="9">
        <f t="shared" si="22"/>
        <v>209</v>
      </c>
      <c r="O227" s="9" t="str">
        <f t="shared" si="21"/>
        <v>Mohammed Sinan N.A</v>
      </c>
      <c r="P227" s="5" t="s">
        <v>13</v>
      </c>
      <c r="Q227" s="8">
        <v>3</v>
      </c>
      <c r="R227"/>
      <c r="S227" s="10" t="e">
        <f t="shared" si="23"/>
        <v>#N/A</v>
      </c>
    </row>
    <row r="228" spans="11:19" x14ac:dyDescent="0.45">
      <c r="K228" s="14">
        <v>224</v>
      </c>
      <c r="L228" s="9" t="str">
        <f t="shared" si="19"/>
        <v>SENIOR</v>
      </c>
      <c r="M228" s="9" t="str">
        <f t="shared" si="20"/>
        <v>JARF</v>
      </c>
      <c r="N228" s="9">
        <f t="shared" si="22"/>
        <v>224</v>
      </c>
      <c r="O228" s="9" t="str">
        <f t="shared" si="21"/>
        <v>IMRAN HUSSAIN TI</v>
      </c>
      <c r="P228" s="5" t="s">
        <v>225</v>
      </c>
      <c r="Q228" s="8">
        <v>2</v>
      </c>
      <c r="R228"/>
      <c r="S228" s="10" t="e">
        <f t="shared" si="23"/>
        <v>#N/A</v>
      </c>
    </row>
    <row r="229" spans="11:19" x14ac:dyDescent="0.45">
      <c r="K229" s="14">
        <v>225</v>
      </c>
      <c r="L229" s="9" t="str">
        <f t="shared" si="19"/>
        <v>SUPER SENIOR</v>
      </c>
      <c r="M229" s="9" t="str">
        <f t="shared" si="20"/>
        <v>DAHF</v>
      </c>
      <c r="N229" s="9">
        <f t="shared" si="22"/>
        <v>224</v>
      </c>
      <c r="O229" s="9" t="str">
        <f t="shared" si="21"/>
        <v>MUHAMMED MUFEED</v>
      </c>
      <c r="P229" s="5" t="s">
        <v>42</v>
      </c>
      <c r="Q229" s="8">
        <v>2</v>
      </c>
      <c r="R229"/>
      <c r="S229" s="10" t="e">
        <f t="shared" si="23"/>
        <v>#N/A</v>
      </c>
    </row>
    <row r="230" spans="11:19" x14ac:dyDescent="0.45">
      <c r="K230" s="14">
        <v>226</v>
      </c>
      <c r="L230" s="9" t="str">
        <f t="shared" si="19"/>
        <v>SUPER SENIOR</v>
      </c>
      <c r="M230" s="9" t="str">
        <f t="shared" si="20"/>
        <v>FANT</v>
      </c>
      <c r="N230" s="9">
        <f t="shared" si="22"/>
        <v>224</v>
      </c>
      <c r="O230" s="9" t="str">
        <f t="shared" si="21"/>
        <v>MOHAMMED ANFAHUDEEN T.A</v>
      </c>
      <c r="P230" s="5" t="s">
        <v>41</v>
      </c>
      <c r="Q230" s="8">
        <v>2</v>
      </c>
      <c r="R230"/>
      <c r="S230" s="10" t="e">
        <f t="shared" si="23"/>
        <v>#N/A</v>
      </c>
    </row>
    <row r="231" spans="11:19" x14ac:dyDescent="0.45">
      <c r="K231" s="14">
        <v>227</v>
      </c>
      <c r="L231" s="9" t="str">
        <f t="shared" si="19"/>
        <v>SENIOR</v>
      </c>
      <c r="M231" s="9" t="str">
        <f t="shared" si="20"/>
        <v>FANT</v>
      </c>
      <c r="N231" s="9">
        <f t="shared" si="22"/>
        <v>224</v>
      </c>
      <c r="O231" s="9" t="str">
        <f t="shared" si="21"/>
        <v>MUHAMMED KASHIF</v>
      </c>
      <c r="P231" s="5" t="s">
        <v>184</v>
      </c>
      <c r="Q231" s="8">
        <v>2</v>
      </c>
      <c r="R231"/>
      <c r="S231" s="10" t="e">
        <f t="shared" si="23"/>
        <v>#N/A</v>
      </c>
    </row>
    <row r="232" spans="11:19" x14ac:dyDescent="0.45">
      <c r="K232" s="14">
        <v>228</v>
      </c>
      <c r="L232" s="9" t="str">
        <f t="shared" si="19"/>
        <v>SENIOR</v>
      </c>
      <c r="M232" s="9" t="str">
        <f t="shared" si="20"/>
        <v>DAHF</v>
      </c>
      <c r="N232" s="9">
        <f t="shared" si="22"/>
        <v>224</v>
      </c>
      <c r="O232" s="9" t="str">
        <f t="shared" si="21"/>
        <v>MUHAMMED ASHKKAR ALI</v>
      </c>
      <c r="P232" s="5" t="s">
        <v>223</v>
      </c>
      <c r="Q232" s="8">
        <v>2</v>
      </c>
      <c r="R232"/>
      <c r="S232" s="10" t="e">
        <f t="shared" si="23"/>
        <v>#N/A</v>
      </c>
    </row>
    <row r="233" spans="11:19" x14ac:dyDescent="0.45">
      <c r="K233" s="14">
        <v>229</v>
      </c>
      <c r="L233" s="9" t="str">
        <f t="shared" si="19"/>
        <v>JUNIOR</v>
      </c>
      <c r="M233" s="9" t="str">
        <f t="shared" si="20"/>
        <v>BADF</v>
      </c>
      <c r="N233" s="9">
        <f t="shared" si="22"/>
        <v>224</v>
      </c>
      <c r="O233" s="9" t="str">
        <f t="shared" si="21"/>
        <v>HABEEB RAHMAN CA</v>
      </c>
      <c r="P233" s="5" t="s">
        <v>22</v>
      </c>
      <c r="Q233" s="8">
        <v>2</v>
      </c>
      <c r="R233"/>
      <c r="S233" s="10" t="e">
        <f t="shared" si="23"/>
        <v>#N/A</v>
      </c>
    </row>
    <row r="234" spans="11:19" x14ac:dyDescent="0.45">
      <c r="K234" s="14">
        <v>230</v>
      </c>
      <c r="L234" s="9" t="str">
        <f t="shared" si="19"/>
        <v>SENIOR</v>
      </c>
      <c r="M234" s="9" t="str">
        <f t="shared" si="20"/>
        <v>BADF</v>
      </c>
      <c r="N234" s="9">
        <f t="shared" si="22"/>
        <v>224</v>
      </c>
      <c r="O234" s="9" t="str">
        <f t="shared" si="21"/>
        <v>MOHAMMED MUBASHIR</v>
      </c>
      <c r="P234" s="5" t="s">
        <v>207</v>
      </c>
      <c r="Q234" s="8">
        <v>2</v>
      </c>
      <c r="R234"/>
      <c r="S234" s="10" t="e">
        <f t="shared" si="23"/>
        <v>#N/A</v>
      </c>
    </row>
    <row r="235" spans="11:19" x14ac:dyDescent="0.45">
      <c r="K235" s="14">
        <v>231</v>
      </c>
      <c r="L235" s="9" t="str">
        <f t="shared" si="19"/>
        <v>JUNIOR</v>
      </c>
      <c r="M235" s="9" t="str">
        <f t="shared" si="20"/>
        <v>DAHF</v>
      </c>
      <c r="N235" s="9">
        <f t="shared" si="22"/>
        <v>231</v>
      </c>
      <c r="O235" s="9" t="str">
        <f t="shared" si="21"/>
        <v>THANSEEHU RAHMAN</v>
      </c>
      <c r="P235" s="5" t="s">
        <v>151</v>
      </c>
      <c r="Q235" s="8">
        <v>1</v>
      </c>
      <c r="R235"/>
      <c r="S235" s="10" t="e">
        <f t="shared" si="23"/>
        <v>#N/A</v>
      </c>
    </row>
    <row r="236" spans="11:19" x14ac:dyDescent="0.45">
      <c r="K236" s="14">
        <v>232</v>
      </c>
      <c r="L236" s="9" t="str">
        <f t="shared" si="19"/>
        <v>SENIOR</v>
      </c>
      <c r="M236" s="9" t="str">
        <f t="shared" si="20"/>
        <v>BADF</v>
      </c>
      <c r="N236" s="9">
        <f t="shared" si="22"/>
        <v>231</v>
      </c>
      <c r="O236" s="9" t="str">
        <f t="shared" si="21"/>
        <v>MOHAMMED FAQRUDDEEN RAZI</v>
      </c>
      <c r="P236" s="5" t="s">
        <v>206</v>
      </c>
      <c r="Q236" s="8">
        <v>1</v>
      </c>
      <c r="R236"/>
      <c r="S236" s="10" t="e">
        <f t="shared" si="23"/>
        <v>#N/A</v>
      </c>
    </row>
    <row r="237" spans="11:19" x14ac:dyDescent="0.45">
      <c r="K237" s="14">
        <v>233</v>
      </c>
      <c r="L237" s="9" t="str">
        <f t="shared" si="19"/>
        <v>SUPER SENIOR</v>
      </c>
      <c r="M237" s="9" t="str">
        <f t="shared" si="20"/>
        <v>DAHF</v>
      </c>
      <c r="N237" s="9">
        <f t="shared" si="22"/>
        <v>231</v>
      </c>
      <c r="O237" s="9" t="str">
        <f t="shared" si="21"/>
        <v>MUHAMMED SAJJAD</v>
      </c>
      <c r="P237" s="5" t="s">
        <v>324</v>
      </c>
      <c r="Q237" s="8">
        <v>1</v>
      </c>
      <c r="R237"/>
      <c r="S237" s="10" t="e">
        <f t="shared" si="23"/>
        <v>#N/A</v>
      </c>
    </row>
    <row r="238" spans="11:19" x14ac:dyDescent="0.45">
      <c r="K238" s="14">
        <v>234</v>
      </c>
      <c r="L238" s="9" t="str">
        <f t="shared" si="19"/>
        <v>SENIOR</v>
      </c>
      <c r="M238" s="9" t="str">
        <f t="shared" si="20"/>
        <v>BADF</v>
      </c>
      <c r="N238" s="9">
        <f t="shared" si="22"/>
        <v>231</v>
      </c>
      <c r="O238" s="9" t="str">
        <f t="shared" si="21"/>
        <v>HASAN YASIR</v>
      </c>
      <c r="P238" s="5" t="s">
        <v>234</v>
      </c>
      <c r="Q238" s="8">
        <v>1</v>
      </c>
      <c r="R238"/>
      <c r="S238" s="10" t="e">
        <f t="shared" si="23"/>
        <v>#N/A</v>
      </c>
    </row>
    <row r="239" spans="11:19" x14ac:dyDescent="0.45">
      <c r="K239" s="14">
        <v>235</v>
      </c>
      <c r="L239" s="9" t="str">
        <f t="shared" si="19"/>
        <v>SUPER SENIOR</v>
      </c>
      <c r="M239" s="9" t="str">
        <f t="shared" si="20"/>
        <v>FANT</v>
      </c>
      <c r="N239" s="9">
        <f t="shared" si="22"/>
        <v>231</v>
      </c>
      <c r="O239" s="9" t="str">
        <f t="shared" si="21"/>
        <v>MUHAMMED MUZAMMIL</v>
      </c>
      <c r="P239" s="5" t="s">
        <v>307</v>
      </c>
      <c r="Q239" s="8">
        <v>1</v>
      </c>
      <c r="R239"/>
      <c r="S239" s="10" t="e">
        <f t="shared" si="23"/>
        <v>#N/A</v>
      </c>
    </row>
    <row r="240" spans="11:19" x14ac:dyDescent="0.45">
      <c r="K240" s="14">
        <v>236</v>
      </c>
      <c r="L240" s="9" t="str">
        <f t="shared" si="19"/>
        <v>SENIOR</v>
      </c>
      <c r="M240" s="9" t="str">
        <f t="shared" si="20"/>
        <v>BADF</v>
      </c>
      <c r="N240" s="9">
        <f t="shared" si="22"/>
        <v>231</v>
      </c>
      <c r="O240" s="9" t="str">
        <f t="shared" si="21"/>
        <v>SULAIMAN FAHAD AP</v>
      </c>
      <c r="P240" s="5" t="s">
        <v>30</v>
      </c>
      <c r="Q240" s="8">
        <v>1</v>
      </c>
      <c r="R240"/>
      <c r="S240" s="10" t="e">
        <f t="shared" si="23"/>
        <v>#N/A</v>
      </c>
    </row>
    <row r="241" spans="11:19" x14ac:dyDescent="0.45">
      <c r="K241" s="14">
        <v>237</v>
      </c>
      <c r="L241" s="9" t="str">
        <f t="shared" si="19"/>
        <v>JUNIOR</v>
      </c>
      <c r="M241" s="9" t="str">
        <f t="shared" si="20"/>
        <v>JARF</v>
      </c>
      <c r="N241" s="9">
        <f t="shared" si="22"/>
        <v>231</v>
      </c>
      <c r="O241" s="9" t="str">
        <f t="shared" si="21"/>
        <v>MOHAMMED SABIK BM</v>
      </c>
      <c r="P241" s="5" t="s">
        <v>140</v>
      </c>
      <c r="Q241" s="8">
        <v>1</v>
      </c>
      <c r="R241"/>
      <c r="S241" s="10" t="e">
        <f t="shared" si="23"/>
        <v>#N/A</v>
      </c>
    </row>
    <row r="242" spans="11:19" x14ac:dyDescent="0.45">
      <c r="K242" s="14">
        <v>238</v>
      </c>
      <c r="L242" s="9" t="str">
        <f t="shared" si="19"/>
        <v>SUPER SENIOR</v>
      </c>
      <c r="M242" s="9" t="str">
        <f t="shared" si="20"/>
        <v>FANT</v>
      </c>
      <c r="N242" s="9">
        <f t="shared" si="22"/>
        <v>231</v>
      </c>
      <c r="O242" s="9" t="str">
        <f t="shared" si="21"/>
        <v>MUHAMMED ANAS M.N</v>
      </c>
      <c r="P242" s="5" t="s">
        <v>265</v>
      </c>
      <c r="Q242" s="8">
        <v>1</v>
      </c>
      <c r="R242"/>
      <c r="S242" s="10" t="e">
        <f t="shared" si="23"/>
        <v>#N/A</v>
      </c>
    </row>
    <row r="243" spans="11:19" x14ac:dyDescent="0.45">
      <c r="K243" s="14">
        <v>239</v>
      </c>
      <c r="L243" s="9" t="str">
        <f t="shared" si="19"/>
        <v>JUNIOR</v>
      </c>
      <c r="M243" s="9" t="str">
        <f t="shared" si="20"/>
        <v>JARF</v>
      </c>
      <c r="N243" s="9">
        <f t="shared" si="22"/>
        <v>231</v>
      </c>
      <c r="O243" s="9" t="str">
        <f t="shared" si="21"/>
        <v>ABDUL SA-AD</v>
      </c>
      <c r="P243" s="5" t="s">
        <v>143</v>
      </c>
      <c r="Q243" s="8">
        <v>1</v>
      </c>
      <c r="R243"/>
      <c r="S243" s="10" t="e">
        <f t="shared" si="23"/>
        <v>#N/A</v>
      </c>
    </row>
    <row r="244" spans="11:19" x14ac:dyDescent="0.45">
      <c r="K244" s="14">
        <v>240</v>
      </c>
      <c r="L244" s="9" t="str">
        <f t="shared" si="19"/>
        <v>SUPER SENIOR</v>
      </c>
      <c r="M244" s="9" t="str">
        <f t="shared" si="20"/>
        <v>JARF</v>
      </c>
      <c r="N244" s="9">
        <f t="shared" si="22"/>
        <v>231</v>
      </c>
      <c r="O244" s="9" t="str">
        <f t="shared" si="21"/>
        <v>HASSAN SHADDAD UM</v>
      </c>
      <c r="P244" s="5" t="s">
        <v>267</v>
      </c>
      <c r="Q244" s="8">
        <v>1</v>
      </c>
      <c r="R244"/>
      <c r="S244" s="10" t="e">
        <f t="shared" si="23"/>
        <v>#N/A</v>
      </c>
    </row>
    <row r="245" spans="11:19" x14ac:dyDescent="0.45">
      <c r="K245" s="14">
        <v>241</v>
      </c>
      <c r="L245" s="9" t="str">
        <f t="shared" si="19"/>
        <v>SENIOR</v>
      </c>
      <c r="M245" s="9" t="str">
        <f t="shared" si="20"/>
        <v>BADF</v>
      </c>
      <c r="N245" s="9">
        <f t="shared" si="22"/>
        <v>231</v>
      </c>
      <c r="O245" s="9" t="str">
        <f t="shared" si="21"/>
        <v>MUHAMMAD SHAZIN</v>
      </c>
      <c r="P245" s="5" t="s">
        <v>215</v>
      </c>
      <c r="Q245" s="8">
        <v>1</v>
      </c>
      <c r="R245"/>
      <c r="S245" s="10" t="e">
        <f t="shared" si="23"/>
        <v>#N/A</v>
      </c>
    </row>
    <row r="246" spans="11:19" x14ac:dyDescent="0.45">
      <c r="K246" s="14">
        <v>242</v>
      </c>
      <c r="L246" s="9" t="str">
        <f t="shared" si="19"/>
        <v>JUNIOR</v>
      </c>
      <c r="M246" s="9" t="str">
        <f t="shared" si="20"/>
        <v>DAHF</v>
      </c>
      <c r="N246" s="9">
        <f t="shared" si="22"/>
        <v>231</v>
      </c>
      <c r="O246" s="9" t="str">
        <f t="shared" si="21"/>
        <v>MOHAMMED RAED. UA</v>
      </c>
      <c r="P246" s="5" t="s">
        <v>148</v>
      </c>
      <c r="Q246" s="8">
        <v>1</v>
      </c>
      <c r="R246"/>
      <c r="S246" s="10" t="e">
        <f t="shared" si="23"/>
        <v>#N/A</v>
      </c>
    </row>
    <row r="247" spans="11:19" x14ac:dyDescent="0.45">
      <c r="K247" s="14">
        <v>243</v>
      </c>
      <c r="L247" s="9" t="str">
        <f t="shared" si="19"/>
        <v>SUPER SENIOR</v>
      </c>
      <c r="M247" s="9" t="str">
        <f t="shared" si="20"/>
        <v>JARF</v>
      </c>
      <c r="N247" s="9">
        <f t="shared" si="22"/>
        <v>231</v>
      </c>
      <c r="O247" s="9" t="str">
        <f t="shared" si="21"/>
        <v>SALMAN FARIS</v>
      </c>
      <c r="P247" s="5" t="s">
        <v>308</v>
      </c>
      <c r="Q247" s="8">
        <v>1</v>
      </c>
      <c r="R247"/>
      <c r="S247" s="10" t="e">
        <f t="shared" si="23"/>
        <v>#N/A</v>
      </c>
    </row>
    <row r="248" spans="11:19" x14ac:dyDescent="0.45">
      <c r="K248" s="14">
        <v>244</v>
      </c>
      <c r="L248" s="9" t="str">
        <f t="shared" si="19"/>
        <v>SUB JUNIOR</v>
      </c>
      <c r="M248" s="9" t="str">
        <f t="shared" si="20"/>
        <v>BADF</v>
      </c>
      <c r="N248" s="9">
        <f t="shared" si="22"/>
        <v>231</v>
      </c>
      <c r="O248" s="9" t="str">
        <f t="shared" si="21"/>
        <v>MOHAMMED RAFAN A</v>
      </c>
      <c r="P248" s="5" t="s">
        <v>87</v>
      </c>
      <c r="Q248" s="8">
        <v>1</v>
      </c>
      <c r="R248"/>
      <c r="S248" s="10" t="e">
        <f t="shared" si="23"/>
        <v>#N/A</v>
      </c>
    </row>
    <row r="249" spans="11:19" x14ac:dyDescent="0.45">
      <c r="K249" s="14">
        <v>245</v>
      </c>
      <c r="L249" s="9" t="str">
        <f t="shared" si="19"/>
        <v>SUB JUNIOR</v>
      </c>
      <c r="M249" s="9" t="str">
        <f t="shared" si="20"/>
        <v>BADF</v>
      </c>
      <c r="N249" s="9">
        <f t="shared" si="22"/>
        <v>231</v>
      </c>
      <c r="O249" s="9" t="str">
        <f t="shared" si="21"/>
        <v>MUHAMMED HAFEEZ P</v>
      </c>
      <c r="P249" s="5" t="s">
        <v>80</v>
      </c>
      <c r="Q249" s="8">
        <v>1</v>
      </c>
      <c r="R249"/>
      <c r="S249" s="10" t="e">
        <f t="shared" si="23"/>
        <v>#N/A</v>
      </c>
    </row>
    <row r="250" spans="11:19" x14ac:dyDescent="0.45">
      <c r="K250" s="14">
        <v>246</v>
      </c>
      <c r="L250" s="9" t="str">
        <f t="shared" si="19"/>
        <v>SENIOR</v>
      </c>
      <c r="M250" s="9" t="str">
        <f t="shared" si="20"/>
        <v>JARF</v>
      </c>
      <c r="N250" s="9">
        <f t="shared" si="22"/>
        <v>231</v>
      </c>
      <c r="O250" s="9" t="str">
        <f t="shared" si="21"/>
        <v>ADNAN ABDULLAH B A</v>
      </c>
      <c r="P250" s="5" t="s">
        <v>209</v>
      </c>
      <c r="Q250" s="8">
        <v>1</v>
      </c>
      <c r="R250"/>
      <c r="S250" s="10" t="e">
        <f t="shared" si="23"/>
        <v>#N/A</v>
      </c>
    </row>
    <row r="251" spans="11:19" x14ac:dyDescent="0.45">
      <c r="K251" s="14">
        <v>247</v>
      </c>
      <c r="L251" s="9" t="str">
        <f t="shared" si="19"/>
        <v>SENIOR</v>
      </c>
      <c r="M251" s="9" t="str">
        <f t="shared" si="20"/>
        <v>JARF</v>
      </c>
      <c r="N251" s="9">
        <f t="shared" si="22"/>
        <v>231</v>
      </c>
      <c r="O251" s="9" t="str">
        <f t="shared" si="21"/>
        <v>MUAHMMED ANAS P A</v>
      </c>
      <c r="P251" s="5" t="s">
        <v>199</v>
      </c>
      <c r="Q251" s="8">
        <v>1</v>
      </c>
      <c r="R251"/>
      <c r="S251" s="10" t="e">
        <f t="shared" si="23"/>
        <v>#N/A</v>
      </c>
    </row>
    <row r="252" spans="11:19" x14ac:dyDescent="0.45">
      <c r="K252" s="14">
        <v>248</v>
      </c>
      <c r="L252" s="9" t="str">
        <f t="shared" si="19"/>
        <v>JUNIOR</v>
      </c>
      <c r="M252" s="9" t="str">
        <f t="shared" si="20"/>
        <v>FANT</v>
      </c>
      <c r="N252" s="9">
        <f t="shared" si="22"/>
        <v>231</v>
      </c>
      <c r="O252" s="9" t="str">
        <f t="shared" si="21"/>
        <v>MUHAMMED SAHEEM ASHRAF</v>
      </c>
      <c r="P252" s="5" t="s">
        <v>135</v>
      </c>
      <c r="Q252" s="8">
        <v>1</v>
      </c>
      <c r="R252"/>
      <c r="S252" s="10" t="e">
        <f t="shared" si="23"/>
        <v>#N/A</v>
      </c>
    </row>
    <row r="253" spans="11:19" x14ac:dyDescent="0.45">
      <c r="K253" s="14">
        <v>249</v>
      </c>
      <c r="L253" s="9" t="str">
        <f t="shared" si="19"/>
        <v>SENIOR</v>
      </c>
      <c r="M253" s="9" t="str">
        <f t="shared" si="20"/>
        <v>JARF</v>
      </c>
      <c r="N253" s="9">
        <f t="shared" si="22"/>
        <v>231</v>
      </c>
      <c r="O253" s="9" t="str">
        <f t="shared" si="21"/>
        <v>ARIFUDEEN ABBAS A</v>
      </c>
      <c r="P253" s="5" t="s">
        <v>202</v>
      </c>
      <c r="Q253" s="8">
        <v>1</v>
      </c>
      <c r="R253"/>
      <c r="S253" s="10" t="e">
        <f t="shared" si="23"/>
        <v>#N/A</v>
      </c>
    </row>
    <row r="254" spans="11:19" x14ac:dyDescent="0.45">
      <c r="K254" s="14">
        <v>250</v>
      </c>
      <c r="L254" s="9" t="str">
        <f t="shared" si="19"/>
        <v>JUNIOR</v>
      </c>
      <c r="M254" s="9" t="str">
        <f t="shared" si="20"/>
        <v>FANT</v>
      </c>
      <c r="N254" s="9">
        <f t="shared" si="22"/>
        <v>231</v>
      </c>
      <c r="O254" s="9" t="str">
        <f t="shared" si="21"/>
        <v>RAFNAS P</v>
      </c>
      <c r="P254" s="5" t="s">
        <v>163</v>
      </c>
      <c r="Q254" s="8">
        <v>1</v>
      </c>
      <c r="R254"/>
      <c r="S254" s="10" t="e">
        <f t="shared" si="23"/>
        <v>#N/A</v>
      </c>
    </row>
    <row r="255" spans="11:19" x14ac:dyDescent="0.45">
      <c r="K255" s="14">
        <v>251</v>
      </c>
      <c r="L255" s="9" t="str">
        <f t="shared" si="19"/>
        <v>SUB JUNIOR</v>
      </c>
      <c r="M255" s="9" t="str">
        <f t="shared" si="20"/>
        <v>DAHF</v>
      </c>
      <c r="N255" s="9">
        <f t="shared" si="22"/>
        <v>231</v>
      </c>
      <c r="O255" s="9" t="str">
        <f t="shared" si="21"/>
        <v>FAZIL ABDULLA</v>
      </c>
      <c r="P255" s="5" t="s">
        <v>83</v>
      </c>
      <c r="Q255" s="8">
        <v>1</v>
      </c>
      <c r="R255"/>
      <c r="S255" s="10" t="e">
        <f t="shared" si="23"/>
        <v>#N/A</v>
      </c>
    </row>
    <row r="256" spans="11:19" x14ac:dyDescent="0.45">
      <c r="K256" s="14">
        <v>252</v>
      </c>
      <c r="L256" s="9" t="str">
        <f t="shared" si="19"/>
        <v>SUB JUNIOR</v>
      </c>
      <c r="M256" s="9" t="str">
        <f t="shared" si="20"/>
        <v>DAHF</v>
      </c>
      <c r="N256" s="9">
        <f t="shared" si="22"/>
        <v>231</v>
      </c>
      <c r="O256" s="9" t="str">
        <f t="shared" si="21"/>
        <v>MOHAMMED SHUAIB K M</v>
      </c>
      <c r="P256" s="5" t="s">
        <v>89</v>
      </c>
      <c r="Q256" s="8">
        <v>1</v>
      </c>
      <c r="R256"/>
      <c r="S256" s="10" t="e">
        <f t="shared" si="23"/>
        <v>#N/A</v>
      </c>
    </row>
    <row r="257" spans="11:19" x14ac:dyDescent="0.45">
      <c r="K257" s="14">
        <v>253</v>
      </c>
      <c r="L257" s="9" t="str">
        <f t="shared" si="19"/>
        <v>JUNIOR</v>
      </c>
      <c r="M257" s="9" t="str">
        <f t="shared" si="20"/>
        <v>JARF</v>
      </c>
      <c r="N257" s="9">
        <f t="shared" si="22"/>
        <v>231</v>
      </c>
      <c r="O257" s="9" t="str">
        <f t="shared" si="21"/>
        <v>MUHAMMED BASSIM. E</v>
      </c>
      <c r="P257" s="5" t="s">
        <v>154</v>
      </c>
      <c r="Q257" s="8">
        <v>1</v>
      </c>
      <c r="R257"/>
      <c r="S257" s="10" t="e">
        <f t="shared" si="23"/>
        <v>#N/A</v>
      </c>
    </row>
    <row r="258" spans="11:19" x14ac:dyDescent="0.45">
      <c r="K258" s="14">
        <v>254</v>
      </c>
      <c r="L258" s="9" t="str">
        <f t="shared" si="19"/>
        <v>SUPER SENIOR</v>
      </c>
      <c r="M258" s="9" t="str">
        <f t="shared" si="20"/>
        <v>DAHF</v>
      </c>
      <c r="N258" s="9">
        <f t="shared" si="22"/>
        <v>231</v>
      </c>
      <c r="O258" s="9" t="str">
        <f t="shared" si="21"/>
        <v>AHMMED HASHIM M</v>
      </c>
      <c r="P258" s="5" t="s">
        <v>258</v>
      </c>
      <c r="Q258" s="8">
        <v>1</v>
      </c>
      <c r="R258"/>
      <c r="S258" s="10" t="e">
        <f t="shared" si="23"/>
        <v>#N/A</v>
      </c>
    </row>
    <row r="259" spans="11:19" x14ac:dyDescent="0.45">
      <c r="K259" s="14">
        <v>255</v>
      </c>
      <c r="L259" s="9" t="str">
        <f t="shared" si="19"/>
        <v>SENIOR</v>
      </c>
      <c r="M259" s="9" t="str">
        <f t="shared" si="20"/>
        <v>BADF</v>
      </c>
      <c r="N259" s="9">
        <f t="shared" si="22"/>
        <v>255</v>
      </c>
      <c r="O259" s="9" t="str">
        <f t="shared" si="21"/>
        <v>MOHAMMED K H</v>
      </c>
      <c r="P259" s="5" t="s">
        <v>205</v>
      </c>
      <c r="Q259" s="8">
        <v>0</v>
      </c>
      <c r="R259"/>
      <c r="S259" s="10" t="e">
        <f t="shared" si="23"/>
        <v>#N/A</v>
      </c>
    </row>
    <row r="260" spans="11:19" x14ac:dyDescent="0.45">
      <c r="K260" s="14">
        <v>256</v>
      </c>
      <c r="L260" s="9" t="str">
        <f t="shared" si="19"/>
        <v>SUPER SENIOR</v>
      </c>
      <c r="M260" s="9" t="str">
        <f t="shared" si="20"/>
        <v>DAHF</v>
      </c>
      <c r="N260" s="9">
        <f t="shared" si="22"/>
        <v>255</v>
      </c>
      <c r="O260" s="9" t="str">
        <f t="shared" si="21"/>
        <v>MUHAMMED AKBAR NP</v>
      </c>
      <c r="P260" s="5" t="s">
        <v>322</v>
      </c>
      <c r="Q260" s="8">
        <v>0</v>
      </c>
      <c r="R260"/>
      <c r="S260" s="10" t="e">
        <f t="shared" si="23"/>
        <v>#N/A</v>
      </c>
    </row>
    <row r="261" spans="11:19" x14ac:dyDescent="0.45">
      <c r="K261" s="14">
        <v>257</v>
      </c>
      <c r="L261" s="9" t="str">
        <f t="shared" ref="L261:L324" si="24">_xlfn.IFNA(VLOOKUP(P261,f_details_of_candidates,4,FALSE),"")</f>
        <v>SUB JUNIOR</v>
      </c>
      <c r="M261" s="9">
        <f t="shared" ref="M261:M324" si="25">_xlfn.IFNA(VLOOKUP(P261,f_details_of_candidates,3,FALSE),"")</f>
        <v>0</v>
      </c>
      <c r="N261" s="9">
        <f t="shared" si="22"/>
        <v>255</v>
      </c>
      <c r="O261" s="9" t="str">
        <f t="shared" ref="O261:O324" si="26">_xlfn.IFNA(VLOOKUP(P261,f_details_of_candidates,2,FALSE),"")</f>
        <v>MUHAMMED T K</v>
      </c>
      <c r="P261" s="5" t="s">
        <v>70</v>
      </c>
      <c r="Q261" s="8">
        <v>0</v>
      </c>
      <c r="R261"/>
      <c r="S261" s="10" t="e">
        <f t="shared" si="23"/>
        <v>#N/A</v>
      </c>
    </row>
    <row r="262" spans="11:19" x14ac:dyDescent="0.45">
      <c r="K262" s="14">
        <v>258</v>
      </c>
      <c r="L262" s="9" t="str">
        <f t="shared" si="24"/>
        <v>SUB JUNIOR</v>
      </c>
      <c r="M262" s="9" t="str">
        <f t="shared" si="25"/>
        <v>FANT</v>
      </c>
      <c r="N262" s="9">
        <f t="shared" ref="N262:N325" si="27">IF(P262&lt;&gt;0,RANK(Q262,Q$5:Q$326,0),"")</f>
        <v>255</v>
      </c>
      <c r="O262" s="9" t="str">
        <f t="shared" si="26"/>
        <v>MUHAMMED ADHIL C H</v>
      </c>
      <c r="P262" s="5" t="s">
        <v>63</v>
      </c>
      <c r="Q262" s="8">
        <v>0</v>
      </c>
      <c r="R262"/>
      <c r="S262" s="10" t="e">
        <f t="shared" ref="S262:S325" si="28">RANK(R262,R$5:R$264,0)</f>
        <v>#N/A</v>
      </c>
    </row>
    <row r="263" spans="11:19" x14ac:dyDescent="0.45">
      <c r="K263" s="14">
        <v>259</v>
      </c>
      <c r="L263" s="9" t="str">
        <f t="shared" si="24"/>
        <v>SUPER SENIOR</v>
      </c>
      <c r="M263" s="9" t="str">
        <f t="shared" si="25"/>
        <v>DAHF</v>
      </c>
      <c r="N263" s="9">
        <f t="shared" si="27"/>
        <v>255</v>
      </c>
      <c r="O263" s="9" t="str">
        <f t="shared" si="26"/>
        <v>ABDUL RAHMAN</v>
      </c>
      <c r="P263" s="5" t="s">
        <v>329</v>
      </c>
      <c r="Q263" s="8">
        <v>0</v>
      </c>
      <c r="R263"/>
      <c r="S263" s="10" t="e">
        <f t="shared" si="28"/>
        <v>#N/A</v>
      </c>
    </row>
    <row r="264" spans="11:19" x14ac:dyDescent="0.45">
      <c r="K264" s="14">
        <v>260</v>
      </c>
      <c r="L264" s="9" t="str">
        <f t="shared" si="24"/>
        <v>SUPER SENIOR</v>
      </c>
      <c r="M264" s="9" t="str">
        <f t="shared" si="25"/>
        <v>FANT</v>
      </c>
      <c r="N264" s="9">
        <f t="shared" si="27"/>
        <v>255</v>
      </c>
      <c r="O264" s="9" t="str">
        <f t="shared" si="26"/>
        <v>AJMAL ANEES</v>
      </c>
      <c r="P264" s="5" t="s">
        <v>285</v>
      </c>
      <c r="Q264" s="8">
        <v>0</v>
      </c>
      <c r="R264"/>
      <c r="S264" s="10" t="e">
        <f t="shared" si="28"/>
        <v>#N/A</v>
      </c>
    </row>
    <row r="265" spans="11:19" x14ac:dyDescent="0.45">
      <c r="K265" s="14">
        <v>261</v>
      </c>
      <c r="L265" s="9" t="str">
        <f t="shared" si="24"/>
        <v>SUPER SENIOR</v>
      </c>
      <c r="M265" s="9" t="str">
        <f t="shared" si="25"/>
        <v>JARF</v>
      </c>
      <c r="N265" s="9">
        <f t="shared" si="27"/>
        <v>255</v>
      </c>
      <c r="O265" s="9" t="str">
        <f t="shared" si="26"/>
        <v>AHMAD BINYAMUL ASHIQUE</v>
      </c>
      <c r="P265" s="5" t="s">
        <v>313</v>
      </c>
      <c r="Q265" s="8">
        <v>0</v>
      </c>
      <c r="R265"/>
      <c r="S265" s="10" t="e">
        <f t="shared" si="28"/>
        <v>#N/A</v>
      </c>
    </row>
    <row r="266" spans="11:19" x14ac:dyDescent="0.45">
      <c r="K266" s="14">
        <v>262</v>
      </c>
      <c r="L266" s="9" t="str">
        <f t="shared" si="24"/>
        <v>SENIOR</v>
      </c>
      <c r="M266" s="9" t="str">
        <f t="shared" si="25"/>
        <v>DAHF</v>
      </c>
      <c r="N266" s="9">
        <f t="shared" si="27"/>
        <v>255</v>
      </c>
      <c r="O266" s="9" t="str">
        <f t="shared" si="26"/>
        <v>IBRAHIM AFIL</v>
      </c>
      <c r="P266" s="5" t="s">
        <v>26</v>
      </c>
      <c r="Q266" s="8">
        <v>0</v>
      </c>
      <c r="R266"/>
      <c r="S266" s="10" t="e">
        <f t="shared" si="28"/>
        <v>#N/A</v>
      </c>
    </row>
    <row r="267" spans="11:19" x14ac:dyDescent="0.45">
      <c r="K267" s="14">
        <v>263</v>
      </c>
      <c r="L267" s="9" t="str">
        <f t="shared" si="24"/>
        <v>JUNIOR</v>
      </c>
      <c r="M267" s="9" t="str">
        <f t="shared" si="25"/>
        <v>FANT</v>
      </c>
      <c r="N267" s="9">
        <f t="shared" si="27"/>
        <v>255</v>
      </c>
      <c r="O267" s="9" t="str">
        <f t="shared" si="26"/>
        <v>FAKRUDDIN NAFIL</v>
      </c>
      <c r="P267" s="5" t="s">
        <v>129</v>
      </c>
      <c r="Q267" s="8">
        <v>0</v>
      </c>
      <c r="R267"/>
      <c r="S267" s="10" t="e">
        <f t="shared" si="28"/>
        <v>#N/A</v>
      </c>
    </row>
    <row r="268" spans="11:19" x14ac:dyDescent="0.45">
      <c r="K268" s="14">
        <v>264</v>
      </c>
      <c r="L268" s="9" t="str">
        <f t="shared" si="24"/>
        <v>SUPER SENIOR</v>
      </c>
      <c r="M268" s="9" t="str">
        <f t="shared" si="25"/>
        <v>JARF</v>
      </c>
      <c r="N268" s="9">
        <f t="shared" si="27"/>
        <v>255</v>
      </c>
      <c r="O268" s="9" t="str">
        <f t="shared" si="26"/>
        <v>MUHAMMED ASBAQUE</v>
      </c>
      <c r="P268" s="5" t="s">
        <v>39</v>
      </c>
      <c r="Q268" s="8">
        <v>0</v>
      </c>
      <c r="R268"/>
      <c r="S268" s="10" t="e">
        <f t="shared" si="28"/>
        <v>#N/A</v>
      </c>
    </row>
    <row r="269" spans="11:19" x14ac:dyDescent="0.45">
      <c r="K269" s="14">
        <v>265</v>
      </c>
      <c r="L269" s="9" t="str">
        <f t="shared" si="24"/>
        <v>SENIOR</v>
      </c>
      <c r="M269" s="9" t="str">
        <f t="shared" si="25"/>
        <v>DAHF</v>
      </c>
      <c r="N269" s="9">
        <f t="shared" si="27"/>
        <v>255</v>
      </c>
      <c r="O269" s="9" t="str">
        <f t="shared" si="26"/>
        <v>MOHAMMED ABDUL KHADER NABAVI E A</v>
      </c>
      <c r="P269" s="5" t="s">
        <v>238</v>
      </c>
      <c r="Q269" s="8">
        <v>0</v>
      </c>
      <c r="R269"/>
      <c r="S269" s="10" t="e">
        <f t="shared" si="28"/>
        <v>#N/A</v>
      </c>
    </row>
    <row r="270" spans="11:19" x14ac:dyDescent="0.45">
      <c r="K270" s="14">
        <v>266</v>
      </c>
      <c r="L270" s="9" t="str">
        <f t="shared" si="24"/>
        <v>SUB JUNIOR</v>
      </c>
      <c r="M270" s="9" t="str">
        <f t="shared" si="25"/>
        <v>JARF</v>
      </c>
      <c r="N270" s="9">
        <f t="shared" si="27"/>
        <v>255</v>
      </c>
      <c r="O270" s="9" t="str">
        <f t="shared" si="26"/>
        <v>MUHAMMED ZAID</v>
      </c>
      <c r="P270" s="5" t="s">
        <v>79</v>
      </c>
      <c r="Q270" s="8">
        <v>0</v>
      </c>
      <c r="R270"/>
      <c r="S270" s="10" t="e">
        <f t="shared" si="28"/>
        <v>#N/A</v>
      </c>
    </row>
    <row r="271" spans="11:19" x14ac:dyDescent="0.45">
      <c r="K271" s="14">
        <v>267</v>
      </c>
      <c r="L271" s="9" t="str">
        <f t="shared" si="24"/>
        <v>SUB JUNIOR</v>
      </c>
      <c r="M271" s="9" t="str">
        <f t="shared" si="25"/>
        <v>JARF</v>
      </c>
      <c r="N271" s="9">
        <f t="shared" si="27"/>
        <v>255</v>
      </c>
      <c r="O271" s="9" t="str">
        <f t="shared" si="26"/>
        <v>JAUHAR ASHFAQUE MUHSIN</v>
      </c>
      <c r="P271" s="5" t="s">
        <v>85</v>
      </c>
      <c r="Q271" s="8">
        <v>0</v>
      </c>
      <c r="R271"/>
      <c r="S271" s="10" t="e">
        <f t="shared" si="28"/>
        <v>#N/A</v>
      </c>
    </row>
    <row r="272" spans="11:19" x14ac:dyDescent="0.45">
      <c r="K272" s="14">
        <v>268</v>
      </c>
      <c r="L272" s="9" t="str">
        <f t="shared" si="24"/>
        <v>SUPER SENIOR</v>
      </c>
      <c r="M272" s="9" t="str">
        <f t="shared" si="25"/>
        <v>FANT</v>
      </c>
      <c r="N272" s="9">
        <f t="shared" si="27"/>
        <v>255</v>
      </c>
      <c r="O272" s="9" t="str">
        <f t="shared" si="26"/>
        <v>MOHAMMED JAWAD A</v>
      </c>
      <c r="P272" s="5" t="s">
        <v>288</v>
      </c>
      <c r="Q272" s="8">
        <v>0</v>
      </c>
      <c r="R272"/>
      <c r="S272" s="10" t="e">
        <f t="shared" si="28"/>
        <v>#N/A</v>
      </c>
    </row>
    <row r="273" spans="11:19" x14ac:dyDescent="0.45">
      <c r="K273" s="14">
        <v>269</v>
      </c>
      <c r="L273" s="9" t="str">
        <f t="shared" si="24"/>
        <v>SENIOR</v>
      </c>
      <c r="M273" s="9" t="str">
        <f t="shared" si="25"/>
        <v>FANT</v>
      </c>
      <c r="N273" s="9">
        <f t="shared" si="27"/>
        <v>255</v>
      </c>
      <c r="O273" s="9" t="str">
        <f t="shared" si="26"/>
        <v>MUHAMMED ABDUL NASIF P.A</v>
      </c>
      <c r="P273" s="5" t="s">
        <v>216</v>
      </c>
      <c r="Q273" s="8">
        <v>0</v>
      </c>
      <c r="R273"/>
      <c r="S273" s="10" t="e">
        <f t="shared" si="28"/>
        <v>#N/A</v>
      </c>
    </row>
    <row r="274" spans="11:19" x14ac:dyDescent="0.45">
      <c r="K274" s="14">
        <v>270</v>
      </c>
      <c r="L274" s="9" t="str">
        <f t="shared" si="24"/>
        <v>SUPER SENIOR</v>
      </c>
      <c r="M274" s="9" t="str">
        <f t="shared" si="25"/>
        <v>JARF</v>
      </c>
      <c r="N274" s="9">
        <f t="shared" si="27"/>
        <v>255</v>
      </c>
      <c r="O274" s="9" t="str">
        <f t="shared" si="26"/>
        <v>AHAMMED MUBARAK KA</v>
      </c>
      <c r="P274" s="5" t="s">
        <v>289</v>
      </c>
      <c r="Q274" s="8">
        <v>0</v>
      </c>
      <c r="R274"/>
      <c r="S274" s="10" t="e">
        <f t="shared" si="28"/>
        <v>#N/A</v>
      </c>
    </row>
    <row r="275" spans="11:19" x14ac:dyDescent="0.45">
      <c r="K275" s="14">
        <v>271</v>
      </c>
      <c r="L275" s="9" t="str">
        <f t="shared" si="24"/>
        <v>SUPER SENIOR</v>
      </c>
      <c r="M275" s="9" t="str">
        <f t="shared" si="25"/>
        <v>BADF</v>
      </c>
      <c r="N275" s="9">
        <f t="shared" si="27"/>
        <v>255</v>
      </c>
      <c r="O275" s="9" t="str">
        <f t="shared" si="26"/>
        <v>MUHAMMED AYIZ</v>
      </c>
      <c r="P275" s="5" t="s">
        <v>315</v>
      </c>
      <c r="Q275" s="8">
        <v>0</v>
      </c>
      <c r="R275"/>
      <c r="S275" s="10" t="e">
        <f t="shared" si="28"/>
        <v>#N/A</v>
      </c>
    </row>
    <row r="276" spans="11:19" x14ac:dyDescent="0.45">
      <c r="K276" s="14">
        <v>272</v>
      </c>
      <c r="L276" s="9" t="str">
        <f t="shared" si="24"/>
        <v>JUNIOR</v>
      </c>
      <c r="M276" s="9" t="str">
        <f t="shared" si="25"/>
        <v>DAHF</v>
      </c>
      <c r="N276" s="9">
        <f t="shared" si="27"/>
        <v>255</v>
      </c>
      <c r="O276" s="9" t="str">
        <f t="shared" si="26"/>
        <v>MUHAMMED SHANIFM P</v>
      </c>
      <c r="P276" s="5" t="s">
        <v>149</v>
      </c>
      <c r="Q276" s="8">
        <v>0</v>
      </c>
      <c r="R276"/>
      <c r="S276" s="10" t="e">
        <f t="shared" si="28"/>
        <v>#N/A</v>
      </c>
    </row>
    <row r="277" spans="11:19" x14ac:dyDescent="0.45">
      <c r="K277" s="14">
        <v>273</v>
      </c>
      <c r="L277" s="9" t="str">
        <f t="shared" si="24"/>
        <v>SUB JUNIOR</v>
      </c>
      <c r="M277" s="9" t="str">
        <f t="shared" si="25"/>
        <v>DAHF</v>
      </c>
      <c r="N277" s="9">
        <f t="shared" si="27"/>
        <v>255</v>
      </c>
      <c r="O277" s="9" t="str">
        <f t="shared" si="26"/>
        <v>MOHAMMED HAFEEZ B</v>
      </c>
      <c r="P277" s="5" t="s">
        <v>81</v>
      </c>
      <c r="Q277" s="8">
        <v>0</v>
      </c>
      <c r="R277"/>
      <c r="S277" s="10" t="e">
        <f t="shared" si="28"/>
        <v>#N/A</v>
      </c>
    </row>
    <row r="278" spans="11:19" x14ac:dyDescent="0.45">
      <c r="K278" s="14">
        <v>274</v>
      </c>
      <c r="L278" s="9" t="str">
        <f t="shared" si="24"/>
        <v>SENIOR</v>
      </c>
      <c r="M278" s="9" t="str">
        <f t="shared" si="25"/>
        <v>DAHF</v>
      </c>
      <c r="N278" s="9">
        <f t="shared" si="27"/>
        <v>255</v>
      </c>
      <c r="O278" s="9" t="str">
        <f t="shared" si="26"/>
        <v>MOHAMMED HISHAM</v>
      </c>
      <c r="P278" s="5" t="s">
        <v>213</v>
      </c>
      <c r="Q278" s="8">
        <v>0</v>
      </c>
      <c r="R278"/>
      <c r="S278" s="10" t="e">
        <f t="shared" si="28"/>
        <v>#N/A</v>
      </c>
    </row>
    <row r="279" spans="11:19" x14ac:dyDescent="0.45">
      <c r="K279" s="14">
        <v>275</v>
      </c>
      <c r="L279" s="9" t="str">
        <f t="shared" si="24"/>
        <v>SENIOR</v>
      </c>
      <c r="M279" s="9" t="str">
        <f t="shared" si="25"/>
        <v>DAHF</v>
      </c>
      <c r="N279" s="9">
        <f t="shared" si="27"/>
        <v>255</v>
      </c>
      <c r="O279" s="9" t="str">
        <f t="shared" si="26"/>
        <v>Muhammed fahiz A K</v>
      </c>
      <c r="P279" s="5" t="s">
        <v>200</v>
      </c>
      <c r="Q279" s="8">
        <v>0</v>
      </c>
      <c r="R279"/>
      <c r="S279" s="10" t="e">
        <f t="shared" si="28"/>
        <v>#N/A</v>
      </c>
    </row>
    <row r="280" spans="11:19" x14ac:dyDescent="0.45">
      <c r="K280" s="14">
        <v>276</v>
      </c>
      <c r="L280" s="9" t="str">
        <f t="shared" si="24"/>
        <v>SUPER SENIOR</v>
      </c>
      <c r="M280" s="9" t="str">
        <f t="shared" si="25"/>
        <v>FANT</v>
      </c>
      <c r="N280" s="9">
        <f t="shared" si="27"/>
        <v>255</v>
      </c>
      <c r="O280" s="9" t="str">
        <f t="shared" si="26"/>
        <v>ISHAM V.K</v>
      </c>
      <c r="P280" s="5" t="s">
        <v>291</v>
      </c>
      <c r="Q280" s="8">
        <v>0</v>
      </c>
      <c r="R280"/>
      <c r="S280" s="10" t="e">
        <f t="shared" si="28"/>
        <v>#N/A</v>
      </c>
    </row>
    <row r="281" spans="11:19" x14ac:dyDescent="0.45">
      <c r="K281" s="14">
        <v>277</v>
      </c>
      <c r="L281" s="9" t="str">
        <f t="shared" si="24"/>
        <v>SUB JUNIOR</v>
      </c>
      <c r="M281" s="9" t="str">
        <f t="shared" si="25"/>
        <v>JARF</v>
      </c>
      <c r="N281" s="9">
        <f t="shared" si="27"/>
        <v>255</v>
      </c>
      <c r="O281" s="9" t="str">
        <f t="shared" si="26"/>
        <v>MUHAMMED HASHIR A K</v>
      </c>
      <c r="P281" s="5" t="s">
        <v>73</v>
      </c>
      <c r="Q281" s="8">
        <v>0</v>
      </c>
      <c r="R281"/>
      <c r="S281" s="10" t="e">
        <f t="shared" si="28"/>
        <v>#N/A</v>
      </c>
    </row>
    <row r="282" spans="11:19" x14ac:dyDescent="0.45">
      <c r="K282" s="14">
        <v>278</v>
      </c>
      <c r="L282" s="9" t="str">
        <f t="shared" si="24"/>
        <v>SENIOR</v>
      </c>
      <c r="M282" s="9" t="str">
        <f t="shared" si="25"/>
        <v>DAHF</v>
      </c>
      <c r="N282" s="9">
        <f t="shared" si="27"/>
        <v>255</v>
      </c>
      <c r="O282" s="9" t="str">
        <f t="shared" si="26"/>
        <v>MAHIN SINAN</v>
      </c>
      <c r="P282" s="5" t="s">
        <v>211</v>
      </c>
      <c r="Q282" s="8">
        <v>0</v>
      </c>
      <c r="R282"/>
      <c r="S282" s="10" t="e">
        <f t="shared" si="28"/>
        <v>#N/A</v>
      </c>
    </row>
    <row r="283" spans="11:19" x14ac:dyDescent="0.45">
      <c r="K283" s="14">
        <v>279</v>
      </c>
      <c r="L283" s="9" t="str">
        <f t="shared" si="24"/>
        <v>SUPER SENIOR</v>
      </c>
      <c r="M283" s="9">
        <f t="shared" si="25"/>
        <v>0</v>
      </c>
      <c r="N283" s="9">
        <f t="shared" si="27"/>
        <v>255</v>
      </c>
      <c r="O283" s="9" t="str">
        <f t="shared" si="26"/>
        <v>MAHAMMED ASHIK</v>
      </c>
      <c r="P283" s="5" t="s">
        <v>327</v>
      </c>
      <c r="Q283" s="8">
        <v>0</v>
      </c>
      <c r="R283"/>
      <c r="S283" s="10" t="e">
        <f t="shared" si="28"/>
        <v>#N/A</v>
      </c>
    </row>
    <row r="284" spans="11:19" x14ac:dyDescent="0.45">
      <c r="K284" s="14">
        <v>280</v>
      </c>
      <c r="L284" s="9" t="str">
        <f t="shared" si="24"/>
        <v>SUPER SENIOR</v>
      </c>
      <c r="M284" s="9" t="str">
        <f t="shared" si="25"/>
        <v>JARF</v>
      </c>
      <c r="N284" s="9">
        <f t="shared" si="27"/>
        <v>255</v>
      </c>
      <c r="O284" s="9" t="str">
        <f t="shared" si="26"/>
        <v>MUHAMMED RASHAD KA</v>
      </c>
      <c r="P284" s="5" t="s">
        <v>293</v>
      </c>
      <c r="Q284" s="8">
        <v>0</v>
      </c>
      <c r="R284"/>
      <c r="S284" s="10" t="e">
        <f t="shared" si="28"/>
        <v>#N/A</v>
      </c>
    </row>
    <row r="285" spans="11:19" x14ac:dyDescent="0.45">
      <c r="K285" s="14">
        <v>281</v>
      </c>
      <c r="L285" s="9" t="str">
        <f t="shared" si="24"/>
        <v>SUPER SENIOR</v>
      </c>
      <c r="M285" s="9" t="str">
        <f t="shared" si="25"/>
        <v>DAHF</v>
      </c>
      <c r="N285" s="9">
        <f t="shared" si="27"/>
        <v>255</v>
      </c>
      <c r="O285" s="9" t="str">
        <f t="shared" si="26"/>
        <v>MUHAMMAD RAZI</v>
      </c>
      <c r="P285" s="5" t="s">
        <v>254</v>
      </c>
      <c r="Q285" s="8">
        <v>0</v>
      </c>
      <c r="R285"/>
      <c r="S285" s="10" t="e">
        <f t="shared" si="28"/>
        <v>#N/A</v>
      </c>
    </row>
    <row r="286" spans="11:19" x14ac:dyDescent="0.45">
      <c r="K286" s="14">
        <v>282</v>
      </c>
      <c r="L286" s="9" t="str">
        <f t="shared" si="24"/>
        <v>SUPER SENIOR</v>
      </c>
      <c r="M286" s="9" t="str">
        <f t="shared" si="25"/>
        <v>BADF</v>
      </c>
      <c r="N286" s="9">
        <f t="shared" si="27"/>
        <v>255</v>
      </c>
      <c r="O286" s="9" t="str">
        <f t="shared" si="26"/>
        <v>AHAMMED AJEER</v>
      </c>
      <c r="P286" s="5" t="s">
        <v>260</v>
      </c>
      <c r="Q286" s="8">
        <v>0</v>
      </c>
      <c r="R286"/>
      <c r="S286" s="10" t="e">
        <f t="shared" si="28"/>
        <v>#N/A</v>
      </c>
    </row>
    <row r="287" spans="11:19" x14ac:dyDescent="0.45">
      <c r="K287" s="14">
        <v>283</v>
      </c>
      <c r="L287" s="9" t="str">
        <f t="shared" si="24"/>
        <v>SUPER SENIOR</v>
      </c>
      <c r="M287" s="9" t="str">
        <f t="shared" si="25"/>
        <v>JARF</v>
      </c>
      <c r="N287" s="9">
        <f t="shared" si="27"/>
        <v>255</v>
      </c>
      <c r="O287" s="9" t="str">
        <f t="shared" si="26"/>
        <v>MUHAMMED ABDUL GHANI M.A</v>
      </c>
      <c r="P287" s="5" t="s">
        <v>335</v>
      </c>
      <c r="Q287" s="8">
        <v>0</v>
      </c>
      <c r="R287"/>
      <c r="S287" s="10" t="e">
        <f t="shared" si="28"/>
        <v>#N/A</v>
      </c>
    </row>
    <row r="288" spans="11:19" x14ac:dyDescent="0.45">
      <c r="K288" s="14">
        <v>284</v>
      </c>
      <c r="L288" s="9" t="str">
        <f t="shared" si="24"/>
        <v>SENIOR</v>
      </c>
      <c r="M288" s="9" t="str">
        <f t="shared" si="25"/>
        <v>BADF</v>
      </c>
      <c r="N288" s="9">
        <f t="shared" si="27"/>
        <v>255</v>
      </c>
      <c r="O288" s="9" t="str">
        <f t="shared" si="26"/>
        <v>MOHAMMED THAJUDDEEN A R P</v>
      </c>
      <c r="P288" s="5" t="s">
        <v>244</v>
      </c>
      <c r="Q288" s="8">
        <v>0</v>
      </c>
      <c r="R288"/>
      <c r="S288" s="10" t="e">
        <f t="shared" si="28"/>
        <v>#N/A</v>
      </c>
    </row>
    <row r="289" spans="11:19" x14ac:dyDescent="0.45">
      <c r="K289" s="14">
        <v>285</v>
      </c>
      <c r="L289" s="9" t="str">
        <f t="shared" si="24"/>
        <v>SUB JUNIOR</v>
      </c>
      <c r="M289" s="9" t="str">
        <f t="shared" si="25"/>
        <v>FANT</v>
      </c>
      <c r="N289" s="9">
        <f t="shared" si="27"/>
        <v>255</v>
      </c>
      <c r="O289" s="9" t="str">
        <f t="shared" si="26"/>
        <v>MUHAMMED SHIRAZ ISHAQUE</v>
      </c>
      <c r="P289" s="5" t="s">
        <v>84</v>
      </c>
      <c r="Q289" s="8">
        <v>0</v>
      </c>
      <c r="R289"/>
      <c r="S289" s="10" t="e">
        <f t="shared" si="28"/>
        <v>#N/A</v>
      </c>
    </row>
    <row r="290" spans="11:19" x14ac:dyDescent="0.45">
      <c r="K290" s="14">
        <v>286</v>
      </c>
      <c r="L290" s="9" t="str">
        <f t="shared" si="24"/>
        <v>SENIOR</v>
      </c>
      <c r="M290" s="9" t="str">
        <f t="shared" si="25"/>
        <v>JARF</v>
      </c>
      <c r="N290" s="9">
        <f t="shared" si="27"/>
        <v>255</v>
      </c>
      <c r="O290" s="9" t="str">
        <f t="shared" si="26"/>
        <v>AHMAD MANAL KUDINGILA</v>
      </c>
      <c r="P290" s="5" t="s">
        <v>188</v>
      </c>
      <c r="Q290" s="8">
        <v>0</v>
      </c>
      <c r="R290"/>
      <c r="S290" s="10" t="e">
        <f t="shared" si="28"/>
        <v>#N/A</v>
      </c>
    </row>
    <row r="291" spans="11:19" x14ac:dyDescent="0.45">
      <c r="K291" s="14">
        <v>287</v>
      </c>
      <c r="L291" s="9" t="str">
        <f t="shared" si="24"/>
        <v>SUPER SENIOR</v>
      </c>
      <c r="M291" s="9" t="str">
        <f t="shared" si="25"/>
        <v>DAHF</v>
      </c>
      <c r="N291" s="9">
        <f t="shared" si="27"/>
        <v>255</v>
      </c>
      <c r="O291" s="9" t="str">
        <f t="shared" si="26"/>
        <v>SAYYAD MOHAMMED VASIL</v>
      </c>
      <c r="P291" s="5" t="s">
        <v>276</v>
      </c>
      <c r="Q291" s="8">
        <v>0</v>
      </c>
      <c r="R291"/>
      <c r="S291" s="10" t="e">
        <f t="shared" si="28"/>
        <v>#N/A</v>
      </c>
    </row>
    <row r="292" spans="11:19" x14ac:dyDescent="0.45">
      <c r="K292" s="14">
        <v>288</v>
      </c>
      <c r="L292" s="9" t="str">
        <f t="shared" si="24"/>
        <v>SUPER SENIOR</v>
      </c>
      <c r="M292" s="9" t="str">
        <f t="shared" si="25"/>
        <v>DAHF</v>
      </c>
      <c r="N292" s="9">
        <f t="shared" si="27"/>
        <v>255</v>
      </c>
      <c r="O292" s="9" t="str">
        <f t="shared" si="26"/>
        <v>UMARUL FAROOK K .K</v>
      </c>
      <c r="P292" s="5" t="s">
        <v>296</v>
      </c>
      <c r="Q292" s="8">
        <v>0</v>
      </c>
      <c r="R292"/>
      <c r="S292" s="10" t="e">
        <f t="shared" si="28"/>
        <v>#N/A</v>
      </c>
    </row>
    <row r="293" spans="11:19" x14ac:dyDescent="0.45">
      <c r="K293" s="14">
        <v>289</v>
      </c>
      <c r="L293" s="9" t="str">
        <f t="shared" si="24"/>
        <v>SUPER SENIOR</v>
      </c>
      <c r="M293" s="9" t="str">
        <f t="shared" si="25"/>
        <v>FANT</v>
      </c>
      <c r="N293" s="9">
        <f t="shared" si="27"/>
        <v>255</v>
      </c>
      <c r="O293" s="9" t="str">
        <f t="shared" si="26"/>
        <v>MOHAMMED NAFIH KA</v>
      </c>
      <c r="P293" s="5" t="s">
        <v>314</v>
      </c>
      <c r="Q293" s="8">
        <v>0</v>
      </c>
      <c r="R293"/>
      <c r="S293" s="10" t="e">
        <f t="shared" si="28"/>
        <v>#N/A</v>
      </c>
    </row>
    <row r="294" spans="11:19" x14ac:dyDescent="0.45">
      <c r="K294" s="14">
        <v>290</v>
      </c>
      <c r="L294" s="9" t="str">
        <f t="shared" si="24"/>
        <v>JUNIOR</v>
      </c>
      <c r="M294" s="9" t="str">
        <f t="shared" si="25"/>
        <v>JARF</v>
      </c>
      <c r="N294" s="9">
        <f t="shared" si="27"/>
        <v>255</v>
      </c>
      <c r="O294" s="9" t="str">
        <f t="shared" si="26"/>
        <v>MOHAMMED ANAS A.A</v>
      </c>
      <c r="P294" s="5" t="s">
        <v>177</v>
      </c>
      <c r="Q294" s="8">
        <v>0</v>
      </c>
      <c r="R294"/>
      <c r="S294" s="10" t="e">
        <f t="shared" si="28"/>
        <v>#N/A</v>
      </c>
    </row>
    <row r="295" spans="11:19" x14ac:dyDescent="0.45">
      <c r="K295" s="14">
        <v>291</v>
      </c>
      <c r="L295" s="9" t="str">
        <f t="shared" si="24"/>
        <v>SENIOR</v>
      </c>
      <c r="M295" s="9" t="str">
        <f t="shared" si="25"/>
        <v>FANT</v>
      </c>
      <c r="N295" s="9">
        <f t="shared" si="27"/>
        <v>255</v>
      </c>
      <c r="O295" s="9" t="str">
        <f t="shared" si="26"/>
        <v>MOHAMMED ABDUL KHADER K</v>
      </c>
      <c r="P295" s="5" t="s">
        <v>198</v>
      </c>
      <c r="Q295" s="8">
        <v>0</v>
      </c>
      <c r="R295"/>
      <c r="S295" s="10" t="e">
        <f t="shared" si="28"/>
        <v>#N/A</v>
      </c>
    </row>
    <row r="296" spans="11:19" x14ac:dyDescent="0.45">
      <c r="K296" s="14">
        <v>292</v>
      </c>
      <c r="L296" s="9" t="str">
        <f t="shared" si="24"/>
        <v>JUNIOR</v>
      </c>
      <c r="M296" s="9" t="str">
        <f t="shared" si="25"/>
        <v>FANT</v>
      </c>
      <c r="N296" s="9">
        <f t="shared" si="27"/>
        <v>255</v>
      </c>
      <c r="O296" s="9" t="str">
        <f t="shared" si="26"/>
        <v>SHARAZ AHAMMED</v>
      </c>
      <c r="P296" s="5" t="s">
        <v>136</v>
      </c>
      <c r="Q296" s="8">
        <v>0</v>
      </c>
      <c r="R296"/>
      <c r="S296" s="10" t="e">
        <f t="shared" si="28"/>
        <v>#N/A</v>
      </c>
    </row>
    <row r="297" spans="11:19" x14ac:dyDescent="0.45">
      <c r="K297" s="14">
        <v>293</v>
      </c>
      <c r="L297" s="9" t="str">
        <f t="shared" si="24"/>
        <v>SUB JUNIOR</v>
      </c>
      <c r="M297" s="9" t="str">
        <f t="shared" si="25"/>
        <v>JARF</v>
      </c>
      <c r="N297" s="9">
        <f t="shared" si="27"/>
        <v>255</v>
      </c>
      <c r="O297" s="9" t="str">
        <f t="shared" si="26"/>
        <v>Muhammad M</v>
      </c>
      <c r="P297" s="5" t="s">
        <v>106</v>
      </c>
      <c r="Q297" s="8">
        <v>0</v>
      </c>
      <c r="R297"/>
      <c r="S297" s="10" t="e">
        <f t="shared" si="28"/>
        <v>#N/A</v>
      </c>
    </row>
    <row r="298" spans="11:19" x14ac:dyDescent="0.45">
      <c r="K298" s="14">
        <v>294</v>
      </c>
      <c r="L298" s="9" t="str">
        <f t="shared" si="24"/>
        <v>JUNIOR</v>
      </c>
      <c r="M298" s="9" t="str">
        <f t="shared" si="25"/>
        <v>DAHF</v>
      </c>
      <c r="N298" s="9">
        <f t="shared" si="27"/>
        <v>255</v>
      </c>
      <c r="O298" s="9" t="str">
        <f t="shared" si="26"/>
        <v>AHMED AFRAZ MB</v>
      </c>
      <c r="P298" s="5" t="s">
        <v>126</v>
      </c>
      <c r="Q298" s="8">
        <v>0</v>
      </c>
      <c r="R298"/>
      <c r="S298" s="10" t="e">
        <f t="shared" si="28"/>
        <v>#N/A</v>
      </c>
    </row>
    <row r="299" spans="11:19" x14ac:dyDescent="0.45">
      <c r="K299" s="14">
        <v>295</v>
      </c>
      <c r="L299" s="9" t="str">
        <f t="shared" si="24"/>
        <v>SUPER SENIOR</v>
      </c>
      <c r="M299" s="9" t="str">
        <f t="shared" si="25"/>
        <v>BADF</v>
      </c>
      <c r="N299" s="9">
        <f t="shared" si="27"/>
        <v>255</v>
      </c>
      <c r="O299" s="9" t="str">
        <f t="shared" si="26"/>
        <v>BADRUDHIN A</v>
      </c>
      <c r="P299" s="5" t="s">
        <v>43</v>
      </c>
      <c r="Q299" s="8">
        <v>0</v>
      </c>
      <c r="R299"/>
      <c r="S299" s="10" t="e">
        <f t="shared" si="28"/>
        <v>#N/A</v>
      </c>
    </row>
    <row r="300" spans="11:19" x14ac:dyDescent="0.45">
      <c r="K300" s="14">
        <v>296</v>
      </c>
      <c r="L300" s="9" t="str">
        <f t="shared" si="24"/>
        <v>SUPER SENIOR</v>
      </c>
      <c r="M300" s="9" t="str">
        <f t="shared" si="25"/>
        <v>DAHF</v>
      </c>
      <c r="N300" s="9">
        <f t="shared" si="27"/>
        <v>255</v>
      </c>
      <c r="O300" s="9" t="str">
        <f t="shared" si="26"/>
        <v>MUHAMMED ASHFAK K</v>
      </c>
      <c r="P300" s="5" t="s">
        <v>339</v>
      </c>
      <c r="Q300" s="8">
        <v>0</v>
      </c>
      <c r="R300"/>
      <c r="S300" s="10" t="e">
        <f t="shared" si="28"/>
        <v>#N/A</v>
      </c>
    </row>
    <row r="301" spans="11:19" x14ac:dyDescent="0.45">
      <c r="K301" s="14">
        <v>297</v>
      </c>
      <c r="L301" s="9" t="str">
        <f t="shared" si="24"/>
        <v>SUPER SENIOR</v>
      </c>
      <c r="M301" s="9" t="str">
        <f t="shared" si="25"/>
        <v>JARF</v>
      </c>
      <c r="N301" s="9">
        <f t="shared" si="27"/>
        <v>255</v>
      </c>
      <c r="O301" s="9" t="str">
        <f t="shared" si="26"/>
        <v>MOHAMMED NASFAR AFNAN H</v>
      </c>
      <c r="P301" s="5" t="s">
        <v>319</v>
      </c>
      <c r="Q301" s="8">
        <v>0</v>
      </c>
      <c r="R301"/>
      <c r="S301" s="10" t="e">
        <f t="shared" si="28"/>
        <v>#N/A</v>
      </c>
    </row>
    <row r="302" spans="11:19" x14ac:dyDescent="0.45">
      <c r="K302" s="14">
        <v>298</v>
      </c>
      <c r="L302" s="9" t="str">
        <f t="shared" si="24"/>
        <v>SUB JUNIOR</v>
      </c>
      <c r="M302" s="9" t="str">
        <f t="shared" si="25"/>
        <v>JARF</v>
      </c>
      <c r="N302" s="9">
        <f t="shared" si="27"/>
        <v>255</v>
      </c>
      <c r="O302" s="9" t="str">
        <f t="shared" si="26"/>
        <v>Muhammed Waheed R K</v>
      </c>
      <c r="P302" s="5" t="s">
        <v>71</v>
      </c>
      <c r="Q302" s="8">
        <v>0</v>
      </c>
      <c r="R302"/>
      <c r="S302" s="10" t="e">
        <f t="shared" si="28"/>
        <v>#N/A</v>
      </c>
    </row>
    <row r="303" spans="11:19" x14ac:dyDescent="0.45">
      <c r="K303" s="14">
        <v>299</v>
      </c>
      <c r="L303" s="9">
        <f t="shared" si="24"/>
        <v>0</v>
      </c>
      <c r="M303" s="9">
        <f t="shared" si="25"/>
        <v>0</v>
      </c>
      <c r="N303" s="9" t="str">
        <f t="shared" si="27"/>
        <v/>
      </c>
      <c r="O303" s="9">
        <f t="shared" si="26"/>
        <v>0</v>
      </c>
      <c r="P303" s="5">
        <v>0</v>
      </c>
      <c r="Q303" s="8">
        <v>0</v>
      </c>
      <c r="R303"/>
      <c r="S303" s="10" t="e">
        <f t="shared" si="28"/>
        <v>#N/A</v>
      </c>
    </row>
    <row r="304" spans="11:19" x14ac:dyDescent="0.45">
      <c r="K304" s="14">
        <v>300</v>
      </c>
      <c r="L304" s="9" t="str">
        <f t="shared" si="24"/>
        <v>SUPER SENIOR</v>
      </c>
      <c r="M304" s="9" t="str">
        <f t="shared" si="25"/>
        <v>JARF</v>
      </c>
      <c r="N304" s="9">
        <f t="shared" si="27"/>
        <v>255</v>
      </c>
      <c r="O304" s="9" t="str">
        <f t="shared" si="26"/>
        <v>ASHIKK.I</v>
      </c>
      <c r="P304" s="5" t="s">
        <v>302</v>
      </c>
      <c r="Q304" s="8">
        <v>0</v>
      </c>
      <c r="R304"/>
      <c r="S304" s="10" t="e">
        <f t="shared" si="28"/>
        <v>#N/A</v>
      </c>
    </row>
    <row r="305" spans="11:19" x14ac:dyDescent="0.45">
      <c r="K305" s="14">
        <v>301</v>
      </c>
      <c r="L305" s="9" t="str">
        <f t="shared" si="24"/>
        <v>SUPER SENIOR</v>
      </c>
      <c r="M305" s="9" t="str">
        <f t="shared" si="25"/>
        <v>FANT</v>
      </c>
      <c r="N305" s="9">
        <f t="shared" si="27"/>
        <v>255</v>
      </c>
      <c r="O305" s="9" t="str">
        <f t="shared" si="26"/>
        <v>ATHIF ABDULKHADER</v>
      </c>
      <c r="P305" s="5" t="s">
        <v>323</v>
      </c>
      <c r="Q305" s="8">
        <v>0</v>
      </c>
      <c r="R305"/>
      <c r="S305" s="10" t="e">
        <f t="shared" si="28"/>
        <v>#N/A</v>
      </c>
    </row>
    <row r="306" spans="11:19" x14ac:dyDescent="0.45">
      <c r="K306" s="14">
        <v>302</v>
      </c>
      <c r="L306" s="9" t="str">
        <f t="shared" si="24"/>
        <v>SUB JUNIOR</v>
      </c>
      <c r="M306" s="9" t="str">
        <f t="shared" si="25"/>
        <v>BADF</v>
      </c>
      <c r="N306" s="9">
        <f t="shared" si="27"/>
        <v>255</v>
      </c>
      <c r="O306" s="9" t="str">
        <f t="shared" si="26"/>
        <v>MOHAMMED JASEEM</v>
      </c>
      <c r="P306" s="5" t="s">
        <v>77</v>
      </c>
      <c r="Q306" s="8">
        <v>0</v>
      </c>
      <c r="R306"/>
      <c r="S306" s="10" t="e">
        <f t="shared" si="28"/>
        <v>#N/A</v>
      </c>
    </row>
    <row r="307" spans="11:19" x14ac:dyDescent="0.45">
      <c r="K307" s="14">
        <v>303</v>
      </c>
      <c r="L307" s="9" t="str">
        <f t="shared" si="24"/>
        <v>SUPER SENIOR</v>
      </c>
      <c r="M307" s="9" t="str">
        <f t="shared" si="25"/>
        <v>JARF</v>
      </c>
      <c r="N307" s="9">
        <f t="shared" si="27"/>
        <v>255</v>
      </c>
      <c r="O307" s="9" t="str">
        <f t="shared" si="26"/>
        <v>AHAMED ASIF M</v>
      </c>
      <c r="P307" s="5" t="s">
        <v>325</v>
      </c>
      <c r="Q307" s="8">
        <v>0</v>
      </c>
      <c r="R307"/>
      <c r="S307" s="10" t="e">
        <f t="shared" si="28"/>
        <v>#N/A</v>
      </c>
    </row>
    <row r="308" spans="11:19" x14ac:dyDescent="0.45">
      <c r="K308" s="14">
        <v>304</v>
      </c>
      <c r="L308" s="9" t="str">
        <f t="shared" si="24"/>
        <v>SUPER SENIOR</v>
      </c>
      <c r="M308" s="9">
        <f t="shared" si="25"/>
        <v>0</v>
      </c>
      <c r="N308" s="9">
        <f t="shared" si="27"/>
        <v>255</v>
      </c>
      <c r="O308" s="9" t="str">
        <f t="shared" si="26"/>
        <v>MUHAMMED BIN ABDUL KADHAR</v>
      </c>
      <c r="P308" s="5" t="s">
        <v>304</v>
      </c>
      <c r="Q308" s="8">
        <v>0</v>
      </c>
      <c r="R308"/>
      <c r="S308" s="10" t="e">
        <f t="shared" si="28"/>
        <v>#N/A</v>
      </c>
    </row>
    <row r="309" spans="11:19" x14ac:dyDescent="0.45">
      <c r="K309" s="14">
        <v>305</v>
      </c>
      <c r="L309" s="9" t="str">
        <f t="shared" si="24"/>
        <v>SUPER SENIOR</v>
      </c>
      <c r="M309" s="9" t="str">
        <f t="shared" si="25"/>
        <v>FANT</v>
      </c>
      <c r="N309" s="9">
        <f t="shared" si="27"/>
        <v>255</v>
      </c>
      <c r="O309" s="9" t="str">
        <f t="shared" si="26"/>
        <v>YASEEN</v>
      </c>
      <c r="P309" s="5" t="s">
        <v>44</v>
      </c>
      <c r="Q309" s="8">
        <v>0</v>
      </c>
      <c r="R309"/>
      <c r="S309" s="10" t="e">
        <f t="shared" si="28"/>
        <v>#N/A</v>
      </c>
    </row>
    <row r="310" spans="11:19" x14ac:dyDescent="0.45">
      <c r="K310" s="14">
        <v>306</v>
      </c>
      <c r="L310" s="9" t="str">
        <f t="shared" si="24"/>
        <v>SUPER SENIOR</v>
      </c>
      <c r="M310" s="9" t="str">
        <f t="shared" si="25"/>
        <v>FANT</v>
      </c>
      <c r="N310" s="9">
        <f t="shared" si="27"/>
        <v>255</v>
      </c>
      <c r="O310" s="9" t="str">
        <f t="shared" si="26"/>
        <v>MUHAMMAD SINAN NP</v>
      </c>
      <c r="P310" s="5" t="s">
        <v>271</v>
      </c>
      <c r="Q310" s="8">
        <v>0</v>
      </c>
      <c r="R310"/>
      <c r="S310" s="10" t="e">
        <f t="shared" si="28"/>
        <v>#N/A</v>
      </c>
    </row>
    <row r="311" spans="11:19" x14ac:dyDescent="0.45">
      <c r="K311" s="14">
        <v>307</v>
      </c>
      <c r="L311" s="9" t="str">
        <f t="shared" si="24"/>
        <v>SENIOR</v>
      </c>
      <c r="M311" s="9" t="str">
        <f t="shared" si="25"/>
        <v>FANT</v>
      </c>
      <c r="N311" s="9">
        <f t="shared" si="27"/>
        <v>255</v>
      </c>
      <c r="O311" s="9" t="str">
        <f t="shared" si="26"/>
        <v>MUHAMMED SHUHAIB S</v>
      </c>
      <c r="P311" s="5" t="s">
        <v>217</v>
      </c>
      <c r="Q311" s="8">
        <v>0</v>
      </c>
      <c r="R311"/>
      <c r="S311" s="10" t="e">
        <f t="shared" si="28"/>
        <v>#N/A</v>
      </c>
    </row>
    <row r="312" spans="11:19" x14ac:dyDescent="0.45">
      <c r="K312" s="14">
        <v>308</v>
      </c>
      <c r="L312" s="9" t="str">
        <f t="shared" si="24"/>
        <v>SUPER SENIOR</v>
      </c>
      <c r="M312" s="9">
        <f t="shared" si="25"/>
        <v>0</v>
      </c>
      <c r="N312" s="9">
        <f t="shared" si="27"/>
        <v>255</v>
      </c>
      <c r="O312" s="9" t="str">
        <f t="shared" si="26"/>
        <v>MUHAMMED UNAIS</v>
      </c>
      <c r="P312" s="5" t="s">
        <v>306</v>
      </c>
      <c r="Q312" s="8">
        <v>0</v>
      </c>
      <c r="R312"/>
      <c r="S312" s="10" t="e">
        <f t="shared" si="28"/>
        <v>#N/A</v>
      </c>
    </row>
    <row r="313" spans="11:19" x14ac:dyDescent="0.45">
      <c r="K313" s="14">
        <v>309</v>
      </c>
      <c r="L313" s="9" t="str">
        <f t="shared" si="24"/>
        <v>SUPER SENIOR</v>
      </c>
      <c r="M313" s="9" t="str">
        <f t="shared" si="25"/>
        <v>FANT</v>
      </c>
      <c r="N313" s="9">
        <f t="shared" si="27"/>
        <v>255</v>
      </c>
      <c r="O313" s="9" t="str">
        <f t="shared" si="26"/>
        <v>AHMED MANHAL HUSSAIN</v>
      </c>
      <c r="P313" s="5" t="s">
        <v>330</v>
      </c>
      <c r="Q313" s="8">
        <v>0</v>
      </c>
      <c r="R313"/>
      <c r="S313" s="10" t="e">
        <f t="shared" si="28"/>
        <v>#N/A</v>
      </c>
    </row>
    <row r="314" spans="11:19" x14ac:dyDescent="0.45">
      <c r="K314" s="14">
        <v>310</v>
      </c>
      <c r="L314" s="9" t="str">
        <f t="shared" si="24"/>
        <v>SUPER SENIOR</v>
      </c>
      <c r="M314" s="9" t="str">
        <f t="shared" si="25"/>
        <v>BADF</v>
      </c>
      <c r="N314" s="9">
        <f t="shared" si="27"/>
        <v>255</v>
      </c>
      <c r="O314" s="9" t="str">
        <f t="shared" si="26"/>
        <v>Simsarul Haq VPM</v>
      </c>
      <c r="P314" s="5" t="s">
        <v>341</v>
      </c>
      <c r="Q314" s="8">
        <v>0</v>
      </c>
      <c r="R314"/>
      <c r="S314" s="10" t="e">
        <f t="shared" si="28"/>
        <v>#N/A</v>
      </c>
    </row>
    <row r="315" spans="11:19" x14ac:dyDescent="0.45">
      <c r="K315" s="14">
        <v>311</v>
      </c>
      <c r="L315" s="9" t="str">
        <f t="shared" si="24"/>
        <v>SUPER SENIOR</v>
      </c>
      <c r="M315" s="9" t="str">
        <f t="shared" si="25"/>
        <v>BADF</v>
      </c>
      <c r="N315" s="9">
        <f t="shared" si="27"/>
        <v>255</v>
      </c>
      <c r="O315" s="9" t="str">
        <f t="shared" si="26"/>
        <v>MOHAMMED AMEEN B.A</v>
      </c>
      <c r="P315" s="5" t="s">
        <v>332</v>
      </c>
      <c r="Q315" s="8">
        <v>0</v>
      </c>
      <c r="R315"/>
      <c r="S315" s="10" t="e">
        <f t="shared" si="28"/>
        <v>#N/A</v>
      </c>
    </row>
    <row r="316" spans="11:19" x14ac:dyDescent="0.45">
      <c r="K316" s="14">
        <v>312</v>
      </c>
      <c r="L316" s="9" t="str">
        <f t="shared" si="24"/>
        <v>SUPER SENIOR</v>
      </c>
      <c r="M316" s="9">
        <f t="shared" si="25"/>
        <v>0</v>
      </c>
      <c r="N316" s="9">
        <f t="shared" si="27"/>
        <v>255</v>
      </c>
      <c r="O316" s="9" t="str">
        <f t="shared" si="26"/>
        <v>MUHAMMED MUZAMMIL P.M</v>
      </c>
      <c r="P316" s="5" t="s">
        <v>273</v>
      </c>
      <c r="Q316" s="8">
        <v>0</v>
      </c>
      <c r="R316"/>
      <c r="S316" s="10" t="e">
        <f t="shared" si="28"/>
        <v>#N/A</v>
      </c>
    </row>
    <row r="317" spans="11:19" x14ac:dyDescent="0.45">
      <c r="K317" s="14">
        <v>313</v>
      </c>
      <c r="L317" s="9" t="str">
        <f t="shared" si="24"/>
        <v>SUPER SENIOR</v>
      </c>
      <c r="M317" s="9" t="str">
        <f t="shared" si="25"/>
        <v>DAHF</v>
      </c>
      <c r="N317" s="9">
        <f t="shared" si="27"/>
        <v>255</v>
      </c>
      <c r="O317" s="9" t="str">
        <f t="shared" si="26"/>
        <v>ZAINUDEEN</v>
      </c>
      <c r="P317" s="5" t="s">
        <v>281</v>
      </c>
      <c r="Q317" s="8">
        <v>0</v>
      </c>
      <c r="R317"/>
      <c r="S317" s="10" t="e">
        <f t="shared" si="28"/>
        <v>#N/A</v>
      </c>
    </row>
    <row r="318" spans="11:19" x14ac:dyDescent="0.45">
      <c r="K318" s="14">
        <v>314</v>
      </c>
      <c r="L318" s="9" t="str">
        <f t="shared" si="24"/>
        <v>SUB JUNIOR</v>
      </c>
      <c r="M318" s="9">
        <f t="shared" si="25"/>
        <v>0</v>
      </c>
      <c r="N318" s="9">
        <f t="shared" si="27"/>
        <v>255</v>
      </c>
      <c r="O318" s="9" t="str">
        <f t="shared" si="26"/>
        <v>ABOOBACKER SAFWAN C B</v>
      </c>
      <c r="P318" s="5" t="s">
        <v>72</v>
      </c>
      <c r="Q318" s="8">
        <v>0</v>
      </c>
      <c r="R318"/>
      <c r="S318" s="10" t="e">
        <f t="shared" si="28"/>
        <v>#N/A</v>
      </c>
    </row>
    <row r="319" spans="11:19" x14ac:dyDescent="0.45">
      <c r="K319" s="14">
        <v>315</v>
      </c>
      <c r="L319" s="9" t="str">
        <f t="shared" si="24"/>
        <v>SUPER SENIOR</v>
      </c>
      <c r="M319" s="9" t="str">
        <f t="shared" si="25"/>
        <v>DAHF</v>
      </c>
      <c r="N319" s="9">
        <f t="shared" si="27"/>
        <v>255</v>
      </c>
      <c r="O319" s="9" t="str">
        <f t="shared" si="26"/>
        <v>MOHAMMED SHAMMAS S.I</v>
      </c>
      <c r="P319" s="5" t="s">
        <v>257</v>
      </c>
      <c r="Q319" s="8">
        <v>0</v>
      </c>
      <c r="R319"/>
      <c r="S319" s="10" t="e">
        <f t="shared" si="28"/>
        <v>#N/A</v>
      </c>
    </row>
    <row r="320" spans="11:19" x14ac:dyDescent="0.45">
      <c r="K320" s="14">
        <v>316</v>
      </c>
      <c r="L320" s="9" t="str">
        <f t="shared" si="24"/>
        <v>SUPER SENIOR</v>
      </c>
      <c r="M320" s="9" t="str">
        <f t="shared" si="25"/>
        <v>BADF</v>
      </c>
      <c r="N320" s="9">
        <f t="shared" si="27"/>
        <v>255</v>
      </c>
      <c r="O320" s="9" t="str">
        <f t="shared" si="26"/>
        <v>MUHAMMED SUFAZ P</v>
      </c>
      <c r="P320" s="5" t="s">
        <v>275</v>
      </c>
      <c r="Q320" s="8">
        <v>0</v>
      </c>
      <c r="R320"/>
      <c r="S320" s="10" t="e">
        <f t="shared" si="28"/>
        <v>#N/A</v>
      </c>
    </row>
    <row r="321" spans="11:19" x14ac:dyDescent="0.45">
      <c r="K321" s="14">
        <v>317</v>
      </c>
      <c r="L321" s="9" t="str">
        <f t="shared" si="24"/>
        <v>SUB JUNIOR</v>
      </c>
      <c r="M321" s="9" t="str">
        <f t="shared" si="25"/>
        <v>FANT</v>
      </c>
      <c r="N321" s="9">
        <f t="shared" si="27"/>
        <v>255</v>
      </c>
      <c r="O321" s="9" t="str">
        <f t="shared" si="26"/>
        <v>ADINAN ABOOBACKER K</v>
      </c>
      <c r="P321" s="5" t="s">
        <v>56</v>
      </c>
      <c r="Q321" s="8">
        <v>0</v>
      </c>
      <c r="R321"/>
      <c r="S321" s="10" t="e">
        <f t="shared" si="28"/>
        <v>#N/A</v>
      </c>
    </row>
    <row r="322" spans="11:19" x14ac:dyDescent="0.45">
      <c r="K322" s="14">
        <v>318</v>
      </c>
      <c r="L322" s="9" t="str">
        <f t="shared" si="24"/>
        <v>SUPER SENIOR</v>
      </c>
      <c r="M322" s="9" t="str">
        <f t="shared" si="25"/>
        <v>FANT</v>
      </c>
      <c r="N322" s="9">
        <f t="shared" si="27"/>
        <v>255</v>
      </c>
      <c r="O322" s="9" t="str">
        <f t="shared" si="26"/>
        <v>ABDUL JANIS</v>
      </c>
      <c r="P322" s="5" t="s">
        <v>40</v>
      </c>
      <c r="Q322" s="8">
        <v>0</v>
      </c>
      <c r="R322"/>
      <c r="S322" s="10" t="e">
        <f t="shared" si="28"/>
        <v>#N/A</v>
      </c>
    </row>
    <row r="323" spans="11:19" x14ac:dyDescent="0.45">
      <c r="K323" s="14">
        <v>319</v>
      </c>
      <c r="L323" s="9" t="str">
        <f t="shared" si="24"/>
        <v>SENIOR</v>
      </c>
      <c r="M323" s="9" t="str">
        <f t="shared" si="25"/>
        <v>DAHF</v>
      </c>
      <c r="N323" s="9">
        <f t="shared" si="27"/>
        <v>255</v>
      </c>
      <c r="O323" s="9" t="str">
        <f t="shared" si="26"/>
        <v>MOHAMMED HUSSAIN</v>
      </c>
      <c r="P323" s="5" t="s">
        <v>249</v>
      </c>
      <c r="Q323" s="8">
        <v>0</v>
      </c>
      <c r="R323"/>
      <c r="S323" s="10" t="e">
        <f t="shared" si="28"/>
        <v>#N/A</v>
      </c>
    </row>
    <row r="324" spans="11:19" x14ac:dyDescent="0.45">
      <c r="K324" s="14">
        <v>320</v>
      </c>
      <c r="L324" s="9" t="str">
        <f t="shared" si="24"/>
        <v>SUB JUNIOR</v>
      </c>
      <c r="M324" s="9">
        <f t="shared" si="25"/>
        <v>0</v>
      </c>
      <c r="N324" s="9">
        <f t="shared" si="27"/>
        <v>255</v>
      </c>
      <c r="O324" s="9" t="str">
        <f t="shared" si="26"/>
        <v>ziyad. K. M. C</v>
      </c>
      <c r="P324" s="5" t="s">
        <v>90</v>
      </c>
      <c r="Q324" s="8">
        <v>0</v>
      </c>
      <c r="R324"/>
      <c r="S324" s="10" t="e">
        <f t="shared" si="28"/>
        <v>#N/A</v>
      </c>
    </row>
    <row r="325" spans="11:19" x14ac:dyDescent="0.45">
      <c r="K325" s="14">
        <v>321</v>
      </c>
      <c r="L325" s="9" t="str">
        <f t="shared" ref="L325:L326" si="29">_xlfn.IFNA(VLOOKUP(P325,f_details_of_candidates,4,FALSE),"")</f>
        <v>SUB JUNIOR</v>
      </c>
      <c r="M325" s="9" t="str">
        <f t="shared" ref="M325:M326" si="30">_xlfn.IFNA(VLOOKUP(P325,f_details_of_candidates,3,FALSE),"")</f>
        <v>JARF</v>
      </c>
      <c r="N325" s="9">
        <f t="shared" si="27"/>
        <v>255</v>
      </c>
      <c r="O325" s="9" t="str">
        <f t="shared" ref="O325:O326" si="31">_xlfn.IFNA(VLOOKUP(P325,f_details_of_candidates,2,FALSE),"")</f>
        <v>Muhammed Sinan D A</v>
      </c>
      <c r="P325" s="5" t="s">
        <v>117</v>
      </c>
      <c r="Q325" s="8">
        <v>0</v>
      </c>
      <c r="R325"/>
      <c r="S325" s="10" t="e">
        <f t="shared" si="28"/>
        <v>#N/A</v>
      </c>
    </row>
    <row r="326" spans="11:19" x14ac:dyDescent="0.45">
      <c r="K326" s="14">
        <v>322</v>
      </c>
      <c r="L326" s="9" t="str">
        <f t="shared" si="29"/>
        <v>SUPER SENIOR</v>
      </c>
      <c r="M326" s="9" t="str">
        <f t="shared" si="30"/>
        <v>DAHF</v>
      </c>
      <c r="N326" s="9">
        <f t="shared" ref="N326" si="32">IF(P326&lt;&gt;0,RANK(Q326,Q$5:Q$326,0),"")</f>
        <v>255</v>
      </c>
      <c r="O326" s="9" t="str">
        <f t="shared" si="31"/>
        <v>ABDUL RAHMAN MUNZIR</v>
      </c>
      <c r="P326" s="5" t="s">
        <v>272</v>
      </c>
      <c r="Q326" s="8">
        <v>0</v>
      </c>
      <c r="R326"/>
      <c r="S326" s="10" t="e">
        <f t="shared" ref="S326" si="33">RANK(R326,R$5:R$264,0)</f>
        <v>#N/A</v>
      </c>
    </row>
    <row r="327" spans="11:19" x14ac:dyDescent="0.45">
      <c r="P327"/>
      <c r="Q327"/>
    </row>
    <row r="328" spans="11:19" x14ac:dyDescent="0.45">
      <c r="P328"/>
      <c r="Q328"/>
    </row>
    <row r="329" spans="11:19" x14ac:dyDescent="0.45">
      <c r="P329"/>
      <c r="Q329"/>
    </row>
    <row r="330" spans="11:19" x14ac:dyDescent="0.45">
      <c r="P330"/>
      <c r="Q330"/>
    </row>
    <row r="331" spans="11:19" x14ac:dyDescent="0.45">
      <c r="P331"/>
      <c r="Q331"/>
    </row>
    <row r="332" spans="11:19" x14ac:dyDescent="0.45">
      <c r="P332"/>
      <c r="Q332"/>
    </row>
    <row r="333" spans="11:19" x14ac:dyDescent="0.45">
      <c r="P333"/>
      <c r="Q333"/>
    </row>
    <row r="334" spans="11:19" x14ac:dyDescent="0.45">
      <c r="P334"/>
      <c r="Q334"/>
    </row>
    <row r="335" spans="11:19" x14ac:dyDescent="0.45">
      <c r="P335"/>
      <c r="Q335"/>
    </row>
    <row r="336" spans="11:19" x14ac:dyDescent="0.45">
      <c r="P336"/>
      <c r="Q336"/>
    </row>
    <row r="337" spans="16:17" x14ac:dyDescent="0.45">
      <c r="P337"/>
      <c r="Q337"/>
    </row>
    <row r="338" spans="16:17" x14ac:dyDescent="0.45">
      <c r="P338"/>
      <c r="Q338"/>
    </row>
    <row r="339" spans="16:17" x14ac:dyDescent="0.45">
      <c r="P339"/>
      <c r="Q339"/>
    </row>
    <row r="340" spans="16:17" x14ac:dyDescent="0.45">
      <c r="P340"/>
      <c r="Q340"/>
    </row>
    <row r="341" spans="16:17" x14ac:dyDescent="0.45">
      <c r="P341"/>
      <c r="Q341"/>
    </row>
    <row r="342" spans="16:17" x14ac:dyDescent="0.45">
      <c r="P342"/>
      <c r="Q342"/>
    </row>
    <row r="343" spans="16:17" x14ac:dyDescent="0.45">
      <c r="P343"/>
      <c r="Q343"/>
    </row>
    <row r="344" spans="16:17" x14ac:dyDescent="0.45">
      <c r="P344"/>
      <c r="Q344"/>
    </row>
    <row r="345" spans="16:17" x14ac:dyDescent="0.45">
      <c r="P345"/>
      <c r="Q345"/>
    </row>
    <row r="346" spans="16:17" x14ac:dyDescent="0.45">
      <c r="P346"/>
      <c r="Q346"/>
    </row>
    <row r="347" spans="16:17" x14ac:dyDescent="0.45">
      <c r="P347"/>
      <c r="Q347"/>
    </row>
    <row r="348" spans="16:17" x14ac:dyDescent="0.45">
      <c r="P348"/>
      <c r="Q348"/>
    </row>
    <row r="349" spans="16:17" x14ac:dyDescent="0.45">
      <c r="P349"/>
      <c r="Q349"/>
    </row>
    <row r="350" spans="16:17" x14ac:dyDescent="0.45">
      <c r="P350"/>
      <c r="Q350"/>
    </row>
    <row r="351" spans="16:17" x14ac:dyDescent="0.45">
      <c r="P351"/>
      <c r="Q351"/>
    </row>
    <row r="352" spans="16:17" x14ac:dyDescent="0.45">
      <c r="P352"/>
      <c r="Q352"/>
    </row>
    <row r="353" spans="16:17" x14ac:dyDescent="0.45">
      <c r="P353"/>
      <c r="Q353"/>
    </row>
    <row r="354" spans="16:17" x14ac:dyDescent="0.45">
      <c r="P354"/>
      <c r="Q354"/>
    </row>
    <row r="355" spans="16:17" x14ac:dyDescent="0.45">
      <c r="P355"/>
      <c r="Q355"/>
    </row>
    <row r="356" spans="16:17" x14ac:dyDescent="0.45">
      <c r="P356"/>
      <c r="Q356"/>
    </row>
    <row r="357" spans="16:17" x14ac:dyDescent="0.45">
      <c r="P357"/>
      <c r="Q357"/>
    </row>
    <row r="358" spans="16:17" x14ac:dyDescent="0.45">
      <c r="P358"/>
      <c r="Q358"/>
    </row>
    <row r="359" spans="16:17" x14ac:dyDescent="0.45">
      <c r="P359"/>
      <c r="Q359"/>
    </row>
    <row r="360" spans="16:17" x14ac:dyDescent="0.45">
      <c r="P360"/>
      <c r="Q360"/>
    </row>
    <row r="361" spans="16:17" x14ac:dyDescent="0.45">
      <c r="P361"/>
      <c r="Q361"/>
    </row>
    <row r="362" spans="16:17" x14ac:dyDescent="0.45">
      <c r="P362"/>
      <c r="Q362"/>
    </row>
    <row r="363" spans="16:17" x14ac:dyDescent="0.45">
      <c r="P363"/>
      <c r="Q363"/>
    </row>
    <row r="364" spans="16:17" x14ac:dyDescent="0.45">
      <c r="P364"/>
      <c r="Q364"/>
    </row>
    <row r="365" spans="16:17" x14ac:dyDescent="0.45">
      <c r="P365"/>
      <c r="Q365"/>
    </row>
    <row r="366" spans="16:17" x14ac:dyDescent="0.45">
      <c r="P366"/>
      <c r="Q366"/>
    </row>
    <row r="367" spans="16:17" x14ac:dyDescent="0.45">
      <c r="P367"/>
      <c r="Q367"/>
    </row>
    <row r="368" spans="16:17" x14ac:dyDescent="0.45">
      <c r="P368"/>
      <c r="Q368"/>
    </row>
    <row r="369" spans="16:17" x14ac:dyDescent="0.45">
      <c r="P369"/>
      <c r="Q369"/>
    </row>
    <row r="370" spans="16:17" x14ac:dyDescent="0.45">
      <c r="P370"/>
      <c r="Q370"/>
    </row>
    <row r="371" spans="16:17" x14ac:dyDescent="0.45">
      <c r="P371"/>
      <c r="Q371"/>
    </row>
    <row r="372" spans="16:17" x14ac:dyDescent="0.45">
      <c r="P372"/>
      <c r="Q372"/>
    </row>
    <row r="373" spans="16:17" x14ac:dyDescent="0.45">
      <c r="P373"/>
      <c r="Q373"/>
    </row>
    <row r="374" spans="16:17" x14ac:dyDescent="0.45">
      <c r="P374"/>
      <c r="Q374"/>
    </row>
    <row r="375" spans="16:17" x14ac:dyDescent="0.45">
      <c r="P375"/>
      <c r="Q375"/>
    </row>
    <row r="376" spans="16:17" x14ac:dyDescent="0.45">
      <c r="P376"/>
      <c r="Q376"/>
    </row>
    <row r="377" spans="16:17" x14ac:dyDescent="0.45">
      <c r="P377"/>
      <c r="Q377"/>
    </row>
    <row r="378" spans="16:17" x14ac:dyDescent="0.45">
      <c r="P378"/>
      <c r="Q378"/>
    </row>
    <row r="379" spans="16:17" x14ac:dyDescent="0.45">
      <c r="P379"/>
      <c r="Q379"/>
    </row>
    <row r="380" spans="16:17" x14ac:dyDescent="0.45">
      <c r="P380"/>
      <c r="Q380"/>
    </row>
    <row r="381" spans="16:17" x14ac:dyDescent="0.45">
      <c r="P381"/>
      <c r="Q381"/>
    </row>
    <row r="382" spans="16:17" x14ac:dyDescent="0.45">
      <c r="P382"/>
      <c r="Q382"/>
    </row>
    <row r="383" spans="16:17" x14ac:dyDescent="0.45">
      <c r="P383"/>
      <c r="Q383"/>
    </row>
    <row r="384" spans="16:17" x14ac:dyDescent="0.45">
      <c r="P384"/>
      <c r="Q384"/>
    </row>
    <row r="385" spans="16:17" x14ac:dyDescent="0.45">
      <c r="P385"/>
      <c r="Q385"/>
    </row>
    <row r="386" spans="16:17" x14ac:dyDescent="0.45">
      <c r="P386"/>
      <c r="Q386"/>
    </row>
    <row r="387" spans="16:17" x14ac:dyDescent="0.45">
      <c r="P387"/>
      <c r="Q387"/>
    </row>
    <row r="388" spans="16:17" x14ac:dyDescent="0.45">
      <c r="P388"/>
      <c r="Q388"/>
    </row>
    <row r="389" spans="16:17" x14ac:dyDescent="0.45">
      <c r="P389"/>
      <c r="Q389"/>
    </row>
    <row r="390" spans="16:17" x14ac:dyDescent="0.45">
      <c r="P390"/>
      <c r="Q390"/>
    </row>
    <row r="391" spans="16:17" x14ac:dyDescent="0.45">
      <c r="P391"/>
      <c r="Q391"/>
    </row>
    <row r="392" spans="16:17" x14ac:dyDescent="0.45">
      <c r="P392"/>
      <c r="Q392"/>
    </row>
    <row r="393" spans="16:17" x14ac:dyDescent="0.45">
      <c r="P393"/>
      <c r="Q393"/>
    </row>
    <row r="394" spans="16:17" x14ac:dyDescent="0.45">
      <c r="P394"/>
      <c r="Q394"/>
    </row>
    <row r="395" spans="16:17" x14ac:dyDescent="0.45">
      <c r="P395"/>
      <c r="Q395"/>
    </row>
    <row r="396" spans="16:17" x14ac:dyDescent="0.45">
      <c r="P396"/>
      <c r="Q396"/>
    </row>
    <row r="397" spans="16:17" x14ac:dyDescent="0.45">
      <c r="P397"/>
      <c r="Q397"/>
    </row>
    <row r="398" spans="16:17" x14ac:dyDescent="0.45">
      <c r="P398"/>
      <c r="Q398"/>
    </row>
    <row r="399" spans="16:17" x14ac:dyDescent="0.45">
      <c r="P399"/>
      <c r="Q399"/>
    </row>
    <row r="400" spans="16:17" x14ac:dyDescent="0.45">
      <c r="P400"/>
      <c r="Q400"/>
    </row>
    <row r="401" spans="16:17" x14ac:dyDescent="0.45">
      <c r="P401"/>
      <c r="Q401"/>
    </row>
    <row r="402" spans="16:17" x14ac:dyDescent="0.45">
      <c r="P402"/>
      <c r="Q402"/>
    </row>
    <row r="403" spans="16:17" x14ac:dyDescent="0.45">
      <c r="P403"/>
      <c r="Q403"/>
    </row>
    <row r="404" spans="16:17" x14ac:dyDescent="0.45">
      <c r="P404"/>
      <c r="Q404"/>
    </row>
    <row r="405" spans="16:17" x14ac:dyDescent="0.45">
      <c r="P405"/>
      <c r="Q405"/>
    </row>
    <row r="406" spans="16:17" x14ac:dyDescent="0.45">
      <c r="P406"/>
      <c r="Q406"/>
    </row>
    <row r="407" spans="16:17" x14ac:dyDescent="0.45">
      <c r="P407"/>
      <c r="Q407"/>
    </row>
    <row r="408" spans="16:17" x14ac:dyDescent="0.45">
      <c r="P408"/>
      <c r="Q408"/>
    </row>
    <row r="409" spans="16:17" x14ac:dyDescent="0.45">
      <c r="P409"/>
      <c r="Q409"/>
    </row>
    <row r="410" spans="16:17" x14ac:dyDescent="0.45">
      <c r="P410"/>
      <c r="Q410"/>
    </row>
    <row r="411" spans="16:17" x14ac:dyDescent="0.45">
      <c r="P411"/>
      <c r="Q411"/>
    </row>
    <row r="412" spans="16:17" x14ac:dyDescent="0.45">
      <c r="P412"/>
      <c r="Q412"/>
    </row>
    <row r="413" spans="16:17" x14ac:dyDescent="0.45">
      <c r="P413"/>
      <c r="Q413"/>
    </row>
    <row r="414" spans="16:17" x14ac:dyDescent="0.45">
      <c r="P414"/>
      <c r="Q414"/>
    </row>
    <row r="415" spans="16:17" x14ac:dyDescent="0.45">
      <c r="P415"/>
      <c r="Q415"/>
    </row>
    <row r="416" spans="16:17" x14ac:dyDescent="0.45">
      <c r="P416"/>
      <c r="Q416"/>
    </row>
    <row r="417" spans="16:17" x14ac:dyDescent="0.45">
      <c r="P417"/>
      <c r="Q417"/>
    </row>
    <row r="418" spans="16:17" x14ac:dyDescent="0.45">
      <c r="P418"/>
      <c r="Q418"/>
    </row>
    <row r="419" spans="16:17" x14ac:dyDescent="0.45">
      <c r="P419"/>
      <c r="Q419"/>
    </row>
    <row r="420" spans="16:17" x14ac:dyDescent="0.45">
      <c r="P420"/>
      <c r="Q420"/>
    </row>
    <row r="421" spans="16:17" x14ac:dyDescent="0.45">
      <c r="P421"/>
      <c r="Q421"/>
    </row>
    <row r="422" spans="16:17" x14ac:dyDescent="0.45">
      <c r="P422"/>
      <c r="Q422"/>
    </row>
    <row r="423" spans="16:17" x14ac:dyDescent="0.45">
      <c r="P423"/>
      <c r="Q423"/>
    </row>
    <row r="424" spans="16:17" x14ac:dyDescent="0.45">
      <c r="P424"/>
      <c r="Q424"/>
    </row>
    <row r="425" spans="16:17" x14ac:dyDescent="0.45">
      <c r="P425"/>
      <c r="Q425"/>
    </row>
    <row r="426" spans="16:17" x14ac:dyDescent="0.45">
      <c r="P426"/>
      <c r="Q426"/>
    </row>
    <row r="427" spans="16:17" x14ac:dyDescent="0.45">
      <c r="P427"/>
      <c r="Q427"/>
    </row>
    <row r="428" spans="16:17" x14ac:dyDescent="0.45">
      <c r="P428"/>
      <c r="Q428"/>
    </row>
    <row r="429" spans="16:17" x14ac:dyDescent="0.45">
      <c r="P429"/>
      <c r="Q429"/>
    </row>
    <row r="430" spans="16:17" x14ac:dyDescent="0.45">
      <c r="P430"/>
      <c r="Q430"/>
    </row>
    <row r="431" spans="16:17" x14ac:dyDescent="0.45">
      <c r="P431"/>
      <c r="Q431"/>
    </row>
    <row r="432" spans="16:17" x14ac:dyDescent="0.45">
      <c r="P432"/>
      <c r="Q432"/>
    </row>
    <row r="433" spans="16:17" x14ac:dyDescent="0.45">
      <c r="P433"/>
      <c r="Q433"/>
    </row>
    <row r="434" spans="16:17" x14ac:dyDescent="0.45">
      <c r="P434"/>
      <c r="Q434"/>
    </row>
    <row r="435" spans="16:17" x14ac:dyDescent="0.45">
      <c r="P435"/>
      <c r="Q435"/>
    </row>
    <row r="436" spans="16:17" x14ac:dyDescent="0.45">
      <c r="P436"/>
      <c r="Q436"/>
    </row>
    <row r="437" spans="16:17" x14ac:dyDescent="0.45">
      <c r="P437"/>
      <c r="Q437"/>
    </row>
    <row r="438" spans="16:17" x14ac:dyDescent="0.45">
      <c r="P438"/>
      <c r="Q438"/>
    </row>
    <row r="439" spans="16:17" x14ac:dyDescent="0.45">
      <c r="P439"/>
      <c r="Q439"/>
    </row>
    <row r="440" spans="16:17" x14ac:dyDescent="0.45">
      <c r="P440"/>
      <c r="Q440"/>
    </row>
    <row r="441" spans="16:17" x14ac:dyDescent="0.45">
      <c r="P441"/>
      <c r="Q441"/>
    </row>
    <row r="442" spans="16:17" x14ac:dyDescent="0.45">
      <c r="P442"/>
      <c r="Q442"/>
    </row>
    <row r="443" spans="16:17" x14ac:dyDescent="0.45">
      <c r="P443"/>
      <c r="Q443"/>
    </row>
    <row r="444" spans="16:17" x14ac:dyDescent="0.45">
      <c r="P444"/>
      <c r="Q444"/>
    </row>
    <row r="445" spans="16:17" x14ac:dyDescent="0.45">
      <c r="P445"/>
      <c r="Q445"/>
    </row>
    <row r="446" spans="16:17" x14ac:dyDescent="0.45">
      <c r="P446"/>
      <c r="Q446"/>
    </row>
    <row r="447" spans="16:17" x14ac:dyDescent="0.45">
      <c r="P447"/>
      <c r="Q447"/>
    </row>
    <row r="448" spans="16:17" x14ac:dyDescent="0.45">
      <c r="P448"/>
      <c r="Q448"/>
    </row>
    <row r="449" spans="16:17" x14ac:dyDescent="0.45">
      <c r="P449"/>
      <c r="Q449"/>
    </row>
    <row r="450" spans="16:17" x14ac:dyDescent="0.45">
      <c r="P450"/>
      <c r="Q450"/>
    </row>
    <row r="451" spans="16:17" x14ac:dyDescent="0.45">
      <c r="P451"/>
      <c r="Q451"/>
    </row>
    <row r="452" spans="16:17" x14ac:dyDescent="0.45">
      <c r="P452"/>
      <c r="Q452"/>
    </row>
    <row r="453" spans="16:17" x14ac:dyDescent="0.45">
      <c r="P453"/>
      <c r="Q453"/>
    </row>
    <row r="454" spans="16:17" x14ac:dyDescent="0.45">
      <c r="P454"/>
      <c r="Q454"/>
    </row>
    <row r="455" spans="16:17" x14ac:dyDescent="0.45">
      <c r="P455"/>
      <c r="Q455"/>
    </row>
    <row r="456" spans="16:17" x14ac:dyDescent="0.45">
      <c r="P456"/>
      <c r="Q456"/>
    </row>
    <row r="457" spans="16:17" x14ac:dyDescent="0.45">
      <c r="P457"/>
      <c r="Q457"/>
    </row>
    <row r="458" spans="16:17" x14ac:dyDescent="0.45">
      <c r="P458"/>
      <c r="Q458"/>
    </row>
    <row r="459" spans="16:17" x14ac:dyDescent="0.45">
      <c r="P459"/>
      <c r="Q459"/>
    </row>
    <row r="460" spans="16:17" x14ac:dyDescent="0.45">
      <c r="P460"/>
      <c r="Q460"/>
    </row>
    <row r="461" spans="16:17" x14ac:dyDescent="0.45">
      <c r="P461"/>
      <c r="Q461"/>
    </row>
    <row r="462" spans="16:17" x14ac:dyDescent="0.45">
      <c r="P462"/>
      <c r="Q462"/>
    </row>
    <row r="463" spans="16:17" x14ac:dyDescent="0.45">
      <c r="P463"/>
      <c r="Q463"/>
    </row>
    <row r="464" spans="16:17" x14ac:dyDescent="0.45">
      <c r="P464"/>
      <c r="Q464"/>
    </row>
    <row r="465" spans="16:17" x14ac:dyDescent="0.45">
      <c r="P465"/>
      <c r="Q465"/>
    </row>
    <row r="466" spans="16:17" x14ac:dyDescent="0.45">
      <c r="P466"/>
      <c r="Q466"/>
    </row>
    <row r="467" spans="16:17" x14ac:dyDescent="0.45">
      <c r="P467"/>
      <c r="Q467"/>
    </row>
    <row r="468" spans="16:17" x14ac:dyDescent="0.45">
      <c r="P468"/>
      <c r="Q468"/>
    </row>
    <row r="469" spans="16:17" x14ac:dyDescent="0.45">
      <c r="P469"/>
      <c r="Q469"/>
    </row>
    <row r="470" spans="16:17" x14ac:dyDescent="0.45">
      <c r="P470"/>
      <c r="Q470"/>
    </row>
    <row r="471" spans="16:17" x14ac:dyDescent="0.45">
      <c r="P471"/>
      <c r="Q471"/>
    </row>
    <row r="472" spans="16:17" x14ac:dyDescent="0.45">
      <c r="P472"/>
      <c r="Q472"/>
    </row>
    <row r="473" spans="16:17" x14ac:dyDescent="0.45">
      <c r="P473"/>
      <c r="Q473"/>
    </row>
    <row r="474" spans="16:17" x14ac:dyDescent="0.45">
      <c r="P474"/>
      <c r="Q474"/>
    </row>
    <row r="475" spans="16:17" x14ac:dyDescent="0.45">
      <c r="P475"/>
      <c r="Q475"/>
    </row>
    <row r="476" spans="16:17" x14ac:dyDescent="0.45">
      <c r="P476"/>
      <c r="Q476"/>
    </row>
    <row r="477" spans="16:17" x14ac:dyDescent="0.45">
      <c r="P477"/>
      <c r="Q477"/>
    </row>
    <row r="478" spans="16:17" x14ac:dyDescent="0.45">
      <c r="P478"/>
      <c r="Q478"/>
    </row>
    <row r="479" spans="16:17" x14ac:dyDescent="0.45">
      <c r="P479"/>
      <c r="Q479"/>
    </row>
    <row r="480" spans="16:17" x14ac:dyDescent="0.45">
      <c r="P480"/>
      <c r="Q480"/>
    </row>
    <row r="481" spans="16:17" x14ac:dyDescent="0.45">
      <c r="P481"/>
      <c r="Q481"/>
    </row>
    <row r="482" spans="16:17" x14ac:dyDescent="0.45">
      <c r="P482"/>
      <c r="Q482"/>
    </row>
    <row r="483" spans="16:17" x14ac:dyDescent="0.45">
      <c r="P483"/>
      <c r="Q483"/>
    </row>
    <row r="484" spans="16:17" x14ac:dyDescent="0.45">
      <c r="P484"/>
      <c r="Q484"/>
    </row>
    <row r="485" spans="16:17" x14ac:dyDescent="0.45">
      <c r="P485"/>
      <c r="Q485"/>
    </row>
    <row r="486" spans="16:17" x14ac:dyDescent="0.45">
      <c r="P486"/>
      <c r="Q486"/>
    </row>
    <row r="487" spans="16:17" x14ac:dyDescent="0.45">
      <c r="P487"/>
      <c r="Q487"/>
    </row>
    <row r="488" spans="16:17" x14ac:dyDescent="0.45">
      <c r="P488"/>
      <c r="Q488"/>
    </row>
    <row r="489" spans="16:17" x14ac:dyDescent="0.45">
      <c r="P489"/>
      <c r="Q489"/>
    </row>
    <row r="490" spans="16:17" x14ac:dyDescent="0.45">
      <c r="P490"/>
      <c r="Q490"/>
    </row>
    <row r="491" spans="16:17" x14ac:dyDescent="0.45">
      <c r="P491"/>
      <c r="Q491"/>
    </row>
    <row r="492" spans="16:17" x14ac:dyDescent="0.45">
      <c r="P492"/>
      <c r="Q492"/>
    </row>
    <row r="493" spans="16:17" x14ac:dyDescent="0.45">
      <c r="P493"/>
      <c r="Q493"/>
    </row>
    <row r="494" spans="16:17" x14ac:dyDescent="0.45">
      <c r="P494"/>
      <c r="Q494"/>
    </row>
    <row r="495" spans="16:17" x14ac:dyDescent="0.45">
      <c r="P495"/>
      <c r="Q495"/>
    </row>
    <row r="496" spans="16:17" x14ac:dyDescent="0.45">
      <c r="P496"/>
      <c r="Q496"/>
    </row>
    <row r="497" spans="16:17" x14ac:dyDescent="0.45">
      <c r="P497"/>
      <c r="Q497"/>
    </row>
    <row r="498" spans="16:17" x14ac:dyDescent="0.45">
      <c r="P498"/>
      <c r="Q498"/>
    </row>
    <row r="499" spans="16:17" x14ac:dyDescent="0.45">
      <c r="P499"/>
      <c r="Q499"/>
    </row>
    <row r="500" spans="16:17" x14ac:dyDescent="0.45">
      <c r="P500"/>
      <c r="Q500"/>
    </row>
    <row r="501" spans="16:17" x14ac:dyDescent="0.45">
      <c r="P501"/>
      <c r="Q501"/>
    </row>
    <row r="502" spans="16:17" x14ac:dyDescent="0.45">
      <c r="P502"/>
      <c r="Q502"/>
    </row>
    <row r="503" spans="16:17" x14ac:dyDescent="0.45">
      <c r="P503"/>
      <c r="Q503"/>
    </row>
    <row r="504" spans="16:17" x14ac:dyDescent="0.45">
      <c r="P504"/>
      <c r="Q504"/>
    </row>
    <row r="505" spans="16:17" x14ac:dyDescent="0.45">
      <c r="P505"/>
      <c r="Q505"/>
    </row>
    <row r="506" spans="16:17" x14ac:dyDescent="0.45">
      <c r="P506"/>
      <c r="Q506"/>
    </row>
    <row r="507" spans="16:17" x14ac:dyDescent="0.45">
      <c r="P507"/>
      <c r="Q507"/>
    </row>
    <row r="508" spans="16:17" x14ac:dyDescent="0.45">
      <c r="P508"/>
      <c r="Q508"/>
    </row>
    <row r="509" spans="16:17" x14ac:dyDescent="0.45">
      <c r="P509"/>
      <c r="Q509"/>
    </row>
    <row r="510" spans="16:17" x14ac:dyDescent="0.45">
      <c r="P510"/>
      <c r="Q510"/>
    </row>
    <row r="511" spans="16:17" x14ac:dyDescent="0.45">
      <c r="P511"/>
      <c r="Q511"/>
    </row>
    <row r="512" spans="16:17" x14ac:dyDescent="0.45">
      <c r="P512"/>
      <c r="Q512"/>
    </row>
    <row r="513" spans="16:17" x14ac:dyDescent="0.45">
      <c r="P513"/>
      <c r="Q513"/>
    </row>
    <row r="514" spans="16:17" x14ac:dyDescent="0.45">
      <c r="P514"/>
      <c r="Q514"/>
    </row>
    <row r="515" spans="16:17" x14ac:dyDescent="0.45">
      <c r="P515"/>
      <c r="Q515"/>
    </row>
    <row r="516" spans="16:17" x14ac:dyDescent="0.45">
      <c r="P516"/>
      <c r="Q516"/>
    </row>
    <row r="517" spans="16:17" x14ac:dyDescent="0.45">
      <c r="P517"/>
      <c r="Q517"/>
    </row>
    <row r="518" spans="16:17" x14ac:dyDescent="0.45">
      <c r="P518"/>
      <c r="Q518"/>
    </row>
    <row r="519" spans="16:17" x14ac:dyDescent="0.45">
      <c r="P519"/>
      <c r="Q519"/>
    </row>
    <row r="520" spans="16:17" x14ac:dyDescent="0.45">
      <c r="P520"/>
      <c r="Q520"/>
    </row>
    <row r="521" spans="16:17" x14ac:dyDescent="0.45">
      <c r="P521"/>
      <c r="Q521"/>
    </row>
    <row r="522" spans="16:17" x14ac:dyDescent="0.45">
      <c r="P522"/>
      <c r="Q522"/>
    </row>
    <row r="523" spans="16:17" x14ac:dyDescent="0.45">
      <c r="P523"/>
      <c r="Q523"/>
    </row>
    <row r="524" spans="16:17" x14ac:dyDescent="0.45">
      <c r="P524"/>
      <c r="Q524"/>
    </row>
    <row r="525" spans="16:17" x14ac:dyDescent="0.45">
      <c r="P525"/>
      <c r="Q525"/>
    </row>
    <row r="526" spans="16:17" x14ac:dyDescent="0.45">
      <c r="P526"/>
      <c r="Q526"/>
    </row>
    <row r="527" spans="16:17" x14ac:dyDescent="0.45">
      <c r="P527"/>
      <c r="Q527"/>
    </row>
    <row r="528" spans="16:17" x14ac:dyDescent="0.45">
      <c r="P528"/>
      <c r="Q528"/>
    </row>
    <row r="529" spans="16:17" x14ac:dyDescent="0.45">
      <c r="P529"/>
      <c r="Q529"/>
    </row>
    <row r="530" spans="16:17" x14ac:dyDescent="0.45">
      <c r="P530"/>
      <c r="Q530"/>
    </row>
    <row r="531" spans="16:17" x14ac:dyDescent="0.45">
      <c r="P531"/>
      <c r="Q531"/>
    </row>
    <row r="532" spans="16:17" x14ac:dyDescent="0.45">
      <c r="P532"/>
      <c r="Q532"/>
    </row>
    <row r="533" spans="16:17" x14ac:dyDescent="0.45">
      <c r="P533"/>
      <c r="Q533"/>
    </row>
    <row r="534" spans="16:17" x14ac:dyDescent="0.45">
      <c r="P534"/>
      <c r="Q534"/>
    </row>
    <row r="535" spans="16:17" x14ac:dyDescent="0.45">
      <c r="P535"/>
      <c r="Q535"/>
    </row>
    <row r="536" spans="16:17" x14ac:dyDescent="0.45">
      <c r="P536"/>
      <c r="Q536"/>
    </row>
    <row r="537" spans="16:17" x14ac:dyDescent="0.45">
      <c r="P537"/>
      <c r="Q537"/>
    </row>
    <row r="538" spans="16:17" x14ac:dyDescent="0.45">
      <c r="P538"/>
      <c r="Q538"/>
    </row>
    <row r="539" spans="16:17" x14ac:dyDescent="0.45">
      <c r="P539"/>
      <c r="Q539"/>
    </row>
    <row r="540" spans="16:17" x14ac:dyDescent="0.45">
      <c r="P540"/>
      <c r="Q540"/>
    </row>
    <row r="541" spans="16:17" x14ac:dyDescent="0.45">
      <c r="P541"/>
      <c r="Q541"/>
    </row>
    <row r="542" spans="16:17" x14ac:dyDescent="0.45">
      <c r="P542"/>
      <c r="Q542"/>
    </row>
    <row r="543" spans="16:17" x14ac:dyDescent="0.45">
      <c r="P543"/>
      <c r="Q543"/>
    </row>
    <row r="544" spans="16:17" x14ac:dyDescent="0.45">
      <c r="P544"/>
      <c r="Q544"/>
    </row>
    <row r="545" spans="16:17" x14ac:dyDescent="0.45">
      <c r="P545"/>
      <c r="Q545"/>
    </row>
    <row r="546" spans="16:17" x14ac:dyDescent="0.45">
      <c r="P546"/>
      <c r="Q546"/>
    </row>
    <row r="547" spans="16:17" x14ac:dyDescent="0.45">
      <c r="P547"/>
      <c r="Q547"/>
    </row>
    <row r="548" spans="16:17" x14ac:dyDescent="0.45">
      <c r="P548"/>
      <c r="Q548"/>
    </row>
    <row r="549" spans="16:17" x14ac:dyDescent="0.45">
      <c r="P549"/>
      <c r="Q549"/>
    </row>
    <row r="550" spans="16:17" x14ac:dyDescent="0.45">
      <c r="P550"/>
      <c r="Q550"/>
    </row>
    <row r="551" spans="16:17" x14ac:dyDescent="0.45">
      <c r="P551"/>
      <c r="Q551"/>
    </row>
    <row r="552" spans="16:17" x14ac:dyDescent="0.45">
      <c r="P552"/>
      <c r="Q552"/>
    </row>
    <row r="553" spans="16:17" x14ac:dyDescent="0.45">
      <c r="P553"/>
      <c r="Q553"/>
    </row>
    <row r="554" spans="16:17" x14ac:dyDescent="0.45">
      <c r="P554"/>
      <c r="Q554"/>
    </row>
    <row r="555" spans="16:17" x14ac:dyDescent="0.45">
      <c r="P555"/>
      <c r="Q555"/>
    </row>
    <row r="556" spans="16:17" x14ac:dyDescent="0.45">
      <c r="P556"/>
      <c r="Q556"/>
    </row>
    <row r="557" spans="16:17" x14ac:dyDescent="0.45">
      <c r="P557"/>
      <c r="Q557"/>
    </row>
    <row r="558" spans="16:17" x14ac:dyDescent="0.45">
      <c r="P558"/>
      <c r="Q558"/>
    </row>
    <row r="559" spans="16:17" x14ac:dyDescent="0.45">
      <c r="P559"/>
      <c r="Q559"/>
    </row>
    <row r="560" spans="16:17" x14ac:dyDescent="0.45">
      <c r="P560"/>
      <c r="Q560"/>
    </row>
    <row r="561" spans="16:17" x14ac:dyDescent="0.45">
      <c r="P561"/>
      <c r="Q561"/>
    </row>
    <row r="562" spans="16:17" x14ac:dyDescent="0.45">
      <c r="P562"/>
      <c r="Q562"/>
    </row>
    <row r="563" spans="16:17" x14ac:dyDescent="0.45">
      <c r="P563"/>
      <c r="Q563"/>
    </row>
    <row r="564" spans="16:17" x14ac:dyDescent="0.45">
      <c r="P564"/>
      <c r="Q564"/>
    </row>
    <row r="565" spans="16:17" x14ac:dyDescent="0.45">
      <c r="P565"/>
      <c r="Q565"/>
    </row>
    <row r="566" spans="16:17" x14ac:dyDescent="0.45">
      <c r="P566"/>
      <c r="Q566"/>
    </row>
    <row r="567" spans="16:17" x14ac:dyDescent="0.45">
      <c r="P567"/>
      <c r="Q567"/>
    </row>
    <row r="568" spans="16:17" x14ac:dyDescent="0.45">
      <c r="P568"/>
      <c r="Q568"/>
    </row>
    <row r="569" spans="16:17" x14ac:dyDescent="0.45">
      <c r="P569"/>
      <c r="Q569"/>
    </row>
    <row r="570" spans="16:17" x14ac:dyDescent="0.45">
      <c r="P570"/>
      <c r="Q570"/>
    </row>
    <row r="571" spans="16:17" x14ac:dyDescent="0.45">
      <c r="P571"/>
      <c r="Q571"/>
    </row>
    <row r="572" spans="16:17" x14ac:dyDescent="0.45">
      <c r="P572"/>
      <c r="Q572"/>
    </row>
    <row r="573" spans="16:17" x14ac:dyDescent="0.45">
      <c r="P573"/>
      <c r="Q573"/>
    </row>
    <row r="574" spans="16:17" x14ac:dyDescent="0.45">
      <c r="P574"/>
      <c r="Q574"/>
    </row>
    <row r="575" spans="16:17" x14ac:dyDescent="0.45">
      <c r="P575"/>
      <c r="Q575"/>
    </row>
    <row r="576" spans="16:17" x14ac:dyDescent="0.45">
      <c r="P576"/>
      <c r="Q576"/>
    </row>
    <row r="577" spans="16:17" x14ac:dyDescent="0.45">
      <c r="P577"/>
      <c r="Q577"/>
    </row>
    <row r="578" spans="16:17" x14ac:dyDescent="0.45">
      <c r="P578"/>
      <c r="Q578"/>
    </row>
    <row r="579" spans="16:17" x14ac:dyDescent="0.45">
      <c r="P579"/>
      <c r="Q579"/>
    </row>
    <row r="580" spans="16:17" x14ac:dyDescent="0.45">
      <c r="P580"/>
      <c r="Q580"/>
    </row>
    <row r="581" spans="16:17" x14ac:dyDescent="0.45">
      <c r="P581"/>
      <c r="Q581"/>
    </row>
    <row r="582" spans="16:17" x14ac:dyDescent="0.45">
      <c r="P582"/>
      <c r="Q582"/>
    </row>
    <row r="583" spans="16:17" x14ac:dyDescent="0.45">
      <c r="P583"/>
      <c r="Q583"/>
    </row>
    <row r="584" spans="16:17" x14ac:dyDescent="0.45">
      <c r="P584"/>
      <c r="Q584"/>
    </row>
    <row r="585" spans="16:17" x14ac:dyDescent="0.45">
      <c r="P585"/>
      <c r="Q585"/>
    </row>
    <row r="586" spans="16:17" x14ac:dyDescent="0.45">
      <c r="P586"/>
      <c r="Q586"/>
    </row>
    <row r="587" spans="16:17" x14ac:dyDescent="0.45">
      <c r="P587"/>
      <c r="Q587"/>
    </row>
    <row r="588" spans="16:17" x14ac:dyDescent="0.45">
      <c r="P588"/>
      <c r="Q588"/>
    </row>
    <row r="589" spans="16:17" x14ac:dyDescent="0.45">
      <c r="P589"/>
      <c r="Q589"/>
    </row>
    <row r="590" spans="16:17" x14ac:dyDescent="0.45">
      <c r="P590"/>
      <c r="Q590"/>
    </row>
    <row r="591" spans="16:17" x14ac:dyDescent="0.45">
      <c r="P591"/>
      <c r="Q591"/>
    </row>
    <row r="592" spans="16:17" x14ac:dyDescent="0.45">
      <c r="P592"/>
      <c r="Q592"/>
    </row>
    <row r="593" spans="16:17" x14ac:dyDescent="0.45">
      <c r="P593"/>
      <c r="Q593"/>
    </row>
    <row r="594" spans="16:17" x14ac:dyDescent="0.45">
      <c r="P594"/>
      <c r="Q594"/>
    </row>
    <row r="595" spans="16:17" x14ac:dyDescent="0.45">
      <c r="P595"/>
      <c r="Q595"/>
    </row>
    <row r="596" spans="16:17" x14ac:dyDescent="0.45">
      <c r="P596"/>
      <c r="Q596"/>
    </row>
    <row r="597" spans="16:17" x14ac:dyDescent="0.45">
      <c r="P597"/>
      <c r="Q597"/>
    </row>
    <row r="598" spans="16:17" x14ac:dyDescent="0.45">
      <c r="P598"/>
      <c r="Q598"/>
    </row>
    <row r="599" spans="16:17" x14ac:dyDescent="0.45">
      <c r="P599"/>
      <c r="Q599"/>
    </row>
    <row r="600" spans="16:17" x14ac:dyDescent="0.45">
      <c r="P600"/>
      <c r="Q600"/>
    </row>
    <row r="601" spans="16:17" x14ac:dyDescent="0.45">
      <c r="P601"/>
      <c r="Q601"/>
    </row>
    <row r="602" spans="16:17" x14ac:dyDescent="0.45">
      <c r="P602"/>
      <c r="Q602"/>
    </row>
    <row r="603" spans="16:17" x14ac:dyDescent="0.45">
      <c r="P603"/>
      <c r="Q603"/>
    </row>
    <row r="604" spans="16:17" x14ac:dyDescent="0.45">
      <c r="P604"/>
      <c r="Q604"/>
    </row>
    <row r="605" spans="16:17" x14ac:dyDescent="0.45">
      <c r="P605"/>
      <c r="Q605"/>
    </row>
    <row r="606" spans="16:17" x14ac:dyDescent="0.45">
      <c r="P606"/>
      <c r="Q606"/>
    </row>
    <row r="607" spans="16:17" x14ac:dyDescent="0.45">
      <c r="P607"/>
      <c r="Q607"/>
    </row>
    <row r="608" spans="16:17" x14ac:dyDescent="0.45">
      <c r="P608"/>
      <c r="Q608"/>
    </row>
    <row r="609" spans="16:17" x14ac:dyDescent="0.45">
      <c r="P609"/>
      <c r="Q609"/>
    </row>
    <row r="610" spans="16:17" x14ac:dyDescent="0.45">
      <c r="P610"/>
      <c r="Q610"/>
    </row>
    <row r="611" spans="16:17" x14ac:dyDescent="0.45">
      <c r="P611"/>
      <c r="Q611"/>
    </row>
    <row r="612" spans="16:17" x14ac:dyDescent="0.45">
      <c r="P612"/>
      <c r="Q612"/>
    </row>
    <row r="613" spans="16:17" x14ac:dyDescent="0.45">
      <c r="P613"/>
      <c r="Q613"/>
    </row>
    <row r="614" spans="16:17" x14ac:dyDescent="0.45">
      <c r="P614"/>
      <c r="Q614"/>
    </row>
    <row r="615" spans="16:17" x14ac:dyDescent="0.45">
      <c r="P615"/>
      <c r="Q615"/>
    </row>
    <row r="616" spans="16:17" x14ac:dyDescent="0.45">
      <c r="P616"/>
      <c r="Q616"/>
    </row>
    <row r="617" spans="16:17" x14ac:dyDescent="0.45">
      <c r="P617"/>
      <c r="Q617"/>
    </row>
    <row r="618" spans="16:17" x14ac:dyDescent="0.45">
      <c r="P618"/>
      <c r="Q618"/>
    </row>
    <row r="619" spans="16:17" x14ac:dyDescent="0.45">
      <c r="P619"/>
      <c r="Q619"/>
    </row>
    <row r="620" spans="16:17" x14ac:dyDescent="0.45">
      <c r="P620"/>
      <c r="Q620"/>
    </row>
    <row r="621" spans="16:17" x14ac:dyDescent="0.45">
      <c r="P621"/>
      <c r="Q621"/>
    </row>
    <row r="622" spans="16:17" x14ac:dyDescent="0.45">
      <c r="P622"/>
      <c r="Q622"/>
    </row>
    <row r="623" spans="16:17" x14ac:dyDescent="0.45">
      <c r="P623"/>
      <c r="Q623"/>
    </row>
    <row r="624" spans="16:17" x14ac:dyDescent="0.45">
      <c r="P624"/>
      <c r="Q624"/>
    </row>
    <row r="625" spans="16:17" x14ac:dyDescent="0.45">
      <c r="P625"/>
      <c r="Q625"/>
    </row>
    <row r="626" spans="16:17" x14ac:dyDescent="0.45">
      <c r="P626"/>
      <c r="Q626"/>
    </row>
    <row r="627" spans="16:17" x14ac:dyDescent="0.45">
      <c r="P627"/>
      <c r="Q627"/>
    </row>
    <row r="628" spans="16:17" x14ac:dyDescent="0.45">
      <c r="P628"/>
      <c r="Q628"/>
    </row>
    <row r="629" spans="16:17" x14ac:dyDescent="0.45">
      <c r="P629"/>
      <c r="Q629"/>
    </row>
    <row r="630" spans="16:17" x14ac:dyDescent="0.45">
      <c r="P630"/>
      <c r="Q630"/>
    </row>
    <row r="631" spans="16:17" x14ac:dyDescent="0.45">
      <c r="P631"/>
      <c r="Q631"/>
    </row>
    <row r="632" spans="16:17" x14ac:dyDescent="0.45">
      <c r="P632"/>
      <c r="Q632"/>
    </row>
    <row r="633" spans="16:17" x14ac:dyDescent="0.45">
      <c r="P633"/>
      <c r="Q633"/>
    </row>
    <row r="634" spans="16:17" x14ac:dyDescent="0.45">
      <c r="P634"/>
      <c r="Q634"/>
    </row>
    <row r="635" spans="16:17" x14ac:dyDescent="0.45">
      <c r="P635"/>
      <c r="Q635"/>
    </row>
    <row r="636" spans="16:17" x14ac:dyDescent="0.45">
      <c r="P636"/>
      <c r="Q636"/>
    </row>
    <row r="637" spans="16:17" x14ac:dyDescent="0.45">
      <c r="P637"/>
      <c r="Q637"/>
    </row>
    <row r="638" spans="16:17" x14ac:dyDescent="0.45">
      <c r="P638"/>
      <c r="Q638"/>
    </row>
    <row r="639" spans="16:17" x14ac:dyDescent="0.45">
      <c r="P639"/>
      <c r="Q639"/>
    </row>
    <row r="640" spans="16:17" x14ac:dyDescent="0.45">
      <c r="P640"/>
      <c r="Q640"/>
    </row>
    <row r="641" spans="16:17" x14ac:dyDescent="0.45">
      <c r="P641"/>
      <c r="Q641"/>
    </row>
    <row r="642" spans="16:17" x14ac:dyDescent="0.45">
      <c r="P642"/>
      <c r="Q642"/>
    </row>
    <row r="643" spans="16:17" x14ac:dyDescent="0.45">
      <c r="P643"/>
      <c r="Q643"/>
    </row>
    <row r="644" spans="16:17" x14ac:dyDescent="0.45">
      <c r="P644"/>
      <c r="Q644"/>
    </row>
    <row r="645" spans="16:17" x14ac:dyDescent="0.45">
      <c r="P645"/>
      <c r="Q645"/>
    </row>
    <row r="646" spans="16:17" x14ac:dyDescent="0.45">
      <c r="P646"/>
      <c r="Q646"/>
    </row>
    <row r="647" spans="16:17" x14ac:dyDescent="0.45">
      <c r="P647"/>
      <c r="Q647"/>
    </row>
    <row r="648" spans="16:17" x14ac:dyDescent="0.45">
      <c r="P648"/>
      <c r="Q648"/>
    </row>
  </sheetData>
  <mergeCells count="2">
    <mergeCell ref="B2:H3"/>
    <mergeCell ref="K2:Q3"/>
  </mergeCells>
  <conditionalFormatting sqref="A2:B2 A3 A1:XFD1 A649:XFD1048576 I2:J3 K2 A4:Q4 A5:A34 I5:J18 C5:G18 C19:J34 R2:XFD4 T12:XFD326 V11:XFD11 T7:V7 V8:V10 W7:XFD10 T6:XFD6 A35:J326 L5:P326 S6:S326 S5:XFD5 A327:P648 R327:XFD648">
    <cfRule type="cellIs" dxfId="89" priority="20" operator="equal">
      <formula>0</formula>
    </cfRule>
  </conditionalFormatting>
  <conditionalFormatting sqref="E5:E34">
    <cfRule type="top10" dxfId="88" priority="9" bottom="1" rank="3"/>
    <cfRule type="top10" dxfId="87" priority="14" bottom="1" rank="5"/>
  </conditionalFormatting>
  <conditionalFormatting sqref="C5:C34">
    <cfRule type="cellIs" dxfId="86" priority="10" operator="equal">
      <formula>"SUPER SENIOR"</formula>
    </cfRule>
    <cfRule type="cellIs" dxfId="85" priority="11" operator="equal">
      <formula>"SENIOR"</formula>
    </cfRule>
    <cfRule type="cellIs" dxfId="84" priority="12" operator="equal">
      <formula>"JUNIOR"</formula>
    </cfRule>
    <cfRule type="cellIs" dxfId="83" priority="13" operator="equal">
      <formula>"SUB JUNIOR"</formula>
    </cfRule>
  </conditionalFormatting>
  <conditionalFormatting sqref="N5:N326">
    <cfRule type="top10" dxfId="82" priority="3" bottom="1" rank="3"/>
    <cfRule type="top10" dxfId="81" priority="8" bottom="1" rank="5"/>
  </conditionalFormatting>
  <conditionalFormatting sqref="L5:L326">
    <cfRule type="cellIs" dxfId="80" priority="4" operator="equal">
      <formula>"SUPER SENIOR"</formula>
    </cfRule>
    <cfRule type="cellIs" dxfId="79" priority="5" operator="equal">
      <formula>"SENIOR"</formula>
    </cfRule>
    <cfRule type="cellIs" dxfId="78" priority="6" operator="equal">
      <formula>"JUNIOR"</formula>
    </cfRule>
    <cfRule type="cellIs" dxfId="77" priority="7" operator="equal">
      <formula>"SUB JUNIOR"</formula>
    </cfRule>
  </conditionalFormatting>
  <conditionalFormatting sqref="K5:K326">
    <cfRule type="cellIs" dxfId="76" priority="2" operator="equal">
      <formula>0</formula>
    </cfRule>
  </conditionalFormatting>
  <conditionalFormatting sqref="B5:B34">
    <cfRule type="cellIs" dxfId="75" priority="1" operator="equal">
      <formula>0</formula>
    </cfRule>
  </conditionalFormatting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1E7-DF8F-4D6E-AD28-AFEC3B37730E}">
  <dimension ref="B2:C13"/>
  <sheetViews>
    <sheetView workbookViewId="0">
      <selection activeCell="E13" sqref="E13"/>
    </sheetView>
  </sheetViews>
  <sheetFormatPr defaultRowHeight="14.25" x14ac:dyDescent="0.45"/>
  <cols>
    <col min="2" max="2" width="12.06640625" bestFit="1" customWidth="1"/>
    <col min="3" max="3" width="13.3984375" bestFit="1" customWidth="1"/>
  </cols>
  <sheetData>
    <row r="2" spans="2:3" x14ac:dyDescent="0.45">
      <c r="B2" s="4" t="s">
        <v>362</v>
      </c>
      <c r="C2" t="s">
        <v>345</v>
      </c>
    </row>
    <row r="3" spans="2:3" x14ac:dyDescent="0.45">
      <c r="B3" s="5">
        <v>1</v>
      </c>
      <c r="C3">
        <v>279.5</v>
      </c>
    </row>
    <row r="4" spans="2:3" x14ac:dyDescent="0.45">
      <c r="B4" s="5">
        <v>2</v>
      </c>
      <c r="C4">
        <v>808.5</v>
      </c>
    </row>
    <row r="5" spans="2:3" x14ac:dyDescent="0.45">
      <c r="B5" s="5">
        <v>3</v>
      </c>
      <c r="C5">
        <v>501</v>
      </c>
    </row>
    <row r="6" spans="2:3" x14ac:dyDescent="0.45">
      <c r="B6" s="5">
        <v>4</v>
      </c>
      <c r="C6">
        <v>415</v>
      </c>
    </row>
    <row r="7" spans="2:3" x14ac:dyDescent="0.45">
      <c r="B7" s="5">
        <v>5</v>
      </c>
      <c r="C7">
        <v>272.5</v>
      </c>
    </row>
    <row r="8" spans="2:3" x14ac:dyDescent="0.45">
      <c r="B8" s="5">
        <v>6</v>
      </c>
      <c r="C8">
        <v>442.5</v>
      </c>
    </row>
    <row r="9" spans="2:3" x14ac:dyDescent="0.45">
      <c r="B9" s="5">
        <v>7</v>
      </c>
      <c r="C9">
        <v>361</v>
      </c>
    </row>
    <row r="10" spans="2:3" x14ac:dyDescent="0.45">
      <c r="B10" s="5">
        <v>8</v>
      </c>
      <c r="C10">
        <v>356.5</v>
      </c>
    </row>
    <row r="11" spans="2:3" x14ac:dyDescent="0.45">
      <c r="B11" s="5">
        <v>9</v>
      </c>
      <c r="C11">
        <v>478.5</v>
      </c>
    </row>
    <row r="12" spans="2:3" x14ac:dyDescent="0.45">
      <c r="B12" s="5">
        <v>10</v>
      </c>
      <c r="C12">
        <v>284</v>
      </c>
    </row>
    <row r="13" spans="2:3" x14ac:dyDescent="0.45">
      <c r="B13" s="5" t="s">
        <v>363</v>
      </c>
      <c r="C13">
        <v>4199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476C5-B2BD-4641-AF11-4088D9A0C4D0}">
  <sheetPr codeName="Sheet3"/>
  <dimension ref="B2:S326"/>
  <sheetViews>
    <sheetView topLeftCell="J1" zoomScale="152" workbookViewId="0">
      <selection activeCell="O11" sqref="O11"/>
    </sheetView>
  </sheetViews>
  <sheetFormatPr defaultRowHeight="14.75" customHeight="1" x14ac:dyDescent="0.45"/>
  <cols>
    <col min="1" max="1" width="0" style="1" hidden="1" customWidth="1"/>
    <col min="2" max="2" width="4.53125" style="1" hidden="1" customWidth="1"/>
    <col min="3" max="3" width="12.19921875" style="1" hidden="1" customWidth="1"/>
    <col min="4" max="5" width="0" style="1" hidden="1" customWidth="1"/>
    <col min="6" max="6" width="35.3984375" style="1" hidden="1" customWidth="1"/>
    <col min="7" max="7" width="10.73046875" style="1" hidden="1" customWidth="1"/>
    <col min="8" max="8" width="9.3984375" style="1" hidden="1" customWidth="1"/>
    <col min="9" max="9" width="3.265625" style="1" hidden="1" customWidth="1"/>
    <col min="10" max="10" width="3.265625" style="1" customWidth="1"/>
    <col min="11" max="11" width="4.73046875" style="1" customWidth="1"/>
    <col min="12" max="12" width="12.3984375" style="1" customWidth="1"/>
    <col min="13" max="13" width="8.59765625" style="1" customWidth="1"/>
    <col min="14" max="14" width="7.53125" style="1" customWidth="1"/>
    <col min="15" max="15" width="29.265625" style="1" bestFit="1" customWidth="1"/>
    <col min="16" max="16" width="10.19921875" style="1" bestFit="1" customWidth="1"/>
    <col min="17" max="17" width="9.53125" style="1" bestFit="1" customWidth="1"/>
    <col min="18" max="18" width="12.86328125" style="1" bestFit="1" customWidth="1"/>
    <col min="19" max="16384" width="9.06640625" style="1"/>
  </cols>
  <sheetData>
    <row r="2" spans="2:19" ht="14.75" customHeight="1" x14ac:dyDescent="0.45">
      <c r="B2" s="57" t="s">
        <v>50</v>
      </c>
      <c r="C2" s="57"/>
      <c r="D2" s="57"/>
      <c r="E2" s="57"/>
      <c r="F2" s="57"/>
      <c r="G2" s="57"/>
      <c r="H2" s="57"/>
      <c r="K2" s="57" t="s">
        <v>51</v>
      </c>
      <c r="L2" s="57"/>
      <c r="M2" s="57"/>
      <c r="N2" s="57"/>
      <c r="O2" s="57"/>
      <c r="P2" s="57"/>
      <c r="Q2" s="57"/>
    </row>
    <row r="3" spans="2:19" ht="24" customHeight="1" x14ac:dyDescent="0.45">
      <c r="B3" s="57"/>
      <c r="C3" s="57"/>
      <c r="D3" s="57"/>
      <c r="E3" s="57"/>
      <c r="F3" s="57"/>
      <c r="G3" s="57"/>
      <c r="H3" s="57"/>
      <c r="K3" s="57"/>
      <c r="L3" s="57"/>
      <c r="M3" s="57"/>
      <c r="N3" s="57"/>
      <c r="O3" s="57"/>
      <c r="P3" s="57"/>
      <c r="Q3" s="57"/>
      <c r="R3" s="58" t="s">
        <v>360</v>
      </c>
      <c r="S3" s="58"/>
    </row>
    <row r="4" spans="2:19" ht="14.75" customHeight="1" x14ac:dyDescent="0.45">
      <c r="B4" s="7" t="s">
        <v>45</v>
      </c>
      <c r="C4" s="7" t="s">
        <v>5</v>
      </c>
      <c r="D4" s="7" t="s">
        <v>4</v>
      </c>
      <c r="E4" s="13" t="s">
        <v>47</v>
      </c>
      <c r="F4" s="7" t="s">
        <v>3</v>
      </c>
      <c r="G4" s="4" t="s">
        <v>49</v>
      </c>
      <c r="H4" s="6" t="s">
        <v>48</v>
      </c>
      <c r="K4" s="7" t="s">
        <v>45</v>
      </c>
      <c r="L4" s="7" t="s">
        <v>5</v>
      </c>
      <c r="M4" s="7" t="s">
        <v>4</v>
      </c>
      <c r="N4" s="13" t="s">
        <v>47</v>
      </c>
      <c r="O4" s="7" t="s">
        <v>3</v>
      </c>
      <c r="P4" s="4" t="s">
        <v>49</v>
      </c>
      <c r="Q4" s="6" t="s">
        <v>48</v>
      </c>
      <c r="R4" s="1" t="s">
        <v>354</v>
      </c>
      <c r="S4" s="1" t="s">
        <v>355</v>
      </c>
    </row>
    <row r="5" spans="2:19" s="10" customFormat="1" ht="14.75" customHeight="1" x14ac:dyDescent="0.45">
      <c r="B5" s="14" cm="1">
        <f t="array" ref="B5:B16">_xlfn.SEQUENCE(COUNTA(G:G)-1)</f>
        <v>1</v>
      </c>
      <c r="C5" s="9" t="str">
        <f t="shared" ref="C5:C34" si="0">_xlfn.IFNA(VLOOKUP(G5,f_details_of_candidates,4,FALSE),"")</f>
        <v>SUPER SENIOR</v>
      </c>
      <c r="D5" s="9" t="str">
        <f t="shared" ref="D5:D34" si="1">_xlfn.IFNA(VLOOKUP(G5,f_details_of_candidates,3,FALSE),"")</f>
        <v>FANT</v>
      </c>
      <c r="E5" s="9">
        <f>IF(G5&lt;&gt;0,RANK(H5,H$5:H$34,0),"")</f>
        <v>1</v>
      </c>
      <c r="F5" s="9" t="str">
        <f t="shared" ref="F5:F34" si="2">_xlfn.IFNA(VLOOKUP(G5,f_details_of_candidates,2,FALSE),"")</f>
        <v>YASEEN</v>
      </c>
      <c r="G5" s="5" t="s">
        <v>44</v>
      </c>
      <c r="H5" s="8">
        <v>10</v>
      </c>
      <c r="K5" s="14" cm="1">
        <f t="array" ref="K5:K326">_xlfn.SEQUENCE(COUNTA(P:P)-1)</f>
        <v>1</v>
      </c>
      <c r="L5" s="9" t="str">
        <f t="shared" ref="L5:L68" si="3">_xlfn.IFNA(VLOOKUP(P5,f_details_of_candidates,4,FALSE),"")</f>
        <v>SUPER SENIOR</v>
      </c>
      <c r="M5" s="9" t="str">
        <f t="shared" ref="M5:M68" si="4">_xlfn.IFNA(VLOOKUP(P5,f_details_of_candidates,3,FALSE),"")</f>
        <v>FANT</v>
      </c>
      <c r="N5" s="9">
        <f>IF(P5&lt;&gt;0,RANK(Q5,Q$5:Q$326,0),"")</f>
        <v>1</v>
      </c>
      <c r="O5" s="9" t="str">
        <f t="shared" ref="O5:O68" si="5">_xlfn.IFNA(VLOOKUP(P5,f_details_of_candidates,2,FALSE),"")</f>
        <v>YASEEN</v>
      </c>
      <c r="P5" s="5" t="s">
        <v>44</v>
      </c>
      <c r="Q5" s="8">
        <v>15</v>
      </c>
      <c r="R5" s="10">
        <f>VLOOKUP(P5,ARTS!B$3:H$323,6,FALSE)</f>
        <v>18</v>
      </c>
      <c r="S5" s="10">
        <f>VLOOKUP(P5,ARTS!B$3:H$323,2,FALSE)</f>
        <v>0</v>
      </c>
    </row>
    <row r="6" spans="2:19" s="10" customFormat="1" ht="14.75" customHeight="1" x14ac:dyDescent="0.45">
      <c r="B6" s="14">
        <v>2</v>
      </c>
      <c r="C6" s="9" t="str">
        <f t="shared" si="0"/>
        <v>SENIOR</v>
      </c>
      <c r="D6" s="9" t="str">
        <f t="shared" si="1"/>
        <v>DAHF</v>
      </c>
      <c r="E6" s="9">
        <f t="shared" ref="E6:E34" si="6">IF(G6&lt;&gt;0,RANK(H6,H$5:H$34,0),"")</f>
        <v>1</v>
      </c>
      <c r="F6" s="9" t="str">
        <f t="shared" si="2"/>
        <v>MUHAMMED FARHAN</v>
      </c>
      <c r="G6" s="5" t="s">
        <v>38</v>
      </c>
      <c r="H6" s="8">
        <v>10</v>
      </c>
      <c r="K6" s="14">
        <v>2</v>
      </c>
      <c r="L6" s="9" t="str">
        <f t="shared" si="3"/>
        <v>SUPER SENIOR</v>
      </c>
      <c r="M6" s="9" t="str">
        <f t="shared" si="4"/>
        <v>BADF</v>
      </c>
      <c r="N6" s="9">
        <f t="shared" ref="N6:N69" si="7">IF(P6&lt;&gt;0,RANK(Q6,Q$5:Q$326,0),"")</f>
        <v>2</v>
      </c>
      <c r="O6" s="9" t="str">
        <f t="shared" si="5"/>
        <v>BADRUDHIN A</v>
      </c>
      <c r="P6" s="5" t="s">
        <v>43</v>
      </c>
      <c r="Q6" s="8">
        <v>14</v>
      </c>
      <c r="R6" s="10">
        <f>VLOOKUP(P6,ARTS!B$3:H$323,6,FALSE)</f>
        <v>18</v>
      </c>
      <c r="S6" s="10">
        <f>VLOOKUP(P6,ARTS!B$3:H$323,2,FALSE)</f>
        <v>0</v>
      </c>
    </row>
    <row r="7" spans="2:19" s="10" customFormat="1" ht="14.75" customHeight="1" x14ac:dyDescent="0.45">
      <c r="B7" s="14">
        <v>3</v>
      </c>
      <c r="C7" s="9" t="str">
        <f t="shared" si="0"/>
        <v>SENIOR</v>
      </c>
      <c r="D7" s="9" t="str">
        <f t="shared" si="1"/>
        <v>DAHF</v>
      </c>
      <c r="E7" s="9">
        <f t="shared" si="6"/>
        <v>1</v>
      </c>
      <c r="F7" s="9" t="str">
        <f t="shared" si="2"/>
        <v>IBRAHIM AFIL</v>
      </c>
      <c r="G7" s="5" t="s">
        <v>26</v>
      </c>
      <c r="H7" s="8">
        <v>10</v>
      </c>
      <c r="K7" s="14">
        <v>3</v>
      </c>
      <c r="L7" s="9" t="str">
        <f t="shared" si="3"/>
        <v>JUNIOR</v>
      </c>
      <c r="M7" s="9" t="str">
        <f t="shared" si="4"/>
        <v>BADF</v>
      </c>
      <c r="N7" s="9">
        <f t="shared" si="7"/>
        <v>3</v>
      </c>
      <c r="O7" s="9" t="str">
        <f t="shared" si="5"/>
        <v>RASALUL AMEEN T</v>
      </c>
      <c r="P7" s="8" t="s">
        <v>25</v>
      </c>
      <c r="Q7" s="8">
        <v>13</v>
      </c>
      <c r="R7" s="10" t="e">
        <f>VLOOKUP(P7,ARTS!B$3:H$323,6,FALSE)</f>
        <v>#N/A</v>
      </c>
      <c r="S7" s="10" t="e">
        <f>VLOOKUP(P7,ARTS!B$3:H$323,2,FALSE)</f>
        <v>#N/A</v>
      </c>
    </row>
    <row r="8" spans="2:19" s="10" customFormat="1" ht="14.75" customHeight="1" x14ac:dyDescent="0.45">
      <c r="B8" s="14">
        <v>4</v>
      </c>
      <c r="C8" s="9" t="str">
        <f t="shared" si="0"/>
        <v>JUNIOR</v>
      </c>
      <c r="D8" s="9" t="str">
        <f t="shared" si="1"/>
        <v>JARF</v>
      </c>
      <c r="E8" s="9">
        <f t="shared" si="6"/>
        <v>1</v>
      </c>
      <c r="F8" s="9" t="str">
        <f t="shared" si="2"/>
        <v>MOHAMMED BAQIR TS</v>
      </c>
      <c r="G8" s="5" t="s">
        <v>23</v>
      </c>
      <c r="H8" s="8">
        <v>10</v>
      </c>
      <c r="K8" s="14">
        <v>4</v>
      </c>
      <c r="L8" s="9" t="str">
        <f t="shared" si="3"/>
        <v>JUNIOR</v>
      </c>
      <c r="M8" s="9" t="str">
        <f t="shared" si="4"/>
        <v>JARF</v>
      </c>
      <c r="N8" s="9">
        <f t="shared" si="7"/>
        <v>3</v>
      </c>
      <c r="O8" s="9" t="str">
        <f t="shared" si="5"/>
        <v>MOHAMMED BAQIR TS</v>
      </c>
      <c r="P8" s="5" t="s">
        <v>23</v>
      </c>
      <c r="Q8" s="8">
        <v>13</v>
      </c>
      <c r="R8" s="10" t="e">
        <f>VLOOKUP(P8,ARTS!B$3:H$323,6,FALSE)</f>
        <v>#N/A</v>
      </c>
      <c r="S8" s="10" t="e">
        <f>VLOOKUP(P8,ARTS!B$3:H$323,2,FALSE)</f>
        <v>#N/A</v>
      </c>
    </row>
    <row r="9" spans="2:19" s="10" customFormat="1" ht="14.75" customHeight="1" x14ac:dyDescent="0.45">
      <c r="B9" s="14">
        <v>5</v>
      </c>
      <c r="C9" s="9" t="str">
        <f t="shared" si="0"/>
        <v>SUB JUNIOR</v>
      </c>
      <c r="D9" s="9" t="str">
        <f t="shared" si="1"/>
        <v>FANT</v>
      </c>
      <c r="E9" s="9">
        <f t="shared" si="6"/>
        <v>5</v>
      </c>
      <c r="F9" s="9" t="str">
        <f t="shared" si="2"/>
        <v>Mohammad Yaseen</v>
      </c>
      <c r="G9" s="5" t="s">
        <v>102</v>
      </c>
      <c r="H9" s="8">
        <v>8</v>
      </c>
      <c r="K9" s="14">
        <v>5</v>
      </c>
      <c r="L9" s="9" t="str">
        <f t="shared" si="3"/>
        <v>SENIOR</v>
      </c>
      <c r="M9" s="9" t="str">
        <f t="shared" si="4"/>
        <v>JARF</v>
      </c>
      <c r="N9" s="9">
        <f t="shared" si="7"/>
        <v>5</v>
      </c>
      <c r="O9" s="9" t="str">
        <f t="shared" si="5"/>
        <v>AHAMED ZAKI FOUZAN T.Z</v>
      </c>
      <c r="P9" s="5" t="s">
        <v>31</v>
      </c>
      <c r="Q9" s="8">
        <v>12</v>
      </c>
      <c r="R9" s="10" t="e">
        <f>VLOOKUP(P9,ARTS!B$3:H$323,6,FALSE)</f>
        <v>#N/A</v>
      </c>
      <c r="S9" s="10" t="e">
        <f>VLOOKUP(P9,ARTS!B$3:H$323,2,FALSE)</f>
        <v>#N/A</v>
      </c>
    </row>
    <row r="10" spans="2:19" s="10" customFormat="1" ht="14.75" customHeight="1" x14ac:dyDescent="0.45">
      <c r="B10" s="14">
        <v>6</v>
      </c>
      <c r="C10" s="9" t="str">
        <f t="shared" si="0"/>
        <v>SUB JUNIOR</v>
      </c>
      <c r="D10" s="9" t="str">
        <f t="shared" si="1"/>
        <v>BADF</v>
      </c>
      <c r="E10" s="9">
        <f t="shared" si="6"/>
        <v>5</v>
      </c>
      <c r="F10" s="9" t="str">
        <f t="shared" si="2"/>
        <v>AHAMED ADIL. A</v>
      </c>
      <c r="G10" s="5" t="s">
        <v>98</v>
      </c>
      <c r="H10" s="8">
        <v>8</v>
      </c>
      <c r="K10" s="14">
        <v>6</v>
      </c>
      <c r="L10" s="9" t="str">
        <f t="shared" si="3"/>
        <v>SUPER SENIOR</v>
      </c>
      <c r="M10" s="9" t="str">
        <f t="shared" si="4"/>
        <v>JARF</v>
      </c>
      <c r="N10" s="9">
        <f t="shared" si="7"/>
        <v>6</v>
      </c>
      <c r="O10" s="9" t="str">
        <f t="shared" si="5"/>
        <v>MUHAMMED ASBAQUE</v>
      </c>
      <c r="P10" s="5" t="s">
        <v>39</v>
      </c>
      <c r="Q10" s="8">
        <v>11</v>
      </c>
      <c r="R10" s="10" t="e">
        <f>VLOOKUP(P10,ARTS!B$3:H$323,6,FALSE)</f>
        <v>#N/A</v>
      </c>
      <c r="S10" s="10" t="e">
        <f>VLOOKUP(P10,ARTS!B$3:H$323,2,FALSE)</f>
        <v>#N/A</v>
      </c>
    </row>
    <row r="11" spans="2:19" s="10" customFormat="1" ht="14.75" customHeight="1" x14ac:dyDescent="0.45">
      <c r="B11" s="14">
        <v>7</v>
      </c>
      <c r="C11" s="9" t="str">
        <f t="shared" si="0"/>
        <v>SUB JUNIOR</v>
      </c>
      <c r="D11" s="9" t="str">
        <f t="shared" si="1"/>
        <v>BADF</v>
      </c>
      <c r="E11" s="9">
        <f t="shared" si="6"/>
        <v>5</v>
      </c>
      <c r="F11" s="9" t="str">
        <f t="shared" si="2"/>
        <v>MUHAMMED LUQMAN TD</v>
      </c>
      <c r="G11" s="5" t="s">
        <v>113</v>
      </c>
      <c r="H11" s="8">
        <v>8</v>
      </c>
      <c r="K11" s="14">
        <v>7</v>
      </c>
      <c r="L11" s="9" t="str">
        <f t="shared" si="3"/>
        <v>SENIOR</v>
      </c>
      <c r="M11" s="9" t="str">
        <f t="shared" si="4"/>
        <v>DAHF</v>
      </c>
      <c r="N11" s="9">
        <f t="shared" si="7"/>
        <v>7</v>
      </c>
      <c r="O11" s="9" t="str">
        <f t="shared" si="5"/>
        <v>MUHAMMED FARHAN</v>
      </c>
      <c r="P11" s="5" t="s">
        <v>38</v>
      </c>
      <c r="Q11" s="8">
        <v>10</v>
      </c>
      <c r="R11" s="10" t="e">
        <f>VLOOKUP(P11,ARTS!B$3:H$323,6,FALSE)</f>
        <v>#N/A</v>
      </c>
      <c r="S11" s="10" t="e">
        <f>VLOOKUP(P11,ARTS!B$3:H$323,2,FALSE)</f>
        <v>#N/A</v>
      </c>
    </row>
    <row r="12" spans="2:19" s="10" customFormat="1" ht="14.75" customHeight="1" x14ac:dyDescent="0.45">
      <c r="B12" s="14">
        <v>8</v>
      </c>
      <c r="C12" s="9" t="str">
        <f t="shared" si="0"/>
        <v>SENIOR</v>
      </c>
      <c r="D12" s="9" t="str">
        <f t="shared" si="1"/>
        <v>FANT</v>
      </c>
      <c r="E12" s="9">
        <f t="shared" si="6"/>
        <v>5</v>
      </c>
      <c r="F12" s="9" t="str">
        <f t="shared" si="2"/>
        <v>MUHAMMED ABDUL NASIF P.A</v>
      </c>
      <c r="G12" s="5" t="s">
        <v>216</v>
      </c>
      <c r="H12" s="8">
        <v>8</v>
      </c>
      <c r="K12" s="14">
        <v>8</v>
      </c>
      <c r="L12" s="9" t="str">
        <f t="shared" si="3"/>
        <v>SENIOR</v>
      </c>
      <c r="M12" s="9" t="str">
        <f t="shared" si="4"/>
        <v>BADF</v>
      </c>
      <c r="N12" s="9">
        <f t="shared" si="7"/>
        <v>7</v>
      </c>
      <c r="O12" s="9" t="str">
        <f t="shared" si="5"/>
        <v>MUHAMMED THASLEEM</v>
      </c>
      <c r="P12" s="5" t="s">
        <v>35</v>
      </c>
      <c r="Q12" s="8">
        <v>10</v>
      </c>
      <c r="R12" s="10" t="e">
        <f>VLOOKUP(P12,ARTS!B$3:H$323,6,FALSE)</f>
        <v>#N/A</v>
      </c>
      <c r="S12" s="10" t="e">
        <f>VLOOKUP(P12,ARTS!B$3:H$323,2,FALSE)</f>
        <v>#N/A</v>
      </c>
    </row>
    <row r="13" spans="2:19" s="10" customFormat="1" ht="14.75" customHeight="1" x14ac:dyDescent="0.45">
      <c r="B13" s="14">
        <v>9</v>
      </c>
      <c r="C13" s="9" t="str">
        <f t="shared" si="0"/>
        <v>SUPER SENIOR</v>
      </c>
      <c r="D13" s="9" t="str">
        <f t="shared" si="1"/>
        <v>DAHF</v>
      </c>
      <c r="E13" s="9">
        <f t="shared" si="6"/>
        <v>9</v>
      </c>
      <c r="F13" s="9" t="str">
        <f t="shared" si="2"/>
        <v>MUHAMMED MUFEED</v>
      </c>
      <c r="G13" s="5" t="s">
        <v>42</v>
      </c>
      <c r="H13" s="8">
        <v>7</v>
      </c>
      <c r="K13" s="14">
        <v>9</v>
      </c>
      <c r="L13" s="9" t="str">
        <f t="shared" si="3"/>
        <v>SUPER SENIOR</v>
      </c>
      <c r="M13" s="9" t="str">
        <f t="shared" si="4"/>
        <v>FANT</v>
      </c>
      <c r="N13" s="9">
        <f t="shared" si="7"/>
        <v>7</v>
      </c>
      <c r="O13" s="9" t="str">
        <f t="shared" si="5"/>
        <v>MOHAMMED SAHL CS</v>
      </c>
      <c r="P13" s="5" t="s">
        <v>268</v>
      </c>
      <c r="Q13" s="8">
        <v>10</v>
      </c>
      <c r="R13" s="10" t="e">
        <f>VLOOKUP(P13,ARTS!B$3:H$323,6,FALSE)</f>
        <v>#N/A</v>
      </c>
      <c r="S13" s="10" t="e">
        <f>VLOOKUP(P13,ARTS!B$3:H$323,2,FALSE)</f>
        <v>#N/A</v>
      </c>
    </row>
    <row r="14" spans="2:19" s="10" customFormat="1" ht="14.75" customHeight="1" x14ac:dyDescent="0.45">
      <c r="B14" s="14">
        <v>10</v>
      </c>
      <c r="C14" s="9" t="str">
        <f t="shared" si="0"/>
        <v>SUB JUNIOR</v>
      </c>
      <c r="D14" s="9" t="str">
        <f t="shared" si="1"/>
        <v>BADF</v>
      </c>
      <c r="E14" s="9">
        <f t="shared" si="6"/>
        <v>10</v>
      </c>
      <c r="F14" s="9" t="str">
        <f t="shared" si="2"/>
        <v>ABDULLAH A P</v>
      </c>
      <c r="G14" s="5" t="s">
        <v>97</v>
      </c>
      <c r="H14" s="8">
        <v>6</v>
      </c>
      <c r="K14" s="14">
        <v>10</v>
      </c>
      <c r="L14" s="9" t="str">
        <f t="shared" si="3"/>
        <v>SENIOR</v>
      </c>
      <c r="M14" s="9" t="str">
        <f t="shared" si="4"/>
        <v>DAHF</v>
      </c>
      <c r="N14" s="9">
        <f t="shared" si="7"/>
        <v>7</v>
      </c>
      <c r="O14" s="9" t="str">
        <f t="shared" si="5"/>
        <v>IBRAHIM AFIL</v>
      </c>
      <c r="P14" s="5" t="s">
        <v>26</v>
      </c>
      <c r="Q14" s="8">
        <v>10</v>
      </c>
      <c r="R14" s="10" t="e">
        <f>VLOOKUP(P14,ARTS!B$3:H$323,6,FALSE)</f>
        <v>#N/A</v>
      </c>
      <c r="S14" s="10" t="e">
        <f>VLOOKUP(P14,ARTS!B$3:H$323,2,FALSE)</f>
        <v>#N/A</v>
      </c>
    </row>
    <row r="15" spans="2:19" s="10" customFormat="1" ht="14.75" customHeight="1" x14ac:dyDescent="0.45">
      <c r="B15" s="14">
        <v>11</v>
      </c>
      <c r="C15" s="9" t="str">
        <f t="shared" si="0"/>
        <v>SUPER SENIOR</v>
      </c>
      <c r="D15" s="9" t="str">
        <f t="shared" si="1"/>
        <v>DAHF</v>
      </c>
      <c r="E15" s="9">
        <f t="shared" si="6"/>
        <v>10</v>
      </c>
      <c r="F15" s="9" t="str">
        <f t="shared" si="2"/>
        <v>MUHAMMED SIFARATH T A</v>
      </c>
      <c r="G15" s="5" t="s">
        <v>334</v>
      </c>
      <c r="H15" s="8">
        <v>6</v>
      </c>
      <c r="K15" s="14">
        <v>11</v>
      </c>
      <c r="L15" s="9" t="str">
        <f t="shared" si="3"/>
        <v>SENIOR</v>
      </c>
      <c r="M15" s="9" t="str">
        <f t="shared" si="4"/>
        <v>BADF</v>
      </c>
      <c r="N15" s="9">
        <f t="shared" si="7"/>
        <v>11</v>
      </c>
      <c r="O15" s="9" t="str">
        <f t="shared" si="5"/>
        <v>SULAIMAN FAHAD AP</v>
      </c>
      <c r="P15" s="5" t="s">
        <v>30</v>
      </c>
      <c r="Q15" s="8">
        <v>9</v>
      </c>
      <c r="R15" s="10" t="e">
        <f>VLOOKUP(P15,ARTS!B$3:H$323,6,FALSE)</f>
        <v>#N/A</v>
      </c>
      <c r="S15" s="10" t="e">
        <f>VLOOKUP(P15,ARTS!B$3:H$323,2,FALSE)</f>
        <v>#N/A</v>
      </c>
    </row>
    <row r="16" spans="2:19" s="10" customFormat="1" ht="14.75" customHeight="1" x14ac:dyDescent="0.45">
      <c r="B16" s="14">
        <v>12</v>
      </c>
      <c r="C16" s="9" t="str">
        <f t="shared" si="0"/>
        <v>SUB JUNIOR</v>
      </c>
      <c r="D16" s="9" t="str">
        <f t="shared" si="1"/>
        <v>JARF</v>
      </c>
      <c r="E16" s="9">
        <f t="shared" si="6"/>
        <v>10</v>
      </c>
      <c r="F16" s="9" t="str">
        <f t="shared" si="2"/>
        <v>IBRAHIM KALEEL</v>
      </c>
      <c r="G16" s="5" t="s">
        <v>15</v>
      </c>
      <c r="H16" s="8">
        <v>6</v>
      </c>
      <c r="K16" s="14">
        <v>12</v>
      </c>
      <c r="L16" s="9" t="str">
        <f t="shared" si="3"/>
        <v>SUB JUNIOR</v>
      </c>
      <c r="M16" s="9" t="str">
        <f t="shared" si="4"/>
        <v>FANT</v>
      </c>
      <c r="N16" s="9">
        <f t="shared" si="7"/>
        <v>12</v>
      </c>
      <c r="O16" s="9" t="str">
        <f t="shared" si="5"/>
        <v>Mohammad Yaseen</v>
      </c>
      <c r="P16" s="5" t="s">
        <v>102</v>
      </c>
      <c r="Q16" s="8">
        <v>8</v>
      </c>
      <c r="R16" s="10" t="e">
        <f>VLOOKUP(P16,ARTS!B$3:H$323,6,FALSE)</f>
        <v>#N/A</v>
      </c>
      <c r="S16" s="10" t="e">
        <f>VLOOKUP(P16,ARTS!B$3:H$323,2,FALSE)</f>
        <v>#N/A</v>
      </c>
    </row>
    <row r="17" spans="2:19" s="10" customFormat="1" ht="14.75" customHeight="1" x14ac:dyDescent="0.45">
      <c r="B17" s="14"/>
      <c r="C17" s="9">
        <f t="shared" si="0"/>
        <v>0</v>
      </c>
      <c r="D17" s="9">
        <f t="shared" si="1"/>
        <v>0</v>
      </c>
      <c r="E17" s="9" t="str">
        <f t="shared" si="6"/>
        <v/>
      </c>
      <c r="F17" s="9">
        <f t="shared" si="2"/>
        <v>0</v>
      </c>
      <c r="G17"/>
      <c r="H17"/>
      <c r="K17" s="14">
        <v>13</v>
      </c>
      <c r="L17" s="9" t="str">
        <f t="shared" si="3"/>
        <v>SENIOR</v>
      </c>
      <c r="M17" s="9" t="str">
        <f t="shared" si="4"/>
        <v>BADF</v>
      </c>
      <c r="N17" s="9">
        <f t="shared" si="7"/>
        <v>12</v>
      </c>
      <c r="O17" s="9" t="str">
        <f t="shared" si="5"/>
        <v>MUHAMMED ABDUL KADER</v>
      </c>
      <c r="P17" s="5" t="s">
        <v>186</v>
      </c>
      <c r="Q17" s="8">
        <v>8</v>
      </c>
      <c r="R17" s="10" t="e">
        <f>VLOOKUP(P17,ARTS!B$3:H$323,6,FALSE)</f>
        <v>#N/A</v>
      </c>
      <c r="S17" s="10" t="e">
        <f>VLOOKUP(P17,ARTS!B$3:H$323,2,FALSE)</f>
        <v>#N/A</v>
      </c>
    </row>
    <row r="18" spans="2:19" s="10" customFormat="1" ht="14.75" customHeight="1" x14ac:dyDescent="0.45">
      <c r="B18" s="14"/>
      <c r="C18" s="9">
        <f t="shared" si="0"/>
        <v>0</v>
      </c>
      <c r="D18" s="9">
        <f t="shared" si="1"/>
        <v>0</v>
      </c>
      <c r="E18" s="9" t="str">
        <f t="shared" si="6"/>
        <v/>
      </c>
      <c r="F18" s="9">
        <f t="shared" si="2"/>
        <v>0</v>
      </c>
      <c r="G18"/>
      <c r="H18"/>
      <c r="K18" s="14">
        <v>14</v>
      </c>
      <c r="L18" s="9" t="str">
        <f t="shared" si="3"/>
        <v>SUPER SENIOR</v>
      </c>
      <c r="M18" s="9" t="str">
        <f t="shared" si="4"/>
        <v>BADF</v>
      </c>
      <c r="N18" s="9">
        <f t="shared" si="7"/>
        <v>12</v>
      </c>
      <c r="O18" s="9" t="str">
        <f t="shared" si="5"/>
        <v>MUHAMMED UNAIS CK</v>
      </c>
      <c r="P18" s="5" t="s">
        <v>280</v>
      </c>
      <c r="Q18" s="8">
        <v>8</v>
      </c>
      <c r="R18" s="10" t="e">
        <f>VLOOKUP(P18,ARTS!B$3:H$323,6,FALSE)</f>
        <v>#N/A</v>
      </c>
      <c r="S18" s="10" t="e">
        <f>VLOOKUP(P18,ARTS!B$3:H$323,2,FALSE)</f>
        <v>#N/A</v>
      </c>
    </row>
    <row r="19" spans="2:19" s="10" customFormat="1" ht="14.75" customHeight="1" x14ac:dyDescent="0.45">
      <c r="B19" s="14"/>
      <c r="C19" s="9">
        <f t="shared" si="0"/>
        <v>0</v>
      </c>
      <c r="D19" s="9">
        <f t="shared" si="1"/>
        <v>0</v>
      </c>
      <c r="E19" s="9" t="str">
        <f t="shared" si="6"/>
        <v/>
      </c>
      <c r="F19" s="9">
        <f t="shared" si="2"/>
        <v>0</v>
      </c>
      <c r="G19" s="11"/>
      <c r="H19" s="11"/>
      <c r="K19" s="14">
        <v>15</v>
      </c>
      <c r="L19" s="9" t="str">
        <f t="shared" si="3"/>
        <v>SENIOR</v>
      </c>
      <c r="M19" s="9" t="str">
        <f t="shared" si="4"/>
        <v>FANT</v>
      </c>
      <c r="N19" s="9">
        <f t="shared" si="7"/>
        <v>12</v>
      </c>
      <c r="O19" s="9" t="str">
        <f t="shared" si="5"/>
        <v>MUHAMMAD K.A</v>
      </c>
      <c r="P19" s="5" t="s">
        <v>239</v>
      </c>
      <c r="Q19" s="8">
        <v>8</v>
      </c>
      <c r="R19" s="10" t="e">
        <f>VLOOKUP(P19,ARTS!B$3:H$323,6,FALSE)</f>
        <v>#N/A</v>
      </c>
      <c r="S19" s="10" t="e">
        <f>VLOOKUP(P19,ARTS!B$3:H$323,2,FALSE)</f>
        <v>#N/A</v>
      </c>
    </row>
    <row r="20" spans="2:19" s="10" customFormat="1" ht="14.75" customHeight="1" x14ac:dyDescent="0.45">
      <c r="B20" s="14"/>
      <c r="C20" s="9">
        <f t="shared" si="0"/>
        <v>0</v>
      </c>
      <c r="D20" s="9">
        <f t="shared" si="1"/>
        <v>0</v>
      </c>
      <c r="E20" s="9" t="str">
        <f t="shared" si="6"/>
        <v/>
      </c>
      <c r="F20" s="9">
        <f t="shared" si="2"/>
        <v>0</v>
      </c>
      <c r="G20" s="11"/>
      <c r="H20" s="11"/>
      <c r="K20" s="14">
        <v>16</v>
      </c>
      <c r="L20" s="9" t="str">
        <f t="shared" si="3"/>
        <v>SUB JUNIOR</v>
      </c>
      <c r="M20" s="9" t="str">
        <f t="shared" si="4"/>
        <v>BADF</v>
      </c>
      <c r="N20" s="9">
        <f t="shared" si="7"/>
        <v>12</v>
      </c>
      <c r="O20" s="9" t="str">
        <f t="shared" si="5"/>
        <v>AHAMED ADIL. A</v>
      </c>
      <c r="P20" s="5" t="s">
        <v>98</v>
      </c>
      <c r="Q20" s="8">
        <v>8</v>
      </c>
      <c r="R20" s="10" t="e">
        <f>VLOOKUP(P20,ARTS!B$3:H$323,6,FALSE)</f>
        <v>#N/A</v>
      </c>
      <c r="S20" s="10" t="e">
        <f>VLOOKUP(P20,ARTS!B$3:H$323,2,FALSE)</f>
        <v>#N/A</v>
      </c>
    </row>
    <row r="21" spans="2:19" s="10" customFormat="1" ht="14.75" customHeight="1" x14ac:dyDescent="0.45">
      <c r="B21" s="14"/>
      <c r="C21" s="9">
        <f t="shared" si="0"/>
        <v>0</v>
      </c>
      <c r="D21" s="9">
        <f t="shared" si="1"/>
        <v>0</v>
      </c>
      <c r="E21" s="9" t="str">
        <f t="shared" si="6"/>
        <v/>
      </c>
      <c r="F21" s="9">
        <f t="shared" si="2"/>
        <v>0</v>
      </c>
      <c r="G21" s="11"/>
      <c r="H21" s="11"/>
      <c r="K21" s="14">
        <v>17</v>
      </c>
      <c r="L21" s="9" t="str">
        <f t="shared" si="3"/>
        <v>SUB JUNIOR</v>
      </c>
      <c r="M21" s="9" t="str">
        <f t="shared" si="4"/>
        <v>BADF</v>
      </c>
      <c r="N21" s="9">
        <f t="shared" si="7"/>
        <v>12</v>
      </c>
      <c r="O21" s="9" t="str">
        <f t="shared" si="5"/>
        <v>MUHAMMED LUQMAN TD</v>
      </c>
      <c r="P21" s="5" t="s">
        <v>113</v>
      </c>
      <c r="Q21" s="8">
        <v>8</v>
      </c>
      <c r="R21" s="10" t="e">
        <f>VLOOKUP(P21,ARTS!B$3:H$323,6,FALSE)</f>
        <v>#N/A</v>
      </c>
      <c r="S21" s="10" t="e">
        <f>VLOOKUP(P21,ARTS!B$3:H$323,2,FALSE)</f>
        <v>#N/A</v>
      </c>
    </row>
    <row r="22" spans="2:19" s="10" customFormat="1" ht="14.75" customHeight="1" x14ac:dyDescent="0.45">
      <c r="B22" s="14"/>
      <c r="C22" s="9">
        <f t="shared" si="0"/>
        <v>0</v>
      </c>
      <c r="D22" s="9">
        <f t="shared" si="1"/>
        <v>0</v>
      </c>
      <c r="E22" s="9" t="str">
        <f t="shared" si="6"/>
        <v/>
      </c>
      <c r="F22" s="9">
        <f t="shared" si="2"/>
        <v>0</v>
      </c>
      <c r="G22" s="11"/>
      <c r="H22" s="11"/>
      <c r="K22" s="14">
        <v>18</v>
      </c>
      <c r="L22" s="9" t="str">
        <f t="shared" si="3"/>
        <v>SENIOR</v>
      </c>
      <c r="M22" s="9" t="str">
        <f t="shared" si="4"/>
        <v>FANT</v>
      </c>
      <c r="N22" s="9">
        <f t="shared" si="7"/>
        <v>12</v>
      </c>
      <c r="O22" s="9" t="str">
        <f t="shared" si="5"/>
        <v>MUHAMMED ABDUL NASIF P.A</v>
      </c>
      <c r="P22" s="5" t="s">
        <v>216</v>
      </c>
      <c r="Q22" s="8">
        <v>8</v>
      </c>
      <c r="R22" s="10" t="e">
        <f>VLOOKUP(P22,ARTS!B$3:H$323,6,FALSE)</f>
        <v>#N/A</v>
      </c>
      <c r="S22" s="10" t="e">
        <f>VLOOKUP(P22,ARTS!B$3:H$323,2,FALSE)</f>
        <v>#N/A</v>
      </c>
    </row>
    <row r="23" spans="2:19" s="10" customFormat="1" ht="14.75" customHeight="1" x14ac:dyDescent="0.45">
      <c r="B23" s="14"/>
      <c r="C23" s="9">
        <f t="shared" si="0"/>
        <v>0</v>
      </c>
      <c r="D23" s="9">
        <f t="shared" si="1"/>
        <v>0</v>
      </c>
      <c r="E23" s="9" t="str">
        <f t="shared" si="6"/>
        <v/>
      </c>
      <c r="F23" s="9">
        <f t="shared" si="2"/>
        <v>0</v>
      </c>
      <c r="G23" s="11"/>
      <c r="H23" s="11"/>
      <c r="K23" s="14">
        <v>19</v>
      </c>
      <c r="L23" s="9" t="str">
        <f t="shared" si="3"/>
        <v>SUPER SENIOR</v>
      </c>
      <c r="M23" s="9" t="str">
        <f t="shared" si="4"/>
        <v>DAHF</v>
      </c>
      <c r="N23" s="9">
        <f t="shared" si="7"/>
        <v>19</v>
      </c>
      <c r="O23" s="9" t="str">
        <f t="shared" si="5"/>
        <v>MUHAMMED MUFEED</v>
      </c>
      <c r="P23" s="5" t="s">
        <v>42</v>
      </c>
      <c r="Q23" s="8">
        <v>7</v>
      </c>
      <c r="R23" s="10">
        <f>VLOOKUP(P23,ARTS!B$3:H$323,6,FALSE)</f>
        <v>15</v>
      </c>
      <c r="S23" s="10">
        <f>VLOOKUP(P23,ARTS!B$3:H$323,2,FALSE)</f>
        <v>2</v>
      </c>
    </row>
    <row r="24" spans="2:19" s="10" customFormat="1" ht="14.75" customHeight="1" x14ac:dyDescent="0.45">
      <c r="B24" s="14"/>
      <c r="C24" s="9">
        <f t="shared" si="0"/>
        <v>0</v>
      </c>
      <c r="D24" s="9">
        <f t="shared" si="1"/>
        <v>0</v>
      </c>
      <c r="E24" s="9" t="str">
        <f t="shared" si="6"/>
        <v/>
      </c>
      <c r="F24" s="9">
        <f t="shared" si="2"/>
        <v>0</v>
      </c>
      <c r="G24" s="11"/>
      <c r="H24" s="11"/>
      <c r="K24" s="14">
        <v>20</v>
      </c>
      <c r="L24" s="9" t="str">
        <f t="shared" si="3"/>
        <v>SUPER SENIOR</v>
      </c>
      <c r="M24" s="9" t="str">
        <f t="shared" si="4"/>
        <v>DAHF</v>
      </c>
      <c r="N24" s="9">
        <f t="shared" si="7"/>
        <v>19</v>
      </c>
      <c r="O24" s="9" t="str">
        <f t="shared" si="5"/>
        <v>MUHAMMED SIFARATH T A</v>
      </c>
      <c r="P24" s="5" t="s">
        <v>334</v>
      </c>
      <c r="Q24" s="8">
        <v>7</v>
      </c>
      <c r="R24" s="10">
        <f>VLOOKUP(P24,ARTS!B$3:H$323,6,FALSE)</f>
        <v>14</v>
      </c>
      <c r="S24" s="10">
        <f>VLOOKUP(P24,ARTS!B$3:H$323,2,FALSE)</f>
        <v>3</v>
      </c>
    </row>
    <row r="25" spans="2:19" s="10" customFormat="1" ht="14.75" customHeight="1" x14ac:dyDescent="0.45">
      <c r="B25" s="14"/>
      <c r="C25" s="9">
        <f t="shared" si="0"/>
        <v>0</v>
      </c>
      <c r="D25" s="9">
        <f t="shared" si="1"/>
        <v>0</v>
      </c>
      <c r="E25" s="9" t="str">
        <f t="shared" si="6"/>
        <v/>
      </c>
      <c r="F25" s="9">
        <f t="shared" si="2"/>
        <v>0</v>
      </c>
      <c r="G25" s="11"/>
      <c r="H25" s="11"/>
      <c r="K25" s="14">
        <v>21</v>
      </c>
      <c r="L25" s="9" t="str">
        <f t="shared" si="3"/>
        <v>SUB JUNIOR</v>
      </c>
      <c r="M25" s="9" t="str">
        <f t="shared" si="4"/>
        <v>BADF</v>
      </c>
      <c r="N25" s="9">
        <f t="shared" si="7"/>
        <v>21</v>
      </c>
      <c r="O25" s="9" t="str">
        <f t="shared" si="5"/>
        <v>ABDULLAH A P</v>
      </c>
      <c r="P25" s="5" t="s">
        <v>97</v>
      </c>
      <c r="Q25" s="8">
        <v>6</v>
      </c>
      <c r="R25" s="10" t="e">
        <f>VLOOKUP(P25,ARTS!B$3:H$323,6,FALSE)</f>
        <v>#N/A</v>
      </c>
      <c r="S25" s="10" t="e">
        <f>VLOOKUP(P25,ARTS!B$3:H$323,2,FALSE)</f>
        <v>#N/A</v>
      </c>
    </row>
    <row r="26" spans="2:19" s="10" customFormat="1" ht="14.75" customHeight="1" x14ac:dyDescent="0.45">
      <c r="B26" s="14"/>
      <c r="C26" s="9">
        <f t="shared" si="0"/>
        <v>0</v>
      </c>
      <c r="D26" s="9">
        <f t="shared" si="1"/>
        <v>0</v>
      </c>
      <c r="E26" s="9" t="str">
        <f t="shared" si="6"/>
        <v/>
      </c>
      <c r="F26" s="9">
        <f t="shared" si="2"/>
        <v>0</v>
      </c>
      <c r="G26" s="11"/>
      <c r="H26" s="11"/>
      <c r="K26" s="14">
        <v>22</v>
      </c>
      <c r="L26" s="9" t="str">
        <f t="shared" si="3"/>
        <v>SUB JUNIOR</v>
      </c>
      <c r="M26" s="9" t="str">
        <f t="shared" si="4"/>
        <v>JARF</v>
      </c>
      <c r="N26" s="9">
        <f t="shared" si="7"/>
        <v>21</v>
      </c>
      <c r="O26" s="9" t="str">
        <f t="shared" si="5"/>
        <v>IBRAHIM KALEEL</v>
      </c>
      <c r="P26" s="5" t="s">
        <v>15</v>
      </c>
      <c r="Q26" s="8">
        <v>6</v>
      </c>
      <c r="R26" s="10" t="e">
        <f>VLOOKUP(P26,ARTS!B$3:H$323,6,FALSE)</f>
        <v>#N/A</v>
      </c>
      <c r="S26" s="10" t="e">
        <f>VLOOKUP(P26,ARTS!B$3:H$323,2,FALSE)</f>
        <v>#N/A</v>
      </c>
    </row>
    <row r="27" spans="2:19" s="10" customFormat="1" ht="14.75" customHeight="1" x14ac:dyDescent="0.45">
      <c r="B27" s="14"/>
      <c r="C27" s="9">
        <f t="shared" si="0"/>
        <v>0</v>
      </c>
      <c r="D27" s="9">
        <f t="shared" si="1"/>
        <v>0</v>
      </c>
      <c r="E27" s="9" t="str">
        <f t="shared" si="6"/>
        <v/>
      </c>
      <c r="F27" s="9">
        <f t="shared" si="2"/>
        <v>0</v>
      </c>
      <c r="G27" s="11"/>
      <c r="H27" s="11"/>
      <c r="K27" s="14">
        <v>23</v>
      </c>
      <c r="L27" s="9" t="str">
        <f t="shared" si="3"/>
        <v>SUPER SENIOR</v>
      </c>
      <c r="M27" s="9" t="str">
        <f t="shared" si="4"/>
        <v>DAHF</v>
      </c>
      <c r="N27" s="9">
        <f t="shared" si="7"/>
        <v>21</v>
      </c>
      <c r="O27" s="9" t="str">
        <f t="shared" si="5"/>
        <v>ABDUL RAHMAN MUNZIR</v>
      </c>
      <c r="P27" s="5" t="s">
        <v>272</v>
      </c>
      <c r="Q27" s="8">
        <v>6</v>
      </c>
      <c r="R27" s="10" t="e">
        <f>VLOOKUP(P27,ARTS!B$3:H$323,6,FALSE)</f>
        <v>#N/A</v>
      </c>
      <c r="S27" s="10" t="e">
        <f>VLOOKUP(P27,ARTS!B$3:H$323,2,FALSE)</f>
        <v>#N/A</v>
      </c>
    </row>
    <row r="28" spans="2:19" s="10" customFormat="1" ht="14.75" customHeight="1" x14ac:dyDescent="0.45">
      <c r="B28" s="14"/>
      <c r="C28" s="9">
        <f t="shared" si="0"/>
        <v>0</v>
      </c>
      <c r="D28" s="9">
        <f t="shared" si="1"/>
        <v>0</v>
      </c>
      <c r="E28" s="9" t="str">
        <f t="shared" si="6"/>
        <v/>
      </c>
      <c r="F28" s="9">
        <f t="shared" si="2"/>
        <v>0</v>
      </c>
      <c r="G28" s="11"/>
      <c r="H28" s="11"/>
      <c r="K28" s="14">
        <v>24</v>
      </c>
      <c r="L28" s="9" t="str">
        <f t="shared" si="3"/>
        <v>SUB JUNIOR</v>
      </c>
      <c r="M28" s="9" t="str">
        <f t="shared" si="4"/>
        <v>FANT</v>
      </c>
      <c r="N28" s="9">
        <f t="shared" si="7"/>
        <v>24</v>
      </c>
      <c r="O28" s="9" t="str">
        <f t="shared" si="5"/>
        <v>HUSSAIN MUHAVIZ B A</v>
      </c>
      <c r="P28" s="5" t="s">
        <v>14</v>
      </c>
      <c r="Q28" s="8">
        <v>5</v>
      </c>
      <c r="R28" s="10" t="e">
        <f>VLOOKUP(P28,ARTS!B$3:H$323,6,FALSE)</f>
        <v>#N/A</v>
      </c>
      <c r="S28" s="10" t="e">
        <f>VLOOKUP(P28,ARTS!B$3:H$323,2,FALSE)</f>
        <v>#N/A</v>
      </c>
    </row>
    <row r="29" spans="2:19" s="10" customFormat="1" ht="14.75" customHeight="1" x14ac:dyDescent="0.45">
      <c r="B29" s="14"/>
      <c r="C29" s="9">
        <f t="shared" si="0"/>
        <v>0</v>
      </c>
      <c r="D29" s="9">
        <f t="shared" si="1"/>
        <v>0</v>
      </c>
      <c r="E29" s="9" t="str">
        <f t="shared" si="6"/>
        <v/>
      </c>
      <c r="F29" s="9">
        <f t="shared" si="2"/>
        <v>0</v>
      </c>
      <c r="G29" s="11"/>
      <c r="H29" s="11"/>
      <c r="K29" s="14">
        <v>25</v>
      </c>
      <c r="L29" s="9" t="str">
        <f t="shared" si="3"/>
        <v>SENIOR</v>
      </c>
      <c r="M29" s="9" t="str">
        <f t="shared" si="4"/>
        <v>JARF</v>
      </c>
      <c r="N29" s="9">
        <f t="shared" si="7"/>
        <v>24</v>
      </c>
      <c r="O29" s="9" t="str">
        <f t="shared" si="5"/>
        <v>MOHAMMED ASHMIL K A</v>
      </c>
      <c r="P29" s="5" t="s">
        <v>32</v>
      </c>
      <c r="Q29" s="8">
        <v>5</v>
      </c>
      <c r="R29" s="10" t="e">
        <f>VLOOKUP(P29,ARTS!B$3:H$323,6,FALSE)</f>
        <v>#N/A</v>
      </c>
      <c r="S29" s="10" t="e">
        <f>VLOOKUP(P29,ARTS!B$3:H$323,2,FALSE)</f>
        <v>#N/A</v>
      </c>
    </row>
    <row r="30" spans="2:19" s="10" customFormat="1" ht="14.75" customHeight="1" x14ac:dyDescent="0.45">
      <c r="B30" s="14"/>
      <c r="C30" s="9">
        <f t="shared" si="0"/>
        <v>0</v>
      </c>
      <c r="D30" s="9">
        <f t="shared" si="1"/>
        <v>0</v>
      </c>
      <c r="E30" s="9" t="str">
        <f t="shared" si="6"/>
        <v/>
      </c>
      <c r="F30" s="9">
        <f t="shared" si="2"/>
        <v>0</v>
      </c>
      <c r="G30" s="11"/>
      <c r="H30" s="11"/>
      <c r="K30" s="14">
        <v>26</v>
      </c>
      <c r="L30" s="9" t="str">
        <f t="shared" si="3"/>
        <v>SUPER SENIOR</v>
      </c>
      <c r="M30" s="9" t="str">
        <f t="shared" si="4"/>
        <v>FANT</v>
      </c>
      <c r="N30" s="9">
        <f t="shared" si="7"/>
        <v>24</v>
      </c>
      <c r="O30" s="9" t="str">
        <f t="shared" si="5"/>
        <v>ABDUL JANIS</v>
      </c>
      <c r="P30" s="5" t="s">
        <v>40</v>
      </c>
      <c r="Q30" s="8">
        <v>5</v>
      </c>
      <c r="R30" s="10" t="e">
        <f>VLOOKUP(P30,ARTS!B$3:H$323,6,FALSE)</f>
        <v>#N/A</v>
      </c>
      <c r="S30" s="10" t="e">
        <f>VLOOKUP(P30,ARTS!B$3:H$323,2,FALSE)</f>
        <v>#N/A</v>
      </c>
    </row>
    <row r="31" spans="2:19" s="10" customFormat="1" ht="14.75" customHeight="1" x14ac:dyDescent="0.45">
      <c r="B31" s="14"/>
      <c r="C31" s="9">
        <f t="shared" si="0"/>
        <v>0</v>
      </c>
      <c r="D31" s="9">
        <f t="shared" si="1"/>
        <v>0</v>
      </c>
      <c r="E31" s="9" t="str">
        <f t="shared" si="6"/>
        <v/>
      </c>
      <c r="F31" s="9">
        <f t="shared" si="2"/>
        <v>0</v>
      </c>
      <c r="G31" s="11"/>
      <c r="H31" s="11"/>
      <c r="K31" s="14">
        <v>27</v>
      </c>
      <c r="L31" s="9" t="str">
        <f t="shared" si="3"/>
        <v>SUB JUNIOR</v>
      </c>
      <c r="M31" s="9" t="str">
        <f t="shared" si="4"/>
        <v>FANT</v>
      </c>
      <c r="N31" s="9">
        <f t="shared" si="7"/>
        <v>24</v>
      </c>
      <c r="O31" s="9" t="str">
        <f t="shared" si="5"/>
        <v>MUHAMMED BIN JAFAR</v>
      </c>
      <c r="P31" s="5" t="s">
        <v>16</v>
      </c>
      <c r="Q31" s="8">
        <v>5</v>
      </c>
      <c r="R31" s="10" t="e">
        <f>VLOOKUP(P31,ARTS!B$3:H$323,6,FALSE)</f>
        <v>#N/A</v>
      </c>
      <c r="S31" s="10" t="e">
        <f>VLOOKUP(P31,ARTS!B$3:H$323,2,FALSE)</f>
        <v>#N/A</v>
      </c>
    </row>
    <row r="32" spans="2:19" s="10" customFormat="1" ht="14.75" customHeight="1" x14ac:dyDescent="0.45">
      <c r="B32" s="14"/>
      <c r="C32" s="9">
        <f t="shared" si="0"/>
        <v>0</v>
      </c>
      <c r="D32" s="9">
        <f t="shared" si="1"/>
        <v>0</v>
      </c>
      <c r="E32" s="9" t="str">
        <f t="shared" si="6"/>
        <v/>
      </c>
      <c r="F32" s="9">
        <f t="shared" si="2"/>
        <v>0</v>
      </c>
      <c r="G32" s="11"/>
      <c r="H32" s="11"/>
      <c r="K32" s="14">
        <v>28</v>
      </c>
      <c r="L32" s="9" t="str">
        <f t="shared" si="3"/>
        <v>SUPER SENIOR</v>
      </c>
      <c r="M32" s="9" t="str">
        <f t="shared" si="4"/>
        <v>JARF</v>
      </c>
      <c r="N32" s="9">
        <f t="shared" si="7"/>
        <v>24</v>
      </c>
      <c r="O32" s="9" t="str">
        <f t="shared" si="5"/>
        <v>MOHAMMED NASFAR AFNAN H</v>
      </c>
      <c r="P32" s="5" t="s">
        <v>319</v>
      </c>
      <c r="Q32" s="8">
        <v>5</v>
      </c>
      <c r="R32" s="10">
        <f>VLOOKUP(P32,ARTS!B$3:H$323,6,FALSE)</f>
        <v>18</v>
      </c>
      <c r="S32" s="10">
        <f>VLOOKUP(P32,ARTS!B$3:H$323,2,FALSE)</f>
        <v>0</v>
      </c>
    </row>
    <row r="33" spans="2:19" s="10" customFormat="1" ht="14.75" customHeight="1" x14ac:dyDescent="0.45">
      <c r="B33" s="14"/>
      <c r="C33" s="9">
        <f t="shared" si="0"/>
        <v>0</v>
      </c>
      <c r="D33" s="9">
        <f t="shared" si="1"/>
        <v>0</v>
      </c>
      <c r="E33" s="9" t="str">
        <f t="shared" si="6"/>
        <v/>
      </c>
      <c r="F33" s="9">
        <f t="shared" si="2"/>
        <v>0</v>
      </c>
      <c r="G33" s="11"/>
      <c r="H33" s="11"/>
      <c r="K33" s="14">
        <v>29</v>
      </c>
      <c r="L33" s="9" t="str">
        <f t="shared" si="3"/>
        <v>JUNIOR</v>
      </c>
      <c r="M33" s="9" t="str">
        <f t="shared" si="4"/>
        <v>JARF</v>
      </c>
      <c r="N33" s="9">
        <f t="shared" si="7"/>
        <v>24</v>
      </c>
      <c r="O33" s="9" t="str">
        <f t="shared" si="5"/>
        <v>MUHAMMED MUNAZIR MM</v>
      </c>
      <c r="P33" s="5" t="s">
        <v>173</v>
      </c>
      <c r="Q33" s="8">
        <v>5</v>
      </c>
      <c r="R33" s="10" t="e">
        <f>VLOOKUP(P33,ARTS!B$3:H$323,6,FALSE)</f>
        <v>#N/A</v>
      </c>
      <c r="S33" s="10" t="e">
        <f>VLOOKUP(P33,ARTS!B$3:H$323,2,FALSE)</f>
        <v>#N/A</v>
      </c>
    </row>
    <row r="34" spans="2:19" s="10" customFormat="1" ht="14.75" customHeight="1" x14ac:dyDescent="0.45">
      <c r="B34" s="14"/>
      <c r="C34" s="9">
        <f t="shared" si="0"/>
        <v>0</v>
      </c>
      <c r="D34" s="9">
        <f t="shared" si="1"/>
        <v>0</v>
      </c>
      <c r="E34" s="9" t="str">
        <f t="shared" si="6"/>
        <v/>
      </c>
      <c r="F34" s="9">
        <f t="shared" si="2"/>
        <v>0</v>
      </c>
      <c r="G34" s="11"/>
      <c r="H34" s="11"/>
      <c r="K34" s="14">
        <v>30</v>
      </c>
      <c r="L34" s="9" t="str">
        <f t="shared" si="3"/>
        <v>SUPER SENIOR</v>
      </c>
      <c r="M34" s="9" t="str">
        <f t="shared" si="4"/>
        <v>DAHF</v>
      </c>
      <c r="N34" s="9">
        <f t="shared" si="7"/>
        <v>24</v>
      </c>
      <c r="O34" s="9" t="str">
        <f t="shared" si="5"/>
        <v>ABDUL KHADER</v>
      </c>
      <c r="P34" s="5" t="s">
        <v>298</v>
      </c>
      <c r="Q34" s="8">
        <v>5</v>
      </c>
      <c r="R34" s="10" t="e">
        <f>VLOOKUP(P34,ARTS!B$3:H$323,6,FALSE)</f>
        <v>#N/A</v>
      </c>
      <c r="S34" s="10" t="e">
        <f>VLOOKUP(P34,ARTS!B$3:H$323,2,FALSE)</f>
        <v>#N/A</v>
      </c>
    </row>
    <row r="35" spans="2:19" ht="14.75" customHeight="1" x14ac:dyDescent="0.45">
      <c r="K35" s="14">
        <v>31</v>
      </c>
      <c r="L35" s="9" t="str">
        <f t="shared" si="3"/>
        <v>SUPER SENIOR</v>
      </c>
      <c r="M35" s="9" t="str">
        <f t="shared" si="4"/>
        <v>DAHF</v>
      </c>
      <c r="N35" s="9">
        <f t="shared" si="7"/>
        <v>24</v>
      </c>
      <c r="O35" s="9" t="str">
        <f t="shared" si="5"/>
        <v>JALALUDHEEN K</v>
      </c>
      <c r="P35" s="5" t="s">
        <v>253</v>
      </c>
      <c r="Q35" s="8">
        <v>5</v>
      </c>
      <c r="R35" s="10" t="e">
        <f>VLOOKUP(P35,ARTS!B$3:H$323,6,FALSE)</f>
        <v>#N/A</v>
      </c>
      <c r="S35" s="10" t="e">
        <f>VLOOKUP(P35,ARTS!B$3:H$323,2,FALSE)</f>
        <v>#N/A</v>
      </c>
    </row>
    <row r="36" spans="2:19" ht="14.75" customHeight="1" x14ac:dyDescent="0.45">
      <c r="K36" s="14">
        <v>32</v>
      </c>
      <c r="L36" s="9" t="str">
        <f t="shared" si="3"/>
        <v>SUPER SENIOR</v>
      </c>
      <c r="M36" s="9" t="str">
        <f t="shared" si="4"/>
        <v>FANT</v>
      </c>
      <c r="N36" s="9">
        <f t="shared" si="7"/>
        <v>24</v>
      </c>
      <c r="O36" s="9" t="str">
        <f t="shared" si="5"/>
        <v>MOHAMMED ANFAHUDEEN T.A</v>
      </c>
      <c r="P36" s="5" t="s">
        <v>41</v>
      </c>
      <c r="Q36" s="8">
        <v>5</v>
      </c>
      <c r="R36" s="10">
        <f>VLOOKUP(P36,ARTS!B$3:H$323,6,FALSE)</f>
        <v>15</v>
      </c>
      <c r="S36" s="10">
        <f>VLOOKUP(P36,ARTS!B$3:H$323,2,FALSE)</f>
        <v>2</v>
      </c>
    </row>
    <row r="37" spans="2:19" ht="14.75" customHeight="1" x14ac:dyDescent="0.45">
      <c r="K37" s="14">
        <v>33</v>
      </c>
      <c r="L37" s="9" t="str">
        <f t="shared" si="3"/>
        <v>JUNIOR</v>
      </c>
      <c r="M37" s="9" t="str">
        <f t="shared" si="4"/>
        <v>JARF</v>
      </c>
      <c r="N37" s="9">
        <f t="shared" si="7"/>
        <v>24</v>
      </c>
      <c r="O37" s="9" t="str">
        <f t="shared" si="5"/>
        <v>MUHAMMED ZAMIL</v>
      </c>
      <c r="P37" s="8" t="s">
        <v>20</v>
      </c>
      <c r="Q37" s="8">
        <v>5</v>
      </c>
      <c r="R37" s="10" t="e">
        <f>VLOOKUP(P37,ARTS!B$3:H$323,6,FALSE)</f>
        <v>#N/A</v>
      </c>
      <c r="S37" s="10" t="e">
        <f>VLOOKUP(P37,ARTS!B$3:H$323,2,FALSE)</f>
        <v>#N/A</v>
      </c>
    </row>
    <row r="38" spans="2:19" ht="14.75" customHeight="1" x14ac:dyDescent="0.45">
      <c r="K38" s="14">
        <v>34</v>
      </c>
      <c r="L38" s="9" t="str">
        <f t="shared" si="3"/>
        <v>SUB JUNIOR</v>
      </c>
      <c r="M38" s="9" t="str">
        <f t="shared" si="4"/>
        <v>DAHF</v>
      </c>
      <c r="N38" s="9">
        <f t="shared" si="7"/>
        <v>24</v>
      </c>
      <c r="O38" s="9" t="str">
        <f t="shared" si="5"/>
        <v>MUHAMMED MICDAD RAMEES A H</v>
      </c>
      <c r="P38" s="8" t="s">
        <v>19</v>
      </c>
      <c r="Q38" s="8">
        <v>5</v>
      </c>
      <c r="R38" s="10" t="e">
        <f>VLOOKUP(P38,ARTS!B$3:H$323,6,FALSE)</f>
        <v>#N/A</v>
      </c>
      <c r="S38" s="10" t="e">
        <f>VLOOKUP(P38,ARTS!B$3:H$323,2,FALSE)</f>
        <v>#N/A</v>
      </c>
    </row>
    <row r="39" spans="2:19" ht="14.75" customHeight="1" x14ac:dyDescent="0.45">
      <c r="K39" s="14">
        <v>35</v>
      </c>
      <c r="L39" s="9" t="str">
        <f t="shared" si="3"/>
        <v>SUB JUNIOR</v>
      </c>
      <c r="M39" s="9" t="str">
        <f t="shared" si="4"/>
        <v>DAHF</v>
      </c>
      <c r="N39" s="9">
        <f t="shared" si="7"/>
        <v>24</v>
      </c>
      <c r="O39" s="9" t="str">
        <f t="shared" si="5"/>
        <v>THUFAIL</v>
      </c>
      <c r="P39" s="5" t="s">
        <v>123</v>
      </c>
      <c r="Q39" s="8">
        <v>5</v>
      </c>
      <c r="R39" s="10" t="e">
        <f>VLOOKUP(P39,ARTS!B$3:H$323,6,FALSE)</f>
        <v>#N/A</v>
      </c>
      <c r="S39" s="10" t="e">
        <f>VLOOKUP(P39,ARTS!B$3:H$323,2,FALSE)</f>
        <v>#N/A</v>
      </c>
    </row>
    <row r="40" spans="2:19" ht="14.75" customHeight="1" x14ac:dyDescent="0.45">
      <c r="K40" s="14">
        <v>36</v>
      </c>
      <c r="L40" s="9" t="str">
        <f t="shared" si="3"/>
        <v>JUNIOR</v>
      </c>
      <c r="M40" s="9" t="str">
        <f t="shared" si="4"/>
        <v>BADF</v>
      </c>
      <c r="N40" s="9">
        <f t="shared" si="7"/>
        <v>24</v>
      </c>
      <c r="O40" s="9" t="str">
        <f t="shared" si="5"/>
        <v>HABEEB RAHMAN CA</v>
      </c>
      <c r="P40" s="5" t="s">
        <v>22</v>
      </c>
      <c r="Q40" s="8">
        <v>5</v>
      </c>
      <c r="R40" s="10" t="e">
        <f>VLOOKUP(P40,ARTS!B$3:H$323,6,FALSE)</f>
        <v>#N/A</v>
      </c>
      <c r="S40" s="10" t="e">
        <f>VLOOKUP(P40,ARTS!B$3:H$323,2,FALSE)</f>
        <v>#N/A</v>
      </c>
    </row>
    <row r="41" spans="2:19" ht="14.75" customHeight="1" x14ac:dyDescent="0.45">
      <c r="K41" s="14">
        <v>37</v>
      </c>
      <c r="L41" s="9" t="str">
        <f t="shared" si="3"/>
        <v>SUB JUNIOR</v>
      </c>
      <c r="M41" s="9" t="str">
        <f t="shared" si="4"/>
        <v>BADF</v>
      </c>
      <c r="N41" s="9">
        <f t="shared" si="7"/>
        <v>24</v>
      </c>
      <c r="O41" s="9" t="str">
        <f t="shared" si="5"/>
        <v>Mohammed Sinan N.A</v>
      </c>
      <c r="P41" s="5" t="s">
        <v>13</v>
      </c>
      <c r="Q41" s="8">
        <v>5</v>
      </c>
      <c r="R41" s="10" t="e">
        <f>VLOOKUP(P41,ARTS!B$3:H$323,6,FALSE)</f>
        <v>#N/A</v>
      </c>
      <c r="S41" s="10" t="e">
        <f>VLOOKUP(P41,ARTS!B$3:H$323,2,FALSE)</f>
        <v>#N/A</v>
      </c>
    </row>
    <row r="42" spans="2:19" ht="14.75" customHeight="1" x14ac:dyDescent="0.45">
      <c r="K42" s="14">
        <v>38</v>
      </c>
      <c r="L42" s="9" t="str">
        <f t="shared" si="3"/>
        <v>SENIOR</v>
      </c>
      <c r="M42" s="9" t="str">
        <f t="shared" si="4"/>
        <v>JARF</v>
      </c>
      <c r="N42" s="9">
        <f t="shared" si="7"/>
        <v>24</v>
      </c>
      <c r="O42" s="9" t="str">
        <f t="shared" si="5"/>
        <v>SEYYAD MUHAMMED FAHMAN</v>
      </c>
      <c r="P42" s="5" t="s">
        <v>196</v>
      </c>
      <c r="Q42" s="8">
        <v>5</v>
      </c>
      <c r="R42" s="10" t="e">
        <f>VLOOKUP(P42,ARTS!B$3:H$323,6,FALSE)</f>
        <v>#N/A</v>
      </c>
      <c r="S42" s="10" t="e">
        <f>VLOOKUP(P42,ARTS!B$3:H$323,2,FALSE)</f>
        <v>#N/A</v>
      </c>
    </row>
    <row r="43" spans="2:19" ht="14.75" customHeight="1" x14ac:dyDescent="0.45">
      <c r="K43" s="14">
        <v>39</v>
      </c>
      <c r="L43" s="9" t="str">
        <f t="shared" si="3"/>
        <v>SENIOR</v>
      </c>
      <c r="M43" s="9" t="str">
        <f t="shared" si="4"/>
        <v>FANT</v>
      </c>
      <c r="N43" s="9">
        <f t="shared" si="7"/>
        <v>24</v>
      </c>
      <c r="O43" s="9" t="str">
        <f t="shared" si="5"/>
        <v>MOHAMMED ABDUL KHADER K</v>
      </c>
      <c r="P43" s="5" t="s">
        <v>198</v>
      </c>
      <c r="Q43" s="8">
        <v>5</v>
      </c>
      <c r="R43" s="10" t="e">
        <f>VLOOKUP(P43,ARTS!B$3:H$323,6,FALSE)</f>
        <v>#N/A</v>
      </c>
      <c r="S43" s="10" t="e">
        <f>VLOOKUP(P43,ARTS!B$3:H$323,2,FALSE)</f>
        <v>#N/A</v>
      </c>
    </row>
    <row r="44" spans="2:19" ht="14.75" customHeight="1" x14ac:dyDescent="0.45">
      <c r="K44" s="14">
        <v>40</v>
      </c>
      <c r="L44" s="9" t="str">
        <f t="shared" si="3"/>
        <v>SENIOR</v>
      </c>
      <c r="M44" s="9" t="str">
        <f t="shared" si="4"/>
        <v>DAHF</v>
      </c>
      <c r="N44" s="9">
        <f t="shared" si="7"/>
        <v>40</v>
      </c>
      <c r="O44" s="9" t="str">
        <f t="shared" si="5"/>
        <v>MOHAMMED ABDUL KHADER NABAVI E A</v>
      </c>
      <c r="P44" s="5" t="s">
        <v>238</v>
      </c>
      <c r="Q44" s="8">
        <v>4</v>
      </c>
      <c r="R44" s="10" t="e">
        <f>VLOOKUP(P44,ARTS!B$3:H$323,6,FALSE)</f>
        <v>#N/A</v>
      </c>
      <c r="S44" s="10" t="e">
        <f>VLOOKUP(P44,ARTS!B$3:H$323,2,FALSE)</f>
        <v>#N/A</v>
      </c>
    </row>
    <row r="45" spans="2:19" ht="14.75" customHeight="1" x14ac:dyDescent="0.45">
      <c r="K45" s="14">
        <v>41</v>
      </c>
      <c r="L45" s="9" t="str">
        <f t="shared" si="3"/>
        <v>SENIOR</v>
      </c>
      <c r="M45" s="9" t="str">
        <f t="shared" si="4"/>
        <v>DAHF</v>
      </c>
      <c r="N45" s="9">
        <f t="shared" si="7"/>
        <v>40</v>
      </c>
      <c r="O45" s="9" t="str">
        <f t="shared" si="5"/>
        <v>AHAMED SHAMMAS C.M</v>
      </c>
      <c r="P45" s="5" t="s">
        <v>246</v>
      </c>
      <c r="Q45" s="8">
        <v>4</v>
      </c>
      <c r="R45" s="10" t="e">
        <f>VLOOKUP(P45,ARTS!B$3:H$323,6,FALSE)</f>
        <v>#N/A</v>
      </c>
      <c r="S45" s="10" t="e">
        <f>VLOOKUP(P45,ARTS!B$3:H$323,2,FALSE)</f>
        <v>#N/A</v>
      </c>
    </row>
    <row r="46" spans="2:19" ht="14.75" customHeight="1" x14ac:dyDescent="0.45">
      <c r="K46" s="14">
        <v>42</v>
      </c>
      <c r="L46" s="9" t="str">
        <f t="shared" si="3"/>
        <v>SENIOR</v>
      </c>
      <c r="M46" s="9" t="str">
        <f t="shared" si="4"/>
        <v>BADF</v>
      </c>
      <c r="N46" s="9">
        <f t="shared" si="7"/>
        <v>40</v>
      </c>
      <c r="O46" s="9" t="str">
        <f t="shared" si="5"/>
        <v>MOHAMMED THAJUDDEEN A R P</v>
      </c>
      <c r="P46" s="5" t="s">
        <v>244</v>
      </c>
      <c r="Q46" s="8">
        <v>4</v>
      </c>
      <c r="R46" s="10" t="e">
        <f>VLOOKUP(P46,ARTS!B$3:H$323,6,FALSE)</f>
        <v>#N/A</v>
      </c>
      <c r="S46" s="10" t="e">
        <f>VLOOKUP(P46,ARTS!B$3:H$323,2,FALSE)</f>
        <v>#N/A</v>
      </c>
    </row>
    <row r="47" spans="2:19" ht="14.75" customHeight="1" x14ac:dyDescent="0.45">
      <c r="K47" s="14">
        <v>43</v>
      </c>
      <c r="L47" s="9" t="str">
        <f t="shared" si="3"/>
        <v>JUNIOR</v>
      </c>
      <c r="M47" s="9" t="str">
        <f t="shared" si="4"/>
        <v>FANT</v>
      </c>
      <c r="N47" s="9">
        <f t="shared" si="7"/>
        <v>40</v>
      </c>
      <c r="O47" s="9" t="str">
        <f t="shared" si="5"/>
        <v>RAFNAS P</v>
      </c>
      <c r="P47" s="5" t="s">
        <v>163</v>
      </c>
      <c r="Q47" s="8">
        <v>4</v>
      </c>
      <c r="R47" s="10" t="e">
        <f>VLOOKUP(P47,ARTS!B$3:H$323,6,FALSE)</f>
        <v>#N/A</v>
      </c>
      <c r="S47" s="10" t="e">
        <f>VLOOKUP(P47,ARTS!B$3:H$323,2,FALSE)</f>
        <v>#N/A</v>
      </c>
    </row>
    <row r="48" spans="2:19" ht="14.75" customHeight="1" x14ac:dyDescent="0.45">
      <c r="K48" s="14">
        <v>44</v>
      </c>
      <c r="L48" s="9" t="str">
        <f t="shared" si="3"/>
        <v>SUPER SENIOR</v>
      </c>
      <c r="M48" s="9" t="str">
        <f t="shared" si="4"/>
        <v>DAHF</v>
      </c>
      <c r="N48" s="9">
        <f t="shared" si="7"/>
        <v>40</v>
      </c>
      <c r="O48" s="9" t="str">
        <f t="shared" si="5"/>
        <v>MOHAMMED IRFAN C</v>
      </c>
      <c r="P48" s="5" t="s">
        <v>312</v>
      </c>
      <c r="Q48" s="8">
        <v>4</v>
      </c>
      <c r="R48" s="10" t="e">
        <f>VLOOKUP(P48,ARTS!B$3:H$323,6,FALSE)</f>
        <v>#N/A</v>
      </c>
      <c r="S48" s="10" t="e">
        <f>VLOOKUP(P48,ARTS!B$3:H$323,2,FALSE)</f>
        <v>#N/A</v>
      </c>
    </row>
    <row r="49" spans="11:19" ht="14.75" customHeight="1" x14ac:dyDescent="0.45">
      <c r="K49" s="14">
        <v>45</v>
      </c>
      <c r="L49" s="9" t="str">
        <f t="shared" si="3"/>
        <v>SUPER SENIOR</v>
      </c>
      <c r="M49" s="9" t="str">
        <f t="shared" si="4"/>
        <v>BADF</v>
      </c>
      <c r="N49" s="9">
        <f t="shared" si="7"/>
        <v>40</v>
      </c>
      <c r="O49" s="9" t="str">
        <f t="shared" si="5"/>
        <v>ABU THAHIR</v>
      </c>
      <c r="P49" s="5" t="s">
        <v>270</v>
      </c>
      <c r="Q49" s="8">
        <v>4</v>
      </c>
      <c r="R49" s="10" t="e">
        <f>VLOOKUP(P49,ARTS!B$3:H$323,6,FALSE)</f>
        <v>#N/A</v>
      </c>
      <c r="S49" s="10" t="e">
        <f>VLOOKUP(P49,ARTS!B$3:H$323,2,FALSE)</f>
        <v>#N/A</v>
      </c>
    </row>
    <row r="50" spans="11:19" ht="14.75" customHeight="1" x14ac:dyDescent="0.45">
      <c r="K50" s="14">
        <v>46</v>
      </c>
      <c r="L50" s="9" t="str">
        <f t="shared" si="3"/>
        <v>JUNIOR</v>
      </c>
      <c r="M50" s="9" t="str">
        <f t="shared" si="4"/>
        <v>DAHF</v>
      </c>
      <c r="N50" s="9">
        <f t="shared" si="7"/>
        <v>46</v>
      </c>
      <c r="O50" s="9" t="str">
        <f t="shared" si="5"/>
        <v>AMEEN RAHMAN MTP</v>
      </c>
      <c r="P50" s="5" t="s">
        <v>138</v>
      </c>
      <c r="Q50" s="8">
        <v>3</v>
      </c>
      <c r="R50" s="10" t="e">
        <f>VLOOKUP(P50,ARTS!B$3:H$323,6,FALSE)</f>
        <v>#N/A</v>
      </c>
      <c r="S50" s="10" t="e">
        <f>VLOOKUP(P50,ARTS!B$3:H$323,2,FALSE)</f>
        <v>#N/A</v>
      </c>
    </row>
    <row r="51" spans="11:19" ht="14.75" customHeight="1" x14ac:dyDescent="0.45">
      <c r="K51" s="14">
        <v>47</v>
      </c>
      <c r="L51" s="9" t="str">
        <f t="shared" si="3"/>
        <v>SUB JUNIOR</v>
      </c>
      <c r="M51" s="9" t="str">
        <f t="shared" si="4"/>
        <v>FANT</v>
      </c>
      <c r="N51" s="9">
        <f t="shared" si="7"/>
        <v>46</v>
      </c>
      <c r="O51" s="9" t="str">
        <f t="shared" si="5"/>
        <v>MUHAMMED ADHIL C H</v>
      </c>
      <c r="P51" s="5" t="s">
        <v>63</v>
      </c>
      <c r="Q51" s="8">
        <v>3</v>
      </c>
      <c r="R51" s="10" t="e">
        <f>VLOOKUP(P51,ARTS!B$3:H$323,6,FALSE)</f>
        <v>#N/A</v>
      </c>
      <c r="S51" s="10" t="e">
        <f>VLOOKUP(P51,ARTS!B$3:H$323,2,FALSE)</f>
        <v>#N/A</v>
      </c>
    </row>
    <row r="52" spans="11:19" ht="14.75" customHeight="1" x14ac:dyDescent="0.45">
      <c r="K52" s="14">
        <v>48</v>
      </c>
      <c r="L52" s="9" t="str">
        <f t="shared" si="3"/>
        <v>SENIOR</v>
      </c>
      <c r="M52" s="9" t="str">
        <f t="shared" si="4"/>
        <v>BADF</v>
      </c>
      <c r="N52" s="9">
        <f t="shared" si="7"/>
        <v>46</v>
      </c>
      <c r="O52" s="9" t="str">
        <f t="shared" si="5"/>
        <v>MUHAMMED SHABEEB</v>
      </c>
      <c r="P52" s="8" t="s">
        <v>226</v>
      </c>
      <c r="Q52" s="8">
        <v>3</v>
      </c>
      <c r="R52" s="10" t="e">
        <f>VLOOKUP(P52,ARTS!B$3:H$323,6,FALSE)</f>
        <v>#N/A</v>
      </c>
      <c r="S52" s="10" t="e">
        <f>VLOOKUP(P52,ARTS!B$3:H$323,2,FALSE)</f>
        <v>#N/A</v>
      </c>
    </row>
    <row r="53" spans="11:19" ht="14.75" customHeight="1" x14ac:dyDescent="0.45">
      <c r="K53" s="14">
        <v>49</v>
      </c>
      <c r="L53" s="9" t="str">
        <f t="shared" si="3"/>
        <v>SUB JUNIOR</v>
      </c>
      <c r="M53" s="9" t="str">
        <f t="shared" si="4"/>
        <v>JARF</v>
      </c>
      <c r="N53" s="9">
        <f t="shared" si="7"/>
        <v>46</v>
      </c>
      <c r="O53" s="9" t="str">
        <f t="shared" si="5"/>
        <v>MUHAMMED TAMEEM</v>
      </c>
      <c r="P53" s="5" t="s">
        <v>57</v>
      </c>
      <c r="Q53" s="8">
        <v>3</v>
      </c>
      <c r="R53" s="10" t="e">
        <f>VLOOKUP(P53,ARTS!B$3:H$323,6,FALSE)</f>
        <v>#N/A</v>
      </c>
      <c r="S53" s="10" t="e">
        <f>VLOOKUP(P53,ARTS!B$3:H$323,2,FALSE)</f>
        <v>#N/A</v>
      </c>
    </row>
    <row r="54" spans="11:19" ht="14.75" customHeight="1" x14ac:dyDescent="0.45">
      <c r="K54" s="14">
        <v>50</v>
      </c>
      <c r="L54" s="9" t="str">
        <f t="shared" si="3"/>
        <v>JUNIOR</v>
      </c>
      <c r="M54" s="9" t="str">
        <f t="shared" si="4"/>
        <v>FANT</v>
      </c>
      <c r="N54" s="9">
        <f t="shared" si="7"/>
        <v>46</v>
      </c>
      <c r="O54" s="9" t="str">
        <f t="shared" si="5"/>
        <v>AHMAD MUBASHAR</v>
      </c>
      <c r="P54" s="5" t="s">
        <v>127</v>
      </c>
      <c r="Q54" s="8">
        <v>3</v>
      </c>
      <c r="R54" s="10" t="e">
        <f>VLOOKUP(P54,ARTS!B$3:H$323,6,FALSE)</f>
        <v>#N/A</v>
      </c>
      <c r="S54" s="10" t="e">
        <f>VLOOKUP(P54,ARTS!B$3:H$323,2,FALSE)</f>
        <v>#N/A</v>
      </c>
    </row>
    <row r="55" spans="11:19" ht="14.75" customHeight="1" x14ac:dyDescent="0.45">
      <c r="K55" s="14">
        <v>51</v>
      </c>
      <c r="L55" s="9" t="str">
        <f t="shared" si="3"/>
        <v>SUB JUNIOR</v>
      </c>
      <c r="M55" s="9" t="str">
        <f t="shared" si="4"/>
        <v>BADF</v>
      </c>
      <c r="N55" s="9">
        <f t="shared" si="7"/>
        <v>46</v>
      </c>
      <c r="O55" s="9" t="str">
        <f t="shared" si="5"/>
        <v>Muhammed Anshad A</v>
      </c>
      <c r="P55" s="5" t="s">
        <v>94</v>
      </c>
      <c r="Q55" s="8">
        <v>3</v>
      </c>
      <c r="R55" s="10" t="e">
        <f>VLOOKUP(P55,ARTS!B$3:H$323,6,FALSE)</f>
        <v>#N/A</v>
      </c>
      <c r="S55" s="10" t="e">
        <f>VLOOKUP(P55,ARTS!B$3:H$323,2,FALSE)</f>
        <v>#N/A</v>
      </c>
    </row>
    <row r="56" spans="11:19" ht="14.75" customHeight="1" x14ac:dyDescent="0.45">
      <c r="K56" s="14">
        <v>52</v>
      </c>
      <c r="L56" s="9" t="str">
        <f t="shared" si="3"/>
        <v>SENIOR</v>
      </c>
      <c r="M56" s="9" t="str">
        <f t="shared" si="4"/>
        <v>JARF</v>
      </c>
      <c r="N56" s="9">
        <f t="shared" si="7"/>
        <v>46</v>
      </c>
      <c r="O56" s="9" t="str">
        <f t="shared" si="5"/>
        <v>MUHAMMED SINAN M</v>
      </c>
      <c r="P56" s="5" t="s">
        <v>222</v>
      </c>
      <c r="Q56" s="8">
        <v>3</v>
      </c>
      <c r="R56" s="10" t="e">
        <f>VLOOKUP(P56,ARTS!B$3:H$323,6,FALSE)</f>
        <v>#N/A</v>
      </c>
      <c r="S56" s="10" t="e">
        <f>VLOOKUP(P56,ARTS!B$3:H$323,2,FALSE)</f>
        <v>#N/A</v>
      </c>
    </row>
    <row r="57" spans="11:19" ht="14.75" customHeight="1" x14ac:dyDescent="0.45">
      <c r="K57" s="14">
        <v>53</v>
      </c>
      <c r="L57" s="9" t="str">
        <f t="shared" si="3"/>
        <v>SUB JUNIOR</v>
      </c>
      <c r="M57" s="9" t="str">
        <f t="shared" si="4"/>
        <v>DAHF</v>
      </c>
      <c r="N57" s="9">
        <f t="shared" si="7"/>
        <v>46</v>
      </c>
      <c r="O57" s="9" t="str">
        <f t="shared" si="5"/>
        <v>MOIDEEN KAIS</v>
      </c>
      <c r="P57" s="5" t="s">
        <v>67</v>
      </c>
      <c r="Q57" s="8">
        <v>3</v>
      </c>
      <c r="R57" s="10" t="e">
        <f>VLOOKUP(P57,ARTS!B$3:H$323,6,FALSE)</f>
        <v>#N/A</v>
      </c>
      <c r="S57" s="10" t="e">
        <f>VLOOKUP(P57,ARTS!B$3:H$323,2,FALSE)</f>
        <v>#N/A</v>
      </c>
    </row>
    <row r="58" spans="11:19" ht="14.75" customHeight="1" x14ac:dyDescent="0.45">
      <c r="K58" s="14">
        <v>54</v>
      </c>
      <c r="L58" s="9" t="str">
        <f t="shared" si="3"/>
        <v>SENIOR</v>
      </c>
      <c r="M58" s="9" t="str">
        <f t="shared" si="4"/>
        <v>JARF</v>
      </c>
      <c r="N58" s="9">
        <f t="shared" si="7"/>
        <v>46</v>
      </c>
      <c r="O58" s="9" t="str">
        <f t="shared" si="5"/>
        <v>MUHAMMED SABITH ALI TM</v>
      </c>
      <c r="P58" s="5" t="s">
        <v>229</v>
      </c>
      <c r="Q58" s="8">
        <v>3</v>
      </c>
      <c r="R58" s="10" t="e">
        <f>VLOOKUP(P58,ARTS!B$3:H$323,6,FALSE)</f>
        <v>#N/A</v>
      </c>
      <c r="S58" s="10" t="e">
        <f>VLOOKUP(P58,ARTS!B$3:H$323,2,FALSE)</f>
        <v>#N/A</v>
      </c>
    </row>
    <row r="59" spans="11:19" ht="14.75" customHeight="1" x14ac:dyDescent="0.45">
      <c r="K59" s="14">
        <v>55</v>
      </c>
      <c r="L59" s="9" t="str">
        <f t="shared" si="3"/>
        <v>SUPER SENIOR</v>
      </c>
      <c r="M59" s="9" t="str">
        <f t="shared" si="4"/>
        <v>JARF</v>
      </c>
      <c r="N59" s="9">
        <f t="shared" si="7"/>
        <v>46</v>
      </c>
      <c r="O59" s="9" t="str">
        <f t="shared" si="5"/>
        <v>MUHAMMAD SHANEED.</v>
      </c>
      <c r="P59" s="5" t="s">
        <v>255</v>
      </c>
      <c r="Q59" s="8">
        <v>3</v>
      </c>
      <c r="R59" s="10" t="e">
        <f>VLOOKUP(P59,ARTS!B$3:H$323,6,FALSE)</f>
        <v>#N/A</v>
      </c>
      <c r="S59" s="10" t="e">
        <f>VLOOKUP(P59,ARTS!B$3:H$323,2,FALSE)</f>
        <v>#N/A</v>
      </c>
    </row>
    <row r="60" spans="11:19" ht="14.75" customHeight="1" x14ac:dyDescent="0.45">
      <c r="K60" s="14">
        <v>56</v>
      </c>
      <c r="L60" s="9" t="str">
        <f t="shared" si="3"/>
        <v>SUB JUNIOR</v>
      </c>
      <c r="M60" s="9" t="str">
        <f t="shared" si="4"/>
        <v>BADF</v>
      </c>
      <c r="N60" s="9">
        <f t="shared" si="7"/>
        <v>46</v>
      </c>
      <c r="O60" s="9" t="str">
        <f t="shared" si="5"/>
        <v>Muhammed Naieem</v>
      </c>
      <c r="P60" s="5" t="s">
        <v>115</v>
      </c>
      <c r="Q60" s="8">
        <v>3</v>
      </c>
      <c r="R60" s="10" t="e">
        <f>VLOOKUP(P60,ARTS!B$3:H$323,6,FALSE)</f>
        <v>#N/A</v>
      </c>
      <c r="S60" s="10" t="e">
        <f>VLOOKUP(P60,ARTS!B$3:H$323,2,FALSE)</f>
        <v>#N/A</v>
      </c>
    </row>
    <row r="61" spans="11:19" ht="14.75" customHeight="1" x14ac:dyDescent="0.45">
      <c r="K61" s="14">
        <v>57</v>
      </c>
      <c r="L61" s="9" t="str">
        <f t="shared" si="3"/>
        <v>SUB JUNIOR</v>
      </c>
      <c r="M61" s="9" t="str">
        <f t="shared" si="4"/>
        <v>BADF</v>
      </c>
      <c r="N61" s="9">
        <f t="shared" si="7"/>
        <v>46</v>
      </c>
      <c r="O61" s="9" t="str">
        <f t="shared" si="5"/>
        <v>MUHAMMED HAFEEZ P</v>
      </c>
      <c r="P61" s="5" t="s">
        <v>80</v>
      </c>
      <c r="Q61" s="8">
        <v>3</v>
      </c>
      <c r="R61" s="10" t="e">
        <f>VLOOKUP(P61,ARTS!B$3:H$323,6,FALSE)</f>
        <v>#N/A</v>
      </c>
      <c r="S61" s="10" t="e">
        <f>VLOOKUP(P61,ARTS!B$3:H$323,2,FALSE)</f>
        <v>#N/A</v>
      </c>
    </row>
    <row r="62" spans="11:19" ht="14.75" customHeight="1" x14ac:dyDescent="0.45">
      <c r="K62" s="14">
        <v>58</v>
      </c>
      <c r="L62" s="9" t="str">
        <f t="shared" si="3"/>
        <v>SUPER SENIOR</v>
      </c>
      <c r="M62" s="9" t="str">
        <f t="shared" si="4"/>
        <v>JARF</v>
      </c>
      <c r="N62" s="9">
        <f t="shared" si="7"/>
        <v>46</v>
      </c>
      <c r="O62" s="9" t="str">
        <f t="shared" si="5"/>
        <v>MOHAMMED RAZI</v>
      </c>
      <c r="P62" s="5" t="s">
        <v>251</v>
      </c>
      <c r="Q62" s="8">
        <v>3</v>
      </c>
      <c r="R62" s="10" t="e">
        <f>VLOOKUP(P62,ARTS!B$3:H$323,6,FALSE)</f>
        <v>#N/A</v>
      </c>
      <c r="S62" s="10" t="e">
        <f>VLOOKUP(P62,ARTS!B$3:H$323,2,FALSE)</f>
        <v>#N/A</v>
      </c>
    </row>
    <row r="63" spans="11:19" ht="14.75" customHeight="1" x14ac:dyDescent="0.45">
      <c r="K63" s="14">
        <v>59</v>
      </c>
      <c r="L63" s="9" t="str">
        <f t="shared" si="3"/>
        <v>SUPER SENIOR</v>
      </c>
      <c r="M63" s="9" t="str">
        <f t="shared" si="4"/>
        <v>JARF</v>
      </c>
      <c r="N63" s="9">
        <f t="shared" si="7"/>
        <v>46</v>
      </c>
      <c r="O63" s="9" t="str">
        <f t="shared" si="5"/>
        <v>AHAMMED MUBARAK KA</v>
      </c>
      <c r="P63" s="5" t="s">
        <v>289</v>
      </c>
      <c r="Q63" s="8">
        <v>3</v>
      </c>
      <c r="R63" s="10" t="e">
        <f>VLOOKUP(P63,ARTS!B$3:H$323,6,FALSE)</f>
        <v>#N/A</v>
      </c>
      <c r="S63" s="10" t="e">
        <f>VLOOKUP(P63,ARTS!B$3:H$323,2,FALSE)</f>
        <v>#N/A</v>
      </c>
    </row>
    <row r="64" spans="11:19" ht="14.75" customHeight="1" x14ac:dyDescent="0.45">
      <c r="K64" s="14">
        <v>60</v>
      </c>
      <c r="L64" s="9" t="str">
        <f t="shared" si="3"/>
        <v>SUB JUNIOR</v>
      </c>
      <c r="M64" s="9" t="str">
        <f t="shared" si="4"/>
        <v>FANT</v>
      </c>
      <c r="N64" s="9">
        <f t="shared" si="7"/>
        <v>46</v>
      </c>
      <c r="O64" s="9" t="str">
        <f t="shared" si="5"/>
        <v>MUHAMMED HAFIZ S T</v>
      </c>
      <c r="P64" s="5" t="s">
        <v>61</v>
      </c>
      <c r="Q64" s="8">
        <v>3</v>
      </c>
      <c r="R64" s="10" t="e">
        <f>VLOOKUP(P64,ARTS!B$3:H$323,6,FALSE)</f>
        <v>#N/A</v>
      </c>
      <c r="S64" s="10" t="e">
        <f>VLOOKUP(P64,ARTS!B$3:H$323,2,FALSE)</f>
        <v>#N/A</v>
      </c>
    </row>
    <row r="65" spans="11:19" ht="14.75" customHeight="1" x14ac:dyDescent="0.45">
      <c r="K65" s="14">
        <v>61</v>
      </c>
      <c r="L65" s="9" t="str">
        <f t="shared" si="3"/>
        <v>JUNIOR</v>
      </c>
      <c r="M65" s="9" t="str">
        <f t="shared" si="4"/>
        <v>JARF</v>
      </c>
      <c r="N65" s="9">
        <f t="shared" si="7"/>
        <v>46</v>
      </c>
      <c r="O65" s="9" t="str">
        <f t="shared" si="5"/>
        <v>MOHAMMED ANAS A.A</v>
      </c>
      <c r="P65" s="5" t="s">
        <v>177</v>
      </c>
      <c r="Q65" s="8">
        <v>3</v>
      </c>
      <c r="R65" s="10" t="e">
        <f>VLOOKUP(P65,ARTS!B$3:H$323,6,FALSE)</f>
        <v>#N/A</v>
      </c>
      <c r="S65" s="10" t="e">
        <f>VLOOKUP(P65,ARTS!B$3:H$323,2,FALSE)</f>
        <v>#N/A</v>
      </c>
    </row>
    <row r="66" spans="11:19" ht="14.75" customHeight="1" x14ac:dyDescent="0.45">
      <c r="K66" s="14">
        <v>62</v>
      </c>
      <c r="L66" s="9" t="str">
        <f t="shared" si="3"/>
        <v>SUPER SENIOR</v>
      </c>
      <c r="M66" s="9" t="str">
        <f t="shared" si="4"/>
        <v>JARF</v>
      </c>
      <c r="N66" s="9">
        <f t="shared" si="7"/>
        <v>46</v>
      </c>
      <c r="O66" s="9" t="str">
        <f t="shared" si="5"/>
        <v>MOHAMMED SALIH</v>
      </c>
      <c r="P66" s="5" t="s">
        <v>274</v>
      </c>
      <c r="Q66" s="8">
        <v>3</v>
      </c>
      <c r="R66" s="10" t="e">
        <f>VLOOKUP(P66,ARTS!B$3:H$323,6,FALSE)</f>
        <v>#N/A</v>
      </c>
      <c r="S66" s="10" t="e">
        <f>VLOOKUP(P66,ARTS!B$3:H$323,2,FALSE)</f>
        <v>#N/A</v>
      </c>
    </row>
    <row r="67" spans="11:19" ht="14.75" customHeight="1" x14ac:dyDescent="0.45">
      <c r="K67" s="14">
        <v>63</v>
      </c>
      <c r="L67" s="9" t="str">
        <f t="shared" si="3"/>
        <v>JUNIOR</v>
      </c>
      <c r="M67" s="9" t="str">
        <f t="shared" si="4"/>
        <v>DAHF</v>
      </c>
      <c r="N67" s="9">
        <f t="shared" si="7"/>
        <v>46</v>
      </c>
      <c r="O67" s="9" t="str">
        <f t="shared" si="5"/>
        <v>FADIL MOHAMMED K M</v>
      </c>
      <c r="P67" s="5" t="s">
        <v>179</v>
      </c>
      <c r="Q67" s="8">
        <v>3</v>
      </c>
      <c r="R67" s="10" t="e">
        <f>VLOOKUP(P67,ARTS!B$3:H$323,6,FALSE)</f>
        <v>#N/A</v>
      </c>
      <c r="S67" s="10" t="e">
        <f>VLOOKUP(P67,ARTS!B$3:H$323,2,FALSE)</f>
        <v>#N/A</v>
      </c>
    </row>
    <row r="68" spans="11:19" ht="14.75" customHeight="1" x14ac:dyDescent="0.45">
      <c r="K68" s="14">
        <v>64</v>
      </c>
      <c r="L68" s="9" t="str">
        <f t="shared" si="3"/>
        <v>SUPER SENIOR</v>
      </c>
      <c r="M68" s="9" t="str">
        <f t="shared" si="4"/>
        <v>FANT</v>
      </c>
      <c r="N68" s="9">
        <f t="shared" si="7"/>
        <v>46</v>
      </c>
      <c r="O68" s="9" t="str">
        <f t="shared" si="5"/>
        <v>MOHAMMED SHAHZAN T.K</v>
      </c>
      <c r="P68" s="5" t="s">
        <v>54</v>
      </c>
      <c r="Q68" s="8">
        <v>3</v>
      </c>
      <c r="R68" s="10" t="e">
        <f>VLOOKUP(P68,ARTS!B$3:H$323,6,FALSE)</f>
        <v>#N/A</v>
      </c>
      <c r="S68" s="10" t="e">
        <f>VLOOKUP(P68,ARTS!B$3:H$323,2,FALSE)</f>
        <v>#N/A</v>
      </c>
    </row>
    <row r="69" spans="11:19" ht="14.75" customHeight="1" x14ac:dyDescent="0.45">
      <c r="K69" s="14">
        <v>65</v>
      </c>
      <c r="L69" s="9" t="str">
        <f t="shared" ref="L69:L132" si="8">_xlfn.IFNA(VLOOKUP(P69,f_details_of_candidates,4,FALSE),"")</f>
        <v>SENIOR</v>
      </c>
      <c r="M69" s="9" t="str">
        <f t="shared" ref="M69:M132" si="9">_xlfn.IFNA(VLOOKUP(P69,f_details_of_candidates,3,FALSE),"")</f>
        <v>BADF</v>
      </c>
      <c r="N69" s="9">
        <f t="shared" si="7"/>
        <v>46</v>
      </c>
      <c r="O69" s="9" t="str">
        <f t="shared" ref="O69:O132" si="10">_xlfn.IFNA(VLOOKUP(P69,f_details_of_candidates,2,FALSE),"")</f>
        <v>ABDULLA FARHAN M</v>
      </c>
      <c r="P69" s="5" t="s">
        <v>192</v>
      </c>
      <c r="Q69" s="8">
        <v>3</v>
      </c>
      <c r="R69" s="10" t="e">
        <f>VLOOKUP(P69,ARTS!B$3:H$323,6,FALSE)</f>
        <v>#N/A</v>
      </c>
      <c r="S69" s="10" t="e">
        <f>VLOOKUP(P69,ARTS!B$3:H$323,2,FALSE)</f>
        <v>#N/A</v>
      </c>
    </row>
    <row r="70" spans="11:19" ht="14.75" customHeight="1" x14ac:dyDescent="0.45">
      <c r="K70" s="14">
        <v>66</v>
      </c>
      <c r="L70" s="9" t="str">
        <f t="shared" si="8"/>
        <v>SUPER SENIOR</v>
      </c>
      <c r="M70" s="9" t="str">
        <f t="shared" si="9"/>
        <v>DAHF</v>
      </c>
      <c r="N70" s="9">
        <f t="shared" ref="N70:N133" si="11">IF(P70&lt;&gt;0,RANK(Q70,Q$5:Q$326,0),"")</f>
        <v>46</v>
      </c>
      <c r="O70" s="9" t="str">
        <f t="shared" si="10"/>
        <v>MOHAMMAD SWALIH K</v>
      </c>
      <c r="P70" s="5" t="s">
        <v>326</v>
      </c>
      <c r="Q70" s="8">
        <v>3</v>
      </c>
      <c r="R70" s="10">
        <f>VLOOKUP(P70,ARTS!B$3:H$323,6,FALSE)</f>
        <v>8</v>
      </c>
      <c r="S70" s="10">
        <f>VLOOKUP(P70,ARTS!B$3:H$323,2,FALSE)</f>
        <v>16</v>
      </c>
    </row>
    <row r="71" spans="11:19" ht="14.75" customHeight="1" x14ac:dyDescent="0.45">
      <c r="K71" s="14">
        <v>67</v>
      </c>
      <c r="L71" s="9" t="str">
        <f t="shared" si="8"/>
        <v>SUPER SENIOR</v>
      </c>
      <c r="M71" s="9" t="str">
        <f t="shared" si="9"/>
        <v>FANT</v>
      </c>
      <c r="N71" s="9">
        <f t="shared" si="11"/>
        <v>46</v>
      </c>
      <c r="O71" s="9" t="str">
        <f t="shared" si="10"/>
        <v>AHMED MANHAL HUSSAIN</v>
      </c>
      <c r="P71" s="5" t="s">
        <v>330</v>
      </c>
      <c r="Q71" s="8">
        <v>3</v>
      </c>
      <c r="R71" s="10">
        <f>VLOOKUP(P71,ARTS!B$3:H$323,6,FALSE)</f>
        <v>18</v>
      </c>
      <c r="S71" s="10">
        <f>VLOOKUP(P71,ARTS!B$3:H$323,2,FALSE)</f>
        <v>0</v>
      </c>
    </row>
    <row r="72" spans="11:19" ht="14.75" customHeight="1" x14ac:dyDescent="0.45">
      <c r="K72" s="14">
        <v>68</v>
      </c>
      <c r="L72" s="9" t="str">
        <f t="shared" si="8"/>
        <v>SENIOR</v>
      </c>
      <c r="M72" s="9" t="str">
        <f t="shared" si="9"/>
        <v>FANT</v>
      </c>
      <c r="N72" s="9">
        <f t="shared" si="11"/>
        <v>46</v>
      </c>
      <c r="O72" s="9" t="str">
        <f t="shared" si="10"/>
        <v>IBRAHIM AHRAZ</v>
      </c>
      <c r="P72" s="5" t="s">
        <v>214</v>
      </c>
      <c r="Q72" s="8">
        <v>3</v>
      </c>
      <c r="R72" s="10" t="e">
        <f>VLOOKUP(P72,ARTS!B$3:H$323,6,FALSE)</f>
        <v>#N/A</v>
      </c>
      <c r="S72" s="10" t="e">
        <f>VLOOKUP(P72,ARTS!B$3:H$323,2,FALSE)</f>
        <v>#N/A</v>
      </c>
    </row>
    <row r="73" spans="11:19" ht="14.75" customHeight="1" x14ac:dyDescent="0.45">
      <c r="K73" s="14">
        <v>69</v>
      </c>
      <c r="L73" s="9" t="str">
        <f t="shared" si="8"/>
        <v>SUB JUNIOR</v>
      </c>
      <c r="M73" s="9" t="str">
        <f t="shared" si="9"/>
        <v>JARF</v>
      </c>
      <c r="N73" s="9">
        <f t="shared" si="11"/>
        <v>69</v>
      </c>
      <c r="O73" s="9" t="str">
        <f t="shared" si="10"/>
        <v>BEERAN MUEENUDHEEN MH</v>
      </c>
      <c r="P73" s="5" t="s">
        <v>75</v>
      </c>
      <c r="Q73" s="8">
        <v>1</v>
      </c>
      <c r="R73" s="10" t="e">
        <f>VLOOKUP(P73,ARTS!B$3:H$323,6,FALSE)</f>
        <v>#N/A</v>
      </c>
      <c r="S73" s="10" t="e">
        <f>VLOOKUP(P73,ARTS!B$3:H$323,2,FALSE)</f>
        <v>#N/A</v>
      </c>
    </row>
    <row r="74" spans="11:19" ht="14.75" customHeight="1" x14ac:dyDescent="0.45">
      <c r="K74" s="14">
        <v>70</v>
      </c>
      <c r="L74" s="9" t="str">
        <f t="shared" si="8"/>
        <v>SUPER SENIOR</v>
      </c>
      <c r="M74" s="9" t="str">
        <f t="shared" si="9"/>
        <v>FANT</v>
      </c>
      <c r="N74" s="9">
        <f t="shared" si="11"/>
        <v>69</v>
      </c>
      <c r="O74" s="9" t="str">
        <f t="shared" si="10"/>
        <v>ABOOBAKR MA'ROOF</v>
      </c>
      <c r="P74" s="5" t="s">
        <v>283</v>
      </c>
      <c r="Q74" s="8">
        <v>1</v>
      </c>
      <c r="R74" s="10" t="e">
        <f>VLOOKUP(P74,ARTS!B$3:H$323,6,FALSE)</f>
        <v>#N/A</v>
      </c>
      <c r="S74" s="10" t="e">
        <f>VLOOKUP(P74,ARTS!B$3:H$323,2,FALSE)</f>
        <v>#N/A</v>
      </c>
    </row>
    <row r="75" spans="11:19" ht="14.75" customHeight="1" x14ac:dyDescent="0.45">
      <c r="K75" s="14">
        <v>71</v>
      </c>
      <c r="L75" s="9" t="str">
        <f t="shared" si="8"/>
        <v>SUPER SENIOR</v>
      </c>
      <c r="M75" s="9" t="str">
        <f t="shared" si="9"/>
        <v>BADF</v>
      </c>
      <c r="N75" s="9">
        <f t="shared" si="11"/>
        <v>69</v>
      </c>
      <c r="O75" s="9" t="str">
        <f t="shared" si="10"/>
        <v>AHAMMED AJEER</v>
      </c>
      <c r="P75" s="5" t="s">
        <v>260</v>
      </c>
      <c r="Q75" s="8">
        <v>1</v>
      </c>
      <c r="R75" s="10" t="e">
        <f>VLOOKUP(P75,ARTS!B$3:H$323,6,FALSE)</f>
        <v>#N/A</v>
      </c>
      <c r="S75" s="10" t="e">
        <f>VLOOKUP(P75,ARTS!B$3:H$323,2,FALSE)</f>
        <v>#N/A</v>
      </c>
    </row>
    <row r="76" spans="11:19" ht="14.75" customHeight="1" x14ac:dyDescent="0.45">
      <c r="K76" s="14">
        <v>72</v>
      </c>
      <c r="L76" s="9" t="str">
        <f t="shared" si="8"/>
        <v>SUB JUNIOR</v>
      </c>
      <c r="M76" s="9" t="str">
        <f t="shared" si="9"/>
        <v>FANT</v>
      </c>
      <c r="N76" s="9">
        <f t="shared" si="11"/>
        <v>69</v>
      </c>
      <c r="O76" s="9" t="str">
        <f t="shared" si="10"/>
        <v>ABDUL AFEEZ C.F</v>
      </c>
      <c r="P76" s="5" t="s">
        <v>95</v>
      </c>
      <c r="Q76" s="8">
        <v>1</v>
      </c>
      <c r="R76" s="10" t="e">
        <f>VLOOKUP(P76,ARTS!B$3:H$323,6,FALSE)</f>
        <v>#N/A</v>
      </c>
      <c r="S76" s="10" t="e">
        <f>VLOOKUP(P76,ARTS!B$3:H$323,2,FALSE)</f>
        <v>#N/A</v>
      </c>
    </row>
    <row r="77" spans="11:19" ht="14.75" customHeight="1" x14ac:dyDescent="0.45">
      <c r="K77" s="14">
        <v>73</v>
      </c>
      <c r="L77" s="9" t="str">
        <f t="shared" si="8"/>
        <v>SUPER SENIOR</v>
      </c>
      <c r="M77" s="9" t="str">
        <f t="shared" si="9"/>
        <v>FANT</v>
      </c>
      <c r="N77" s="9">
        <f t="shared" si="11"/>
        <v>69</v>
      </c>
      <c r="O77" s="9" t="str">
        <f t="shared" si="10"/>
        <v>SHAMEEM ABDULLA P.S</v>
      </c>
      <c r="P77" s="5" t="s">
        <v>320</v>
      </c>
      <c r="Q77" s="8">
        <v>1</v>
      </c>
      <c r="R77" s="10">
        <f>VLOOKUP(P77,ARTS!B$3:H$323,6,FALSE)</f>
        <v>2</v>
      </c>
      <c r="S77" s="10">
        <f>VLOOKUP(P77,ARTS!B$3:H$323,2,FALSE)</f>
        <v>51</v>
      </c>
    </row>
    <row r="78" spans="11:19" ht="14.75" customHeight="1" x14ac:dyDescent="0.45">
      <c r="K78" s="14">
        <v>74</v>
      </c>
      <c r="L78" s="9" t="str">
        <f t="shared" si="8"/>
        <v>JUNIOR</v>
      </c>
      <c r="M78" s="9" t="str">
        <f t="shared" si="9"/>
        <v>BADF</v>
      </c>
      <c r="N78" s="9">
        <f t="shared" si="11"/>
        <v>69</v>
      </c>
      <c r="O78" s="9" t="str">
        <f t="shared" si="10"/>
        <v>MOHAMMED NAFIH BA</v>
      </c>
      <c r="P78" s="5" t="s">
        <v>128</v>
      </c>
      <c r="Q78" s="8">
        <v>1</v>
      </c>
      <c r="R78" s="10" t="e">
        <f>VLOOKUP(P78,ARTS!B$3:H$323,6,FALSE)</f>
        <v>#N/A</v>
      </c>
      <c r="S78" s="10" t="e">
        <f>VLOOKUP(P78,ARTS!B$3:H$323,2,FALSE)</f>
        <v>#N/A</v>
      </c>
    </row>
    <row r="79" spans="11:19" ht="14.75" customHeight="1" x14ac:dyDescent="0.45">
      <c r="K79" s="14">
        <v>75</v>
      </c>
      <c r="L79" s="9" t="str">
        <f t="shared" si="8"/>
        <v>SENIOR</v>
      </c>
      <c r="M79" s="9" t="str">
        <f t="shared" si="9"/>
        <v>DAHF</v>
      </c>
      <c r="N79" s="9">
        <f t="shared" si="11"/>
        <v>69</v>
      </c>
      <c r="O79" s="9" t="str">
        <f t="shared" si="10"/>
        <v>RESWAN</v>
      </c>
      <c r="P79" s="5" t="s">
        <v>242</v>
      </c>
      <c r="Q79" s="8">
        <v>1</v>
      </c>
      <c r="R79" s="10" t="e">
        <f>VLOOKUP(P79,ARTS!B$3:H$323,6,FALSE)</f>
        <v>#N/A</v>
      </c>
      <c r="S79" s="10" t="e">
        <f>VLOOKUP(P79,ARTS!B$3:H$323,2,FALSE)</f>
        <v>#N/A</v>
      </c>
    </row>
    <row r="80" spans="11:19" ht="14.75" customHeight="1" x14ac:dyDescent="0.45">
      <c r="K80" s="14">
        <v>76</v>
      </c>
      <c r="L80" s="9" t="str">
        <f t="shared" si="8"/>
        <v>SUB JUNIOR</v>
      </c>
      <c r="M80" s="9" t="str">
        <f t="shared" si="9"/>
        <v>FANT</v>
      </c>
      <c r="N80" s="9">
        <f t="shared" si="11"/>
        <v>69</v>
      </c>
      <c r="O80" s="9" t="str">
        <f t="shared" si="10"/>
        <v>Muhammed Hisham K M</v>
      </c>
      <c r="P80" s="5" t="s">
        <v>65</v>
      </c>
      <c r="Q80" s="8">
        <v>1</v>
      </c>
      <c r="R80" s="10" t="e">
        <f>VLOOKUP(P80,ARTS!B$3:H$323,6,FALSE)</f>
        <v>#N/A</v>
      </c>
      <c r="S80" s="10" t="e">
        <f>VLOOKUP(P80,ARTS!B$3:H$323,2,FALSE)</f>
        <v>#N/A</v>
      </c>
    </row>
    <row r="81" spans="11:19" ht="14.75" customHeight="1" x14ac:dyDescent="0.45">
      <c r="K81" s="14">
        <v>77</v>
      </c>
      <c r="L81" s="9" t="str">
        <f t="shared" si="8"/>
        <v>SUPER SENIOR</v>
      </c>
      <c r="M81" s="9" t="str">
        <f t="shared" si="9"/>
        <v>JARF</v>
      </c>
      <c r="N81" s="9">
        <f t="shared" si="11"/>
        <v>69</v>
      </c>
      <c r="O81" s="9" t="str">
        <f t="shared" si="10"/>
        <v>HASSAN SHADDAD UM</v>
      </c>
      <c r="P81" s="5" t="s">
        <v>267</v>
      </c>
      <c r="Q81" s="8">
        <v>1</v>
      </c>
      <c r="R81" s="10" t="e">
        <f>VLOOKUP(P81,ARTS!B$3:H$323,6,FALSE)</f>
        <v>#N/A</v>
      </c>
      <c r="S81" s="10" t="e">
        <f>VLOOKUP(P81,ARTS!B$3:H$323,2,FALSE)</f>
        <v>#N/A</v>
      </c>
    </row>
    <row r="82" spans="11:19" ht="14.75" customHeight="1" x14ac:dyDescent="0.45">
      <c r="K82" s="14">
        <v>78</v>
      </c>
      <c r="L82" s="9" t="str">
        <f t="shared" si="8"/>
        <v>JUNIOR</v>
      </c>
      <c r="M82" s="9" t="str">
        <f t="shared" si="9"/>
        <v>JARF</v>
      </c>
      <c r="N82" s="9">
        <f t="shared" si="11"/>
        <v>69</v>
      </c>
      <c r="O82" s="9" t="str">
        <f t="shared" si="10"/>
        <v>ABDUL RAHIMAN FAIZ T A</v>
      </c>
      <c r="P82" s="5" t="s">
        <v>132</v>
      </c>
      <c r="Q82" s="8">
        <v>1</v>
      </c>
      <c r="R82" s="10" t="e">
        <f>VLOOKUP(P82,ARTS!B$3:H$323,6,FALSE)</f>
        <v>#N/A</v>
      </c>
      <c r="S82" s="10" t="e">
        <f>VLOOKUP(P82,ARTS!B$3:H$323,2,FALSE)</f>
        <v>#N/A</v>
      </c>
    </row>
    <row r="83" spans="11:19" ht="14.75" customHeight="1" x14ac:dyDescent="0.45">
      <c r="K83" s="14">
        <v>79</v>
      </c>
      <c r="L83" s="9" t="str">
        <f t="shared" si="8"/>
        <v>SUPER SENIOR</v>
      </c>
      <c r="M83" s="9" t="str">
        <f t="shared" si="9"/>
        <v>BADF</v>
      </c>
      <c r="N83" s="9">
        <f t="shared" si="11"/>
        <v>69</v>
      </c>
      <c r="O83" s="9" t="str">
        <f t="shared" si="10"/>
        <v>MUHAMMAD MUSTHAFA P.K</v>
      </c>
      <c r="P83" s="5" t="s">
        <v>290</v>
      </c>
      <c r="Q83" s="8">
        <v>1</v>
      </c>
      <c r="R83" s="10" t="e">
        <f>VLOOKUP(P83,ARTS!B$3:H$323,6,FALSE)</f>
        <v>#N/A</v>
      </c>
      <c r="S83" s="10" t="e">
        <f>VLOOKUP(P83,ARTS!B$3:H$323,2,FALSE)</f>
        <v>#N/A</v>
      </c>
    </row>
    <row r="84" spans="11:19" ht="14.75" customHeight="1" x14ac:dyDescent="0.45">
      <c r="K84" s="14">
        <v>80</v>
      </c>
      <c r="L84" s="9" t="str">
        <f t="shared" si="8"/>
        <v>JUNIOR</v>
      </c>
      <c r="M84" s="9" t="str">
        <f t="shared" si="9"/>
        <v>BADF</v>
      </c>
      <c r="N84" s="9">
        <f t="shared" si="11"/>
        <v>69</v>
      </c>
      <c r="O84" s="9" t="str">
        <f t="shared" si="10"/>
        <v>MOHIDDEEN SHAHSHAD</v>
      </c>
      <c r="P84" s="5" t="s">
        <v>145</v>
      </c>
      <c r="Q84" s="8">
        <v>1</v>
      </c>
      <c r="R84" s="10" t="e">
        <f>VLOOKUP(P84,ARTS!B$3:H$323,6,FALSE)</f>
        <v>#N/A</v>
      </c>
      <c r="S84" s="10" t="e">
        <f>VLOOKUP(P84,ARTS!B$3:H$323,2,FALSE)</f>
        <v>#N/A</v>
      </c>
    </row>
    <row r="85" spans="11:19" ht="14.75" customHeight="1" x14ac:dyDescent="0.45">
      <c r="K85" s="14">
        <v>81</v>
      </c>
      <c r="L85" s="9" t="str">
        <f t="shared" si="8"/>
        <v>SUB JUNIOR</v>
      </c>
      <c r="M85" s="9" t="str">
        <f t="shared" si="9"/>
        <v>FANT</v>
      </c>
      <c r="N85" s="9">
        <f t="shared" si="11"/>
        <v>69</v>
      </c>
      <c r="O85" s="9" t="str">
        <f t="shared" si="10"/>
        <v>MOHAMMED SAWA T A</v>
      </c>
      <c r="P85" s="5" t="s">
        <v>104</v>
      </c>
      <c r="Q85" s="8">
        <v>1</v>
      </c>
      <c r="R85" s="10" t="e">
        <f>VLOOKUP(P85,ARTS!B$3:H$323,6,FALSE)</f>
        <v>#N/A</v>
      </c>
      <c r="S85" s="10" t="e">
        <f>VLOOKUP(P85,ARTS!B$3:H$323,2,FALSE)</f>
        <v>#N/A</v>
      </c>
    </row>
    <row r="86" spans="11:19" ht="14.75" customHeight="1" x14ac:dyDescent="0.45">
      <c r="K86" s="14">
        <v>82</v>
      </c>
      <c r="L86" s="9" t="str">
        <f t="shared" si="8"/>
        <v>JUNIOR</v>
      </c>
      <c r="M86" s="9" t="str">
        <f t="shared" si="9"/>
        <v>JARF</v>
      </c>
      <c r="N86" s="9">
        <f t="shared" si="11"/>
        <v>69</v>
      </c>
      <c r="O86" s="9" t="str">
        <f t="shared" si="10"/>
        <v>MUHAMMED BASSIM. E</v>
      </c>
      <c r="P86" s="5" t="s">
        <v>154</v>
      </c>
      <c r="Q86" s="8">
        <v>1</v>
      </c>
      <c r="R86" s="10" t="e">
        <f>VLOOKUP(P86,ARTS!B$3:H$323,6,FALSE)</f>
        <v>#N/A</v>
      </c>
      <c r="S86" s="10" t="e">
        <f>VLOOKUP(P86,ARTS!B$3:H$323,2,FALSE)</f>
        <v>#N/A</v>
      </c>
    </row>
    <row r="87" spans="11:19" ht="14.75" customHeight="1" x14ac:dyDescent="0.45">
      <c r="K87" s="14">
        <v>83</v>
      </c>
      <c r="L87" s="9" t="str">
        <f t="shared" si="8"/>
        <v>SUB JUNIOR</v>
      </c>
      <c r="M87" s="9" t="str">
        <f t="shared" si="9"/>
        <v>FANT</v>
      </c>
      <c r="N87" s="9">
        <f t="shared" si="11"/>
        <v>69</v>
      </c>
      <c r="O87" s="9" t="str">
        <f t="shared" si="10"/>
        <v>MOHAMMAD K A</v>
      </c>
      <c r="P87" s="5" t="s">
        <v>76</v>
      </c>
      <c r="Q87" s="8">
        <v>1</v>
      </c>
      <c r="R87" s="10" t="e">
        <f>VLOOKUP(P87,ARTS!B$3:H$323,6,FALSE)</f>
        <v>#N/A</v>
      </c>
      <c r="S87" s="10" t="e">
        <f>VLOOKUP(P87,ARTS!B$3:H$323,2,FALSE)</f>
        <v>#N/A</v>
      </c>
    </row>
    <row r="88" spans="11:19" ht="14.75" customHeight="1" x14ac:dyDescent="0.45">
      <c r="K88" s="14">
        <v>84</v>
      </c>
      <c r="L88" s="9" t="str">
        <f t="shared" si="8"/>
        <v>SUB JUNIOR</v>
      </c>
      <c r="M88" s="9" t="str">
        <f t="shared" si="9"/>
        <v>FANT</v>
      </c>
      <c r="N88" s="9">
        <f t="shared" si="11"/>
        <v>69</v>
      </c>
      <c r="O88" s="9" t="str">
        <f t="shared" si="10"/>
        <v>MUHAMMED AFLAH.MK</v>
      </c>
      <c r="P88" s="5" t="s">
        <v>92</v>
      </c>
      <c r="Q88" s="8">
        <v>1</v>
      </c>
      <c r="R88" s="10" t="e">
        <f>VLOOKUP(P88,ARTS!B$3:H$323,6,FALSE)</f>
        <v>#N/A</v>
      </c>
      <c r="S88" s="10" t="e">
        <f>VLOOKUP(P88,ARTS!B$3:H$323,2,FALSE)</f>
        <v>#N/A</v>
      </c>
    </row>
    <row r="89" spans="11:19" ht="14.75" customHeight="1" x14ac:dyDescent="0.45">
      <c r="K89" s="14">
        <v>85</v>
      </c>
      <c r="L89" s="9" t="str">
        <f t="shared" si="8"/>
        <v>SENIOR</v>
      </c>
      <c r="M89" s="9" t="str">
        <f t="shared" si="9"/>
        <v>BADF</v>
      </c>
      <c r="N89" s="9">
        <f t="shared" si="11"/>
        <v>69</v>
      </c>
      <c r="O89" s="9" t="str">
        <f t="shared" si="10"/>
        <v>RUMAIZALI R IBRAHIM</v>
      </c>
      <c r="P89" s="5" t="s">
        <v>245</v>
      </c>
      <c r="Q89" s="8">
        <v>1</v>
      </c>
      <c r="R89" s="10" t="e">
        <f>VLOOKUP(P89,ARTS!B$3:H$323,6,FALSE)</f>
        <v>#N/A</v>
      </c>
      <c r="S89" s="10" t="e">
        <f>VLOOKUP(P89,ARTS!B$3:H$323,2,FALSE)</f>
        <v>#N/A</v>
      </c>
    </row>
    <row r="90" spans="11:19" ht="14.75" customHeight="1" x14ac:dyDescent="0.45">
      <c r="K90" s="14">
        <v>86</v>
      </c>
      <c r="L90" s="9" t="str">
        <f t="shared" si="8"/>
        <v>JUNIOR</v>
      </c>
      <c r="M90" s="9" t="str">
        <f t="shared" si="9"/>
        <v>DAHF</v>
      </c>
      <c r="N90" s="9">
        <f t="shared" si="11"/>
        <v>69</v>
      </c>
      <c r="O90" s="9" t="str">
        <f t="shared" si="10"/>
        <v>MUHAMMED A</v>
      </c>
      <c r="P90" s="5" t="s">
        <v>176</v>
      </c>
      <c r="Q90" s="8">
        <v>1</v>
      </c>
      <c r="R90" s="10" t="e">
        <f>VLOOKUP(P90,ARTS!B$3:H$323,6,FALSE)</f>
        <v>#N/A</v>
      </c>
      <c r="S90" s="10" t="e">
        <f>VLOOKUP(P90,ARTS!B$3:H$323,2,FALSE)</f>
        <v>#N/A</v>
      </c>
    </row>
    <row r="91" spans="11:19" ht="14.75" customHeight="1" x14ac:dyDescent="0.45">
      <c r="K91" s="14">
        <v>87</v>
      </c>
      <c r="L91" s="9" t="str">
        <f t="shared" si="8"/>
        <v>SUPER SENIOR</v>
      </c>
      <c r="M91" s="9" t="str">
        <f t="shared" si="9"/>
        <v>DAHF</v>
      </c>
      <c r="N91" s="9">
        <f t="shared" si="11"/>
        <v>69</v>
      </c>
      <c r="O91" s="9" t="str">
        <f t="shared" si="10"/>
        <v>ABDULLA M HAKEEM</v>
      </c>
      <c r="P91" s="5" t="s">
        <v>266</v>
      </c>
      <c r="Q91" s="8">
        <v>1</v>
      </c>
      <c r="R91" s="10" t="e">
        <f>VLOOKUP(P91,ARTS!B$3:H$323,6,FALSE)</f>
        <v>#N/A</v>
      </c>
      <c r="S91" s="10" t="e">
        <f>VLOOKUP(P91,ARTS!B$3:H$323,2,FALSE)</f>
        <v>#N/A</v>
      </c>
    </row>
    <row r="92" spans="11:19" ht="14.75" customHeight="1" x14ac:dyDescent="0.45">
      <c r="K92" s="14">
        <v>88</v>
      </c>
      <c r="L92" s="9" t="str">
        <f t="shared" si="8"/>
        <v>SENIOR</v>
      </c>
      <c r="M92" s="9" t="str">
        <f t="shared" si="9"/>
        <v>DAHF</v>
      </c>
      <c r="N92" s="9">
        <f t="shared" si="11"/>
        <v>69</v>
      </c>
      <c r="O92" s="9" t="str">
        <f t="shared" si="10"/>
        <v>AHAMMED MAHSHOOK M.B</v>
      </c>
      <c r="P92" s="5" t="s">
        <v>185</v>
      </c>
      <c r="Q92" s="8">
        <v>1</v>
      </c>
      <c r="R92" s="10" t="e">
        <f>VLOOKUP(P92,ARTS!B$3:H$323,6,FALSE)</f>
        <v>#N/A</v>
      </c>
      <c r="S92" s="10" t="e">
        <f>VLOOKUP(P92,ARTS!B$3:H$323,2,FALSE)</f>
        <v>#N/A</v>
      </c>
    </row>
    <row r="93" spans="11:19" ht="14.75" customHeight="1" x14ac:dyDescent="0.45">
      <c r="K93" s="14">
        <v>89</v>
      </c>
      <c r="L93" s="9" t="str">
        <f t="shared" si="8"/>
        <v>SUB JUNIOR</v>
      </c>
      <c r="M93" s="9" t="str">
        <f t="shared" si="9"/>
        <v>DAHF</v>
      </c>
      <c r="N93" s="9">
        <f t="shared" si="11"/>
        <v>69</v>
      </c>
      <c r="O93" s="9" t="str">
        <f t="shared" si="10"/>
        <v>MOHAMMED HAFEEZ B</v>
      </c>
      <c r="P93" s="5" t="s">
        <v>81</v>
      </c>
      <c r="Q93" s="8">
        <v>1</v>
      </c>
      <c r="R93" s="10" t="e">
        <f>VLOOKUP(P93,ARTS!B$3:H$323,6,FALSE)</f>
        <v>#N/A</v>
      </c>
      <c r="S93" s="10" t="e">
        <f>VLOOKUP(P93,ARTS!B$3:H$323,2,FALSE)</f>
        <v>#N/A</v>
      </c>
    </row>
    <row r="94" spans="11:19" ht="14.75" customHeight="1" x14ac:dyDescent="0.45">
      <c r="K94" s="14">
        <v>90</v>
      </c>
      <c r="L94" s="9" t="str">
        <f t="shared" si="8"/>
        <v>SENIOR</v>
      </c>
      <c r="M94" s="9" t="str">
        <f t="shared" si="9"/>
        <v>BADF</v>
      </c>
      <c r="N94" s="9">
        <f t="shared" si="11"/>
        <v>69</v>
      </c>
      <c r="O94" s="9" t="str">
        <f t="shared" si="10"/>
        <v>HADIL RIJAS</v>
      </c>
      <c r="P94" s="5" t="s">
        <v>187</v>
      </c>
      <c r="Q94" s="8">
        <v>1</v>
      </c>
      <c r="R94" s="10" t="e">
        <f>VLOOKUP(P94,ARTS!B$3:H$323,6,FALSE)</f>
        <v>#N/A</v>
      </c>
      <c r="S94" s="10" t="e">
        <f>VLOOKUP(P94,ARTS!B$3:H$323,2,FALSE)</f>
        <v>#N/A</v>
      </c>
    </row>
    <row r="95" spans="11:19" ht="14.75" customHeight="1" x14ac:dyDescent="0.45">
      <c r="K95" s="14">
        <v>91</v>
      </c>
      <c r="L95" s="9" t="str">
        <f t="shared" si="8"/>
        <v>SUPER SENIOR</v>
      </c>
      <c r="M95" s="9" t="str">
        <f t="shared" si="9"/>
        <v>FANT</v>
      </c>
      <c r="N95" s="9">
        <f t="shared" si="11"/>
        <v>69</v>
      </c>
      <c r="O95" s="9" t="str">
        <f t="shared" si="10"/>
        <v>AJMAL ANEES</v>
      </c>
      <c r="P95" s="5" t="s">
        <v>285</v>
      </c>
      <c r="Q95" s="8">
        <v>1</v>
      </c>
      <c r="R95" s="10" t="e">
        <f>VLOOKUP(P95,ARTS!B$3:H$323,6,FALSE)</f>
        <v>#N/A</v>
      </c>
      <c r="S95" s="10" t="e">
        <f>VLOOKUP(P95,ARTS!B$3:H$323,2,FALSE)</f>
        <v>#N/A</v>
      </c>
    </row>
    <row r="96" spans="11:19" ht="14.75" customHeight="1" x14ac:dyDescent="0.45">
      <c r="K96" s="14">
        <v>92</v>
      </c>
      <c r="L96" s="9" t="str">
        <f t="shared" si="8"/>
        <v>SENIOR</v>
      </c>
      <c r="M96" s="9" t="str">
        <f t="shared" si="9"/>
        <v>JARF</v>
      </c>
      <c r="N96" s="9">
        <f t="shared" si="11"/>
        <v>69</v>
      </c>
      <c r="O96" s="9" t="str">
        <f t="shared" si="10"/>
        <v>AHMAD MANAL KUDINGILA</v>
      </c>
      <c r="P96" s="5" t="s">
        <v>188</v>
      </c>
      <c r="Q96" s="8">
        <v>1</v>
      </c>
      <c r="R96" s="10" t="e">
        <f>VLOOKUP(P96,ARTS!B$3:H$323,6,FALSE)</f>
        <v>#N/A</v>
      </c>
      <c r="S96" s="10" t="e">
        <f>VLOOKUP(P96,ARTS!B$3:H$323,2,FALSE)</f>
        <v>#N/A</v>
      </c>
    </row>
    <row r="97" spans="11:19" ht="14.75" customHeight="1" x14ac:dyDescent="0.45">
      <c r="K97" s="14">
        <v>93</v>
      </c>
      <c r="L97" s="9" t="str">
        <f t="shared" si="8"/>
        <v>SUPER SENIOR</v>
      </c>
      <c r="M97" s="9" t="str">
        <f t="shared" si="9"/>
        <v>BADF</v>
      </c>
      <c r="N97" s="9">
        <f t="shared" si="11"/>
        <v>69</v>
      </c>
      <c r="O97" s="9" t="str">
        <f t="shared" si="10"/>
        <v>MUHAMMED MA</v>
      </c>
      <c r="P97" s="5" t="s">
        <v>292</v>
      </c>
      <c r="Q97" s="8">
        <v>1</v>
      </c>
      <c r="R97" s="10" t="e">
        <f>VLOOKUP(P97,ARTS!B$3:H$323,6,FALSE)</f>
        <v>#N/A</v>
      </c>
      <c r="S97" s="10" t="e">
        <f>VLOOKUP(P97,ARTS!B$3:H$323,2,FALSE)</f>
        <v>#N/A</v>
      </c>
    </row>
    <row r="98" spans="11:19" ht="14.75" customHeight="1" x14ac:dyDescent="0.45">
      <c r="K98" s="14">
        <v>94</v>
      </c>
      <c r="L98" s="9" t="str">
        <f t="shared" si="8"/>
        <v>SENIOR</v>
      </c>
      <c r="M98" s="9" t="str">
        <f t="shared" si="9"/>
        <v>FANT</v>
      </c>
      <c r="N98" s="9">
        <f t="shared" si="11"/>
        <v>69</v>
      </c>
      <c r="O98" s="9" t="str">
        <f t="shared" si="10"/>
        <v>ABDULLA SALMAN FARIS M</v>
      </c>
      <c r="P98" s="5" t="s">
        <v>191</v>
      </c>
      <c r="Q98" s="8">
        <v>1</v>
      </c>
      <c r="R98" s="10" t="e">
        <f>VLOOKUP(P98,ARTS!B$3:H$323,6,FALSE)</f>
        <v>#N/A</v>
      </c>
      <c r="S98" s="10" t="e">
        <f>VLOOKUP(P98,ARTS!B$3:H$323,2,FALSE)</f>
        <v>#N/A</v>
      </c>
    </row>
    <row r="99" spans="11:19" ht="14.75" customHeight="1" x14ac:dyDescent="0.45">
      <c r="K99" s="14">
        <v>95</v>
      </c>
      <c r="L99" s="9" t="str">
        <f t="shared" si="8"/>
        <v>SUPER SENIOR</v>
      </c>
      <c r="M99" s="9" t="str">
        <f t="shared" si="9"/>
        <v>JARF</v>
      </c>
      <c r="N99" s="9">
        <f t="shared" si="11"/>
        <v>69</v>
      </c>
      <c r="O99" s="9" t="str">
        <f t="shared" si="10"/>
        <v>AHMED ADIL B.K</v>
      </c>
      <c r="P99" s="5" t="s">
        <v>316</v>
      </c>
      <c r="Q99" s="8">
        <v>1</v>
      </c>
      <c r="R99" s="10">
        <f>VLOOKUP(P99,ARTS!B$3:H$323,6,FALSE)</f>
        <v>5</v>
      </c>
      <c r="S99" s="10">
        <f>VLOOKUP(P99,ARTS!B$3:H$323,2,FALSE)</f>
        <v>18</v>
      </c>
    </row>
    <row r="100" spans="11:19" ht="14.75" customHeight="1" x14ac:dyDescent="0.45">
      <c r="K100" s="14">
        <v>96</v>
      </c>
      <c r="L100" s="9" t="str">
        <f t="shared" si="8"/>
        <v>SUB JUNIOR</v>
      </c>
      <c r="M100" s="9" t="str">
        <f t="shared" si="9"/>
        <v>DAHF</v>
      </c>
      <c r="N100" s="9">
        <f t="shared" si="11"/>
        <v>96</v>
      </c>
      <c r="O100" s="9" t="str">
        <f t="shared" si="10"/>
        <v>Muhammed Anas</v>
      </c>
      <c r="P100" s="8" t="s">
        <v>18</v>
      </c>
      <c r="Q100" s="8">
        <v>0</v>
      </c>
      <c r="R100" s="10" t="e">
        <f>VLOOKUP(P100,ARTS!B$3:H$323,6,FALSE)</f>
        <v>#N/A</v>
      </c>
      <c r="S100" s="10" t="e">
        <f>VLOOKUP(P100,ARTS!B$3:H$323,2,FALSE)</f>
        <v>#N/A</v>
      </c>
    </row>
    <row r="101" spans="11:19" ht="14.75" customHeight="1" x14ac:dyDescent="0.45">
      <c r="K101" s="14">
        <v>97</v>
      </c>
      <c r="L101" s="9" t="str">
        <f t="shared" si="8"/>
        <v>SUPER SENIOR</v>
      </c>
      <c r="M101" s="9" t="str">
        <f t="shared" si="9"/>
        <v>JARF</v>
      </c>
      <c r="N101" s="9">
        <f t="shared" si="11"/>
        <v>96</v>
      </c>
      <c r="O101" s="9" t="str">
        <f t="shared" si="10"/>
        <v>AHMED SULTHAN</v>
      </c>
      <c r="P101" s="8" t="s">
        <v>310</v>
      </c>
      <c r="Q101" s="8">
        <v>0</v>
      </c>
      <c r="R101" s="10" t="e">
        <f>VLOOKUP(P101,ARTS!B$3:H$323,6,FALSE)</f>
        <v>#N/A</v>
      </c>
      <c r="S101" s="10" t="e">
        <f>VLOOKUP(P101,ARTS!B$3:H$323,2,FALSE)</f>
        <v>#N/A</v>
      </c>
    </row>
    <row r="102" spans="11:19" ht="14.75" customHeight="1" x14ac:dyDescent="0.45">
      <c r="K102" s="14">
        <v>98</v>
      </c>
      <c r="L102" s="9" t="str">
        <f t="shared" si="8"/>
        <v>SUB JUNIOR</v>
      </c>
      <c r="M102" s="9" t="str">
        <f t="shared" si="9"/>
        <v>JARF</v>
      </c>
      <c r="N102" s="9">
        <f t="shared" si="11"/>
        <v>96</v>
      </c>
      <c r="O102" s="9" t="str">
        <f t="shared" si="10"/>
        <v>ABDULLA</v>
      </c>
      <c r="P102" s="5" t="s">
        <v>96</v>
      </c>
      <c r="Q102" s="8">
        <v>0</v>
      </c>
      <c r="R102" s="10" t="e">
        <f>VLOOKUP(P102,ARTS!B$3:H$323,6,FALSE)</f>
        <v>#N/A</v>
      </c>
      <c r="S102" s="10" t="e">
        <f>VLOOKUP(P102,ARTS!B$3:H$323,2,FALSE)</f>
        <v>#N/A</v>
      </c>
    </row>
    <row r="103" spans="11:19" ht="14.75" customHeight="1" x14ac:dyDescent="0.45">
      <c r="K103" s="14">
        <v>99</v>
      </c>
      <c r="L103" s="9" t="str">
        <f t="shared" si="8"/>
        <v>JUNIOR</v>
      </c>
      <c r="M103" s="9" t="str">
        <f t="shared" si="9"/>
        <v>JARF</v>
      </c>
      <c r="N103" s="9">
        <f t="shared" si="11"/>
        <v>96</v>
      </c>
      <c r="O103" s="9" t="str">
        <f t="shared" si="10"/>
        <v>ABDUL SA-AD</v>
      </c>
      <c r="P103" s="5" t="s">
        <v>143</v>
      </c>
      <c r="Q103" s="8">
        <v>0</v>
      </c>
      <c r="R103" s="10" t="e">
        <f>VLOOKUP(P103,ARTS!B$3:H$323,6,FALSE)</f>
        <v>#N/A</v>
      </c>
      <c r="S103" s="10" t="e">
        <f>VLOOKUP(P103,ARTS!B$3:H$323,2,FALSE)</f>
        <v>#N/A</v>
      </c>
    </row>
    <row r="104" spans="11:19" ht="14.75" customHeight="1" x14ac:dyDescent="0.45">
      <c r="K104" s="14">
        <v>100</v>
      </c>
      <c r="L104" s="9" t="str">
        <f t="shared" si="8"/>
        <v>SENIOR</v>
      </c>
      <c r="M104" s="9" t="str">
        <f t="shared" si="9"/>
        <v>FANT</v>
      </c>
      <c r="N104" s="9">
        <f t="shared" si="11"/>
        <v>96</v>
      </c>
      <c r="O104" s="9" t="str">
        <f t="shared" si="10"/>
        <v>AHMED FAHEEM MA</v>
      </c>
      <c r="P104" s="5" t="s">
        <v>241</v>
      </c>
      <c r="Q104" s="8">
        <v>0</v>
      </c>
      <c r="R104" s="10" t="e">
        <f>VLOOKUP(P104,ARTS!B$3:H$323,6,FALSE)</f>
        <v>#N/A</v>
      </c>
      <c r="S104" s="10" t="e">
        <f>VLOOKUP(P104,ARTS!B$3:H$323,2,FALSE)</f>
        <v>#N/A</v>
      </c>
    </row>
    <row r="105" spans="11:19" ht="14.75" customHeight="1" x14ac:dyDescent="0.45">
      <c r="K105" s="14">
        <v>101</v>
      </c>
      <c r="L105" s="9" t="str">
        <f t="shared" si="8"/>
        <v>JUNIOR</v>
      </c>
      <c r="M105" s="9" t="str">
        <f t="shared" si="9"/>
        <v>FANT</v>
      </c>
      <c r="N105" s="9">
        <f t="shared" si="11"/>
        <v>96</v>
      </c>
      <c r="O105" s="9" t="str">
        <f t="shared" si="10"/>
        <v>MOHAMMED RIYAN</v>
      </c>
      <c r="P105" s="5" t="s">
        <v>144</v>
      </c>
      <c r="Q105" s="8">
        <v>0</v>
      </c>
      <c r="R105" s="10" t="e">
        <f>VLOOKUP(P105,ARTS!B$3:H$323,6,FALSE)</f>
        <v>#N/A</v>
      </c>
      <c r="S105" s="10" t="e">
        <f>VLOOKUP(P105,ARTS!B$3:H$323,2,FALSE)</f>
        <v>#N/A</v>
      </c>
    </row>
    <row r="106" spans="11:19" ht="14.75" customHeight="1" x14ac:dyDescent="0.45">
      <c r="K106" s="14">
        <v>102</v>
      </c>
      <c r="L106" s="9" t="str">
        <f t="shared" si="8"/>
        <v>JUNIOR</v>
      </c>
      <c r="M106" s="9" t="str">
        <f t="shared" si="9"/>
        <v>FANT</v>
      </c>
      <c r="N106" s="9">
        <f t="shared" si="11"/>
        <v>96</v>
      </c>
      <c r="O106" s="9" t="str">
        <f t="shared" si="10"/>
        <v>SHARAZ AHAMMED</v>
      </c>
      <c r="P106" s="5" t="s">
        <v>136</v>
      </c>
      <c r="Q106" s="8">
        <v>0</v>
      </c>
      <c r="R106" s="10" t="e">
        <f>VLOOKUP(P106,ARTS!B$3:H$323,6,FALSE)</f>
        <v>#N/A</v>
      </c>
      <c r="S106" s="10" t="e">
        <f>VLOOKUP(P106,ARTS!B$3:H$323,2,FALSE)</f>
        <v>#N/A</v>
      </c>
    </row>
    <row r="107" spans="11:19" ht="14.75" customHeight="1" x14ac:dyDescent="0.45">
      <c r="K107" s="14">
        <v>103</v>
      </c>
      <c r="L107" s="9" t="str">
        <f t="shared" si="8"/>
        <v>SUB JUNIOR</v>
      </c>
      <c r="M107" s="9" t="str">
        <f t="shared" si="9"/>
        <v>DAHF</v>
      </c>
      <c r="N107" s="9">
        <f t="shared" si="11"/>
        <v>96</v>
      </c>
      <c r="O107" s="9" t="str">
        <f t="shared" si="10"/>
        <v>SAYYED MUHAMMED ABOOBACKER</v>
      </c>
      <c r="P107" s="5" t="s">
        <v>121</v>
      </c>
      <c r="Q107" s="8">
        <v>0</v>
      </c>
      <c r="R107" s="10" t="e">
        <f>VLOOKUP(P107,ARTS!B$3:H$323,6,FALSE)</f>
        <v>#N/A</v>
      </c>
      <c r="S107" s="10" t="e">
        <f>VLOOKUP(P107,ARTS!B$3:H$323,2,FALSE)</f>
        <v>#N/A</v>
      </c>
    </row>
    <row r="108" spans="11:19" ht="14.75" customHeight="1" x14ac:dyDescent="0.45">
      <c r="K108" s="14">
        <v>104</v>
      </c>
      <c r="L108" s="9" t="str">
        <f t="shared" si="8"/>
        <v>SUPER SENIOR</v>
      </c>
      <c r="M108" s="9" t="str">
        <f t="shared" si="9"/>
        <v>DAHF</v>
      </c>
      <c r="N108" s="9">
        <f t="shared" si="11"/>
        <v>96</v>
      </c>
      <c r="O108" s="9" t="str">
        <f t="shared" si="10"/>
        <v>UMARUL FAROOK K .K</v>
      </c>
      <c r="P108" s="5" t="s">
        <v>296</v>
      </c>
      <c r="Q108" s="8">
        <v>0</v>
      </c>
      <c r="R108" s="10" t="e">
        <f>VLOOKUP(P108,ARTS!B$3:H$323,6,FALSE)</f>
        <v>#N/A</v>
      </c>
      <c r="S108" s="10" t="e">
        <f>VLOOKUP(P108,ARTS!B$3:H$323,2,FALSE)</f>
        <v>#N/A</v>
      </c>
    </row>
    <row r="109" spans="11:19" ht="14.75" customHeight="1" x14ac:dyDescent="0.45">
      <c r="K109" s="14">
        <v>105</v>
      </c>
      <c r="L109" s="9" t="str">
        <f t="shared" si="8"/>
        <v>JUNIOR</v>
      </c>
      <c r="M109" s="9" t="str">
        <f t="shared" si="9"/>
        <v>DAHF</v>
      </c>
      <c r="N109" s="9">
        <f t="shared" si="11"/>
        <v>96</v>
      </c>
      <c r="O109" s="9" t="str">
        <f t="shared" si="10"/>
        <v>MUHAMMAD FAYIZ B</v>
      </c>
      <c r="P109" s="5" t="s">
        <v>146</v>
      </c>
      <c r="Q109" s="8">
        <v>0</v>
      </c>
      <c r="R109" s="10" t="e">
        <f>VLOOKUP(P109,ARTS!B$3:H$323,6,FALSE)</f>
        <v>#N/A</v>
      </c>
      <c r="S109" s="10" t="e">
        <f>VLOOKUP(P109,ARTS!B$3:H$323,2,FALSE)</f>
        <v>#N/A</v>
      </c>
    </row>
    <row r="110" spans="11:19" ht="14.75" customHeight="1" x14ac:dyDescent="0.45">
      <c r="K110" s="14">
        <v>106</v>
      </c>
      <c r="L110" s="9" t="str">
        <f t="shared" si="8"/>
        <v>SENIOR</v>
      </c>
      <c r="M110" s="9" t="str">
        <f t="shared" si="9"/>
        <v>FANT</v>
      </c>
      <c r="N110" s="9">
        <f t="shared" si="11"/>
        <v>96</v>
      </c>
      <c r="O110" s="9" t="str">
        <f t="shared" si="10"/>
        <v>ABDULLA RAMSHAD</v>
      </c>
      <c r="P110" s="5" t="s">
        <v>233</v>
      </c>
      <c r="Q110" s="8">
        <v>0</v>
      </c>
      <c r="R110" s="10" t="e">
        <f>VLOOKUP(P110,ARTS!B$3:H$323,6,FALSE)</f>
        <v>#N/A</v>
      </c>
      <c r="S110" s="10" t="e">
        <f>VLOOKUP(P110,ARTS!B$3:H$323,2,FALSE)</f>
        <v>#N/A</v>
      </c>
    </row>
    <row r="111" spans="11:19" ht="14.75" customHeight="1" x14ac:dyDescent="0.45">
      <c r="K111" s="14">
        <v>107</v>
      </c>
      <c r="L111" s="9" t="str">
        <f t="shared" si="8"/>
        <v>JUNIOR</v>
      </c>
      <c r="M111" s="9" t="str">
        <f t="shared" si="9"/>
        <v>FANT</v>
      </c>
      <c r="N111" s="9">
        <f t="shared" si="11"/>
        <v>96</v>
      </c>
      <c r="O111" s="9" t="str">
        <f t="shared" si="10"/>
        <v>MUHAMMED YASEEN</v>
      </c>
      <c r="P111" s="5" t="s">
        <v>147</v>
      </c>
      <c r="Q111" s="8">
        <v>0</v>
      </c>
      <c r="R111" s="10" t="e">
        <f>VLOOKUP(P111,ARTS!B$3:H$323,6,FALSE)</f>
        <v>#N/A</v>
      </c>
      <c r="S111" s="10" t="e">
        <f>VLOOKUP(P111,ARTS!B$3:H$323,2,FALSE)</f>
        <v>#N/A</v>
      </c>
    </row>
    <row r="112" spans="11:19" ht="14.75" customHeight="1" x14ac:dyDescent="0.45">
      <c r="K112" s="14">
        <v>108</v>
      </c>
      <c r="L112" s="9" t="str">
        <f t="shared" si="8"/>
        <v>SUB JUNIOR</v>
      </c>
      <c r="M112" s="9" t="str">
        <f t="shared" si="9"/>
        <v>FANT</v>
      </c>
      <c r="N112" s="9">
        <f t="shared" si="11"/>
        <v>96</v>
      </c>
      <c r="O112" s="9" t="str">
        <f t="shared" si="10"/>
        <v>MUHAMMED ADNAN K.A</v>
      </c>
      <c r="P112" s="5" t="s">
        <v>108</v>
      </c>
      <c r="Q112" s="8">
        <v>0</v>
      </c>
      <c r="R112" s="10" t="e">
        <f>VLOOKUP(P112,ARTS!B$3:H$323,6,FALSE)</f>
        <v>#N/A</v>
      </c>
      <c r="S112" s="10" t="e">
        <f>VLOOKUP(P112,ARTS!B$3:H$323,2,FALSE)</f>
        <v>#N/A</v>
      </c>
    </row>
    <row r="113" spans="11:19" ht="14.75" customHeight="1" x14ac:dyDescent="0.45">
      <c r="K113" s="14">
        <v>109</v>
      </c>
      <c r="L113" s="9" t="str">
        <f t="shared" si="8"/>
        <v>JUNIOR</v>
      </c>
      <c r="M113" s="9" t="str">
        <f t="shared" si="9"/>
        <v>DAHF</v>
      </c>
      <c r="N113" s="9">
        <f t="shared" si="11"/>
        <v>96</v>
      </c>
      <c r="O113" s="9" t="str">
        <f t="shared" si="10"/>
        <v>MOHAMMED RAED. UA</v>
      </c>
      <c r="P113" s="5" t="s">
        <v>148</v>
      </c>
      <c r="Q113" s="8">
        <v>0</v>
      </c>
      <c r="R113" s="10" t="e">
        <f>VLOOKUP(P113,ARTS!B$3:H$323,6,FALSE)</f>
        <v>#N/A</v>
      </c>
      <c r="S113" s="10" t="e">
        <f>VLOOKUP(P113,ARTS!B$3:H$323,2,FALSE)</f>
        <v>#N/A</v>
      </c>
    </row>
    <row r="114" spans="11:19" ht="14.75" customHeight="1" x14ac:dyDescent="0.45">
      <c r="K114" s="14">
        <v>110</v>
      </c>
      <c r="L114" s="9" t="str">
        <f t="shared" si="8"/>
        <v>SUPER SENIOR</v>
      </c>
      <c r="M114" s="9" t="str">
        <f t="shared" si="9"/>
        <v>DAHF</v>
      </c>
      <c r="N114" s="9">
        <f t="shared" si="11"/>
        <v>96</v>
      </c>
      <c r="O114" s="9" t="str">
        <f t="shared" si="10"/>
        <v>MOHAMMED HASHIR</v>
      </c>
      <c r="P114" s="5" t="s">
        <v>259</v>
      </c>
      <c r="Q114" s="8">
        <v>0</v>
      </c>
      <c r="R114" s="10" t="e">
        <f>VLOOKUP(P114,ARTS!B$3:H$323,6,FALSE)</f>
        <v>#N/A</v>
      </c>
      <c r="S114" s="10" t="e">
        <f>VLOOKUP(P114,ARTS!B$3:H$323,2,FALSE)</f>
        <v>#N/A</v>
      </c>
    </row>
    <row r="115" spans="11:19" ht="14.75" customHeight="1" x14ac:dyDescent="0.45">
      <c r="K115" s="14">
        <v>111</v>
      </c>
      <c r="L115" s="9" t="str">
        <f t="shared" si="8"/>
        <v>JUNIOR</v>
      </c>
      <c r="M115" s="9" t="str">
        <f t="shared" si="9"/>
        <v>DAHF</v>
      </c>
      <c r="N115" s="9">
        <f t="shared" si="11"/>
        <v>96</v>
      </c>
      <c r="O115" s="9" t="str">
        <f t="shared" si="10"/>
        <v>MUHAMMED SHANIFM P</v>
      </c>
      <c r="P115" s="5" t="s">
        <v>149</v>
      </c>
      <c r="Q115" s="8">
        <v>0</v>
      </c>
      <c r="R115" s="10" t="e">
        <f>VLOOKUP(P115,ARTS!B$3:H$323,6,FALSE)</f>
        <v>#N/A</v>
      </c>
      <c r="S115" s="10" t="e">
        <f>VLOOKUP(P115,ARTS!B$3:H$323,2,FALSE)</f>
        <v>#N/A</v>
      </c>
    </row>
    <row r="116" spans="11:19" ht="14.75" customHeight="1" x14ac:dyDescent="0.45">
      <c r="K116" s="14">
        <v>112</v>
      </c>
      <c r="L116" s="9" t="str">
        <f t="shared" si="8"/>
        <v>SUPER SENIOR</v>
      </c>
      <c r="M116" s="9" t="str">
        <f t="shared" si="9"/>
        <v>BADF</v>
      </c>
      <c r="N116" s="9">
        <f t="shared" si="11"/>
        <v>96</v>
      </c>
      <c r="O116" s="9" t="str">
        <f t="shared" si="10"/>
        <v>MUHAMMED SUFAZ P</v>
      </c>
      <c r="P116" s="5" t="s">
        <v>275</v>
      </c>
      <c r="Q116" s="8">
        <v>0</v>
      </c>
      <c r="R116" s="10" t="e">
        <f>VLOOKUP(P116,ARTS!B$3:H$323,6,FALSE)</f>
        <v>#N/A</v>
      </c>
      <c r="S116" s="10" t="e">
        <f>VLOOKUP(P116,ARTS!B$3:H$323,2,FALSE)</f>
        <v>#N/A</v>
      </c>
    </row>
    <row r="117" spans="11:19" ht="14.75" customHeight="1" x14ac:dyDescent="0.45">
      <c r="K117" s="14">
        <v>113</v>
      </c>
      <c r="L117" s="9" t="str">
        <f t="shared" si="8"/>
        <v>JUNIOR</v>
      </c>
      <c r="M117" s="9" t="str">
        <f t="shared" si="9"/>
        <v>JARF</v>
      </c>
      <c r="N117" s="9">
        <f t="shared" si="11"/>
        <v>96</v>
      </c>
      <c r="O117" s="9" t="str">
        <f t="shared" si="10"/>
        <v>AHAMMED JABIR K H</v>
      </c>
      <c r="P117" s="5" t="s">
        <v>150</v>
      </c>
      <c r="Q117" s="8">
        <v>0</v>
      </c>
      <c r="R117" s="10" t="e">
        <f>VLOOKUP(P117,ARTS!B$3:H$323,6,FALSE)</f>
        <v>#N/A</v>
      </c>
      <c r="S117" s="10" t="e">
        <f>VLOOKUP(P117,ARTS!B$3:H$323,2,FALSE)</f>
        <v>#N/A</v>
      </c>
    </row>
    <row r="118" spans="11:19" ht="14.75" customHeight="1" x14ac:dyDescent="0.45">
      <c r="K118" s="14">
        <v>114</v>
      </c>
      <c r="L118" s="9" t="str">
        <f t="shared" si="8"/>
        <v>SUPER SENIOR</v>
      </c>
      <c r="M118" s="9" t="str">
        <f t="shared" si="9"/>
        <v>DAHF</v>
      </c>
      <c r="N118" s="9">
        <f t="shared" si="11"/>
        <v>96</v>
      </c>
      <c r="O118" s="9" t="str">
        <f t="shared" si="10"/>
        <v>MUHAMMED FAISAL A K</v>
      </c>
      <c r="P118" s="5" t="s">
        <v>53</v>
      </c>
      <c r="Q118" s="8">
        <v>0</v>
      </c>
      <c r="R118" s="10" t="e">
        <f>VLOOKUP(P118,ARTS!B$3:H$323,6,FALSE)</f>
        <v>#N/A</v>
      </c>
      <c r="S118" s="10" t="e">
        <f>VLOOKUP(P118,ARTS!B$3:H$323,2,FALSE)</f>
        <v>#N/A</v>
      </c>
    </row>
    <row r="119" spans="11:19" ht="14.75" customHeight="1" x14ac:dyDescent="0.45">
      <c r="K119" s="14">
        <v>115</v>
      </c>
      <c r="L119" s="9" t="str">
        <f t="shared" si="8"/>
        <v>JUNIOR</v>
      </c>
      <c r="M119" s="9" t="str">
        <f t="shared" si="9"/>
        <v>DAHF</v>
      </c>
      <c r="N119" s="9">
        <f t="shared" si="11"/>
        <v>96</v>
      </c>
      <c r="O119" s="9" t="str">
        <f t="shared" si="10"/>
        <v>THANSEEHU RAHMAN</v>
      </c>
      <c r="P119" s="5" t="s">
        <v>151</v>
      </c>
      <c r="Q119" s="8">
        <v>0</v>
      </c>
      <c r="R119" s="10" t="e">
        <f>VLOOKUP(P119,ARTS!B$3:H$323,6,FALSE)</f>
        <v>#N/A</v>
      </c>
      <c r="S119" s="10" t="e">
        <f>VLOOKUP(P119,ARTS!B$3:H$323,2,FALSE)</f>
        <v>#N/A</v>
      </c>
    </row>
    <row r="120" spans="11:19" ht="14.75" customHeight="1" x14ac:dyDescent="0.45">
      <c r="K120" s="14">
        <v>116</v>
      </c>
      <c r="L120" s="9" t="str">
        <f t="shared" si="8"/>
        <v>SUPER SENIOR</v>
      </c>
      <c r="M120" s="9">
        <f t="shared" si="9"/>
        <v>0</v>
      </c>
      <c r="N120" s="9">
        <f t="shared" si="11"/>
        <v>96</v>
      </c>
      <c r="O120" s="9" t="str">
        <f t="shared" si="10"/>
        <v>MUHAMMED BIN ABDUL KADHAR</v>
      </c>
      <c r="P120" s="5" t="s">
        <v>304</v>
      </c>
      <c r="Q120" s="8">
        <v>0</v>
      </c>
      <c r="R120" s="10" t="e">
        <f>VLOOKUP(P120,ARTS!B$3:H$323,6,FALSE)</f>
        <v>#N/A</v>
      </c>
      <c r="S120" s="10" t="e">
        <f>VLOOKUP(P120,ARTS!B$3:H$323,2,FALSE)</f>
        <v>#N/A</v>
      </c>
    </row>
    <row r="121" spans="11:19" ht="14.75" customHeight="1" x14ac:dyDescent="0.45">
      <c r="K121" s="14">
        <v>117</v>
      </c>
      <c r="L121" s="9" t="str">
        <f t="shared" si="8"/>
        <v>JUNIOR</v>
      </c>
      <c r="M121" s="9" t="str">
        <f t="shared" si="9"/>
        <v>BADF</v>
      </c>
      <c r="N121" s="9">
        <f t="shared" si="11"/>
        <v>96</v>
      </c>
      <c r="O121" s="9" t="str">
        <f t="shared" si="10"/>
        <v>MOHAMMED AFNAN</v>
      </c>
      <c r="P121" s="5" t="s">
        <v>152</v>
      </c>
      <c r="Q121" s="8">
        <v>0</v>
      </c>
      <c r="R121" s="10" t="e">
        <f>VLOOKUP(P121,ARTS!B$3:H$323,6,FALSE)</f>
        <v>#N/A</v>
      </c>
      <c r="S121" s="10" t="e">
        <f>VLOOKUP(P121,ARTS!B$3:H$323,2,FALSE)</f>
        <v>#N/A</v>
      </c>
    </row>
    <row r="122" spans="11:19" ht="14.75" customHeight="1" x14ac:dyDescent="0.45">
      <c r="K122" s="14">
        <v>118</v>
      </c>
      <c r="L122" s="9" t="str">
        <f t="shared" si="8"/>
        <v>SUB JUNIOR</v>
      </c>
      <c r="M122" s="9" t="str">
        <f t="shared" si="9"/>
        <v>JARF</v>
      </c>
      <c r="N122" s="9">
        <f t="shared" si="11"/>
        <v>96</v>
      </c>
      <c r="O122" s="9" t="str">
        <f t="shared" si="10"/>
        <v>MOHAMMED WASIM SHAHAD SM</v>
      </c>
      <c r="P122" s="5" t="s">
        <v>105</v>
      </c>
      <c r="Q122" s="8">
        <v>0</v>
      </c>
      <c r="R122" s="10" t="e">
        <f>VLOOKUP(P122,ARTS!B$3:H$323,6,FALSE)</f>
        <v>#N/A</v>
      </c>
      <c r="S122" s="10" t="e">
        <f>VLOOKUP(P122,ARTS!B$3:H$323,2,FALSE)</f>
        <v>#N/A</v>
      </c>
    </row>
    <row r="123" spans="11:19" ht="14.75" customHeight="1" x14ac:dyDescent="0.45">
      <c r="K123" s="14">
        <v>119</v>
      </c>
      <c r="L123" s="9" t="str">
        <f t="shared" si="8"/>
        <v>JUNIOR</v>
      </c>
      <c r="M123" s="9" t="str">
        <f t="shared" si="9"/>
        <v>FANT</v>
      </c>
      <c r="N123" s="9">
        <f t="shared" si="11"/>
        <v>96</v>
      </c>
      <c r="O123" s="9" t="str">
        <f t="shared" si="10"/>
        <v>MOHAMMED SABITH KU</v>
      </c>
      <c r="P123" s="8" t="s">
        <v>21</v>
      </c>
      <c r="Q123" s="8">
        <v>0</v>
      </c>
      <c r="R123" s="10" t="e">
        <f>VLOOKUP(P123,ARTS!B$3:H$323,6,FALSE)</f>
        <v>#N/A</v>
      </c>
      <c r="S123" s="10" t="e">
        <f>VLOOKUP(P123,ARTS!B$3:H$323,2,FALSE)</f>
        <v>#N/A</v>
      </c>
    </row>
    <row r="124" spans="11:19" ht="14.75" customHeight="1" x14ac:dyDescent="0.45">
      <c r="K124" s="14">
        <v>120</v>
      </c>
      <c r="L124" s="9" t="str">
        <f t="shared" si="8"/>
        <v>SENIOR</v>
      </c>
      <c r="M124" s="9" t="str">
        <f t="shared" si="9"/>
        <v>BADF</v>
      </c>
      <c r="N124" s="9">
        <f t="shared" si="11"/>
        <v>96</v>
      </c>
      <c r="O124" s="9" t="str">
        <f t="shared" si="10"/>
        <v>AJMAL AM</v>
      </c>
      <c r="P124" s="5" t="s">
        <v>237</v>
      </c>
      <c r="Q124" s="8">
        <v>0</v>
      </c>
      <c r="R124" s="10" t="e">
        <f>VLOOKUP(P124,ARTS!B$3:H$323,6,FALSE)</f>
        <v>#N/A</v>
      </c>
      <c r="S124" s="10" t="e">
        <f>VLOOKUP(P124,ARTS!B$3:H$323,2,FALSE)</f>
        <v>#N/A</v>
      </c>
    </row>
    <row r="125" spans="11:19" ht="14.75" customHeight="1" x14ac:dyDescent="0.45">
      <c r="K125" s="14">
        <v>121</v>
      </c>
      <c r="L125" s="9" t="str">
        <f t="shared" si="8"/>
        <v>JUNIOR</v>
      </c>
      <c r="M125" s="9" t="str">
        <f t="shared" si="9"/>
        <v>FANT</v>
      </c>
      <c r="N125" s="9">
        <f t="shared" si="11"/>
        <v>96</v>
      </c>
      <c r="O125" s="9" t="str">
        <f t="shared" si="10"/>
        <v>HAFIL ADIL AMANULLAH K K</v>
      </c>
      <c r="P125" s="5" t="s">
        <v>153</v>
      </c>
      <c r="Q125" s="8">
        <v>0</v>
      </c>
      <c r="R125" s="10" t="e">
        <f>VLOOKUP(P125,ARTS!B$3:H$323,6,FALSE)</f>
        <v>#N/A</v>
      </c>
      <c r="S125" s="10" t="e">
        <f>VLOOKUP(P125,ARTS!B$3:H$323,2,FALSE)</f>
        <v>#N/A</v>
      </c>
    </row>
    <row r="126" spans="11:19" ht="14.75" customHeight="1" x14ac:dyDescent="0.45">
      <c r="K126" s="14">
        <v>122</v>
      </c>
      <c r="L126" s="9" t="str">
        <f t="shared" si="8"/>
        <v>SENIOR</v>
      </c>
      <c r="M126" s="9" t="str">
        <f t="shared" si="9"/>
        <v>FANT</v>
      </c>
      <c r="N126" s="9">
        <f t="shared" si="11"/>
        <v>96</v>
      </c>
      <c r="O126" s="9" t="str">
        <f t="shared" si="10"/>
        <v>MUHAMMED SHAHAN P.S</v>
      </c>
      <c r="P126" s="8" t="s">
        <v>34</v>
      </c>
      <c r="Q126" s="8">
        <v>0</v>
      </c>
      <c r="R126" s="10" t="e">
        <f>VLOOKUP(P126,ARTS!B$3:H$323,6,FALSE)</f>
        <v>#N/A</v>
      </c>
      <c r="S126" s="10" t="e">
        <f>VLOOKUP(P126,ARTS!B$3:H$323,2,FALSE)</f>
        <v>#N/A</v>
      </c>
    </row>
    <row r="127" spans="11:19" ht="14.75" customHeight="1" x14ac:dyDescent="0.45">
      <c r="K127" s="14">
        <v>123</v>
      </c>
      <c r="L127" s="9" t="str">
        <f t="shared" si="8"/>
        <v>SUB JUNIOR</v>
      </c>
      <c r="M127" s="9" t="str">
        <f t="shared" si="9"/>
        <v>BADF</v>
      </c>
      <c r="N127" s="9">
        <f t="shared" si="11"/>
        <v>96</v>
      </c>
      <c r="O127" s="9" t="str">
        <f t="shared" si="10"/>
        <v>SHAHUL HAMEED B.I</v>
      </c>
      <c r="P127" s="5" t="s">
        <v>122</v>
      </c>
      <c r="Q127" s="8">
        <v>0</v>
      </c>
      <c r="R127" s="10" t="e">
        <f>VLOOKUP(P127,ARTS!B$3:H$323,6,FALSE)</f>
        <v>#N/A</v>
      </c>
      <c r="S127" s="10" t="e">
        <f>VLOOKUP(P127,ARTS!B$3:H$323,2,FALSE)</f>
        <v>#N/A</v>
      </c>
    </row>
    <row r="128" spans="11:19" ht="14.75" customHeight="1" x14ac:dyDescent="0.45">
      <c r="K128" s="14">
        <v>124</v>
      </c>
      <c r="L128" s="9" t="str">
        <f t="shared" si="8"/>
        <v>SENIOR</v>
      </c>
      <c r="M128" s="9" t="str">
        <f t="shared" si="9"/>
        <v>FANT</v>
      </c>
      <c r="N128" s="9">
        <f t="shared" si="11"/>
        <v>96</v>
      </c>
      <c r="O128" s="9" t="str">
        <f t="shared" si="10"/>
        <v>MUHAMMED T A</v>
      </c>
      <c r="P128" s="5" t="s">
        <v>248</v>
      </c>
      <c r="Q128" s="8">
        <v>0</v>
      </c>
      <c r="R128" s="10" t="e">
        <f>VLOOKUP(P128,ARTS!B$3:H$323,6,FALSE)</f>
        <v>#N/A</v>
      </c>
      <c r="S128" s="10" t="e">
        <f>VLOOKUP(P128,ARTS!B$3:H$323,2,FALSE)</f>
        <v>#N/A</v>
      </c>
    </row>
    <row r="129" spans="11:19" ht="14.75" customHeight="1" x14ac:dyDescent="0.45">
      <c r="K129" s="14">
        <v>125</v>
      </c>
      <c r="L129" s="9" t="str">
        <f t="shared" si="8"/>
        <v>JUNIOR</v>
      </c>
      <c r="M129" s="9" t="str">
        <f t="shared" si="9"/>
        <v>DAHF</v>
      </c>
      <c r="N129" s="9">
        <f t="shared" si="11"/>
        <v>96</v>
      </c>
      <c r="O129" s="9" t="str">
        <f t="shared" si="10"/>
        <v>MUHAMMED SAEED THUFAIL</v>
      </c>
      <c r="P129" s="5" t="s">
        <v>155</v>
      </c>
      <c r="Q129" s="8">
        <v>0</v>
      </c>
      <c r="R129" s="10" t="e">
        <f>VLOOKUP(P129,ARTS!B$3:H$323,6,FALSE)</f>
        <v>#N/A</v>
      </c>
      <c r="S129" s="10" t="e">
        <f>VLOOKUP(P129,ARTS!B$3:H$323,2,FALSE)</f>
        <v>#N/A</v>
      </c>
    </row>
    <row r="130" spans="11:19" ht="14.75" customHeight="1" x14ac:dyDescent="0.45">
      <c r="K130" s="14">
        <v>126</v>
      </c>
      <c r="L130" s="9" t="str">
        <f t="shared" si="8"/>
        <v>SUB JUNIOR</v>
      </c>
      <c r="M130" s="9" t="str">
        <f t="shared" si="9"/>
        <v>JARF</v>
      </c>
      <c r="N130" s="9">
        <f t="shared" si="11"/>
        <v>96</v>
      </c>
      <c r="O130" s="9" t="str">
        <f t="shared" si="10"/>
        <v>MUHAMMED ASHIR M</v>
      </c>
      <c r="P130" s="5" t="s">
        <v>109</v>
      </c>
      <c r="Q130" s="8">
        <v>0</v>
      </c>
      <c r="R130" s="10" t="e">
        <f>VLOOKUP(P130,ARTS!B$3:H$323,6,FALSE)</f>
        <v>#N/A</v>
      </c>
      <c r="S130" s="10" t="e">
        <f>VLOOKUP(P130,ARTS!B$3:H$323,2,FALSE)</f>
        <v>#N/A</v>
      </c>
    </row>
    <row r="131" spans="11:19" ht="14.75" customHeight="1" x14ac:dyDescent="0.45">
      <c r="K131" s="14">
        <v>127</v>
      </c>
      <c r="L131" s="9" t="str">
        <f t="shared" si="8"/>
        <v>JUNIOR</v>
      </c>
      <c r="M131" s="9" t="str">
        <f t="shared" si="9"/>
        <v>JARF</v>
      </c>
      <c r="N131" s="9">
        <f t="shared" si="11"/>
        <v>96</v>
      </c>
      <c r="O131" s="9" t="str">
        <f t="shared" si="10"/>
        <v>MEERAN MOHIUDHEEN RAFIH</v>
      </c>
      <c r="P131" s="5" t="s">
        <v>156</v>
      </c>
      <c r="Q131" s="8">
        <v>0</v>
      </c>
      <c r="R131" s="10" t="e">
        <f>VLOOKUP(P131,ARTS!B$3:H$323,6,FALSE)</f>
        <v>#N/A</v>
      </c>
      <c r="S131" s="10" t="e">
        <f>VLOOKUP(P131,ARTS!B$3:H$323,2,FALSE)</f>
        <v>#N/A</v>
      </c>
    </row>
    <row r="132" spans="11:19" ht="14.75" customHeight="1" x14ac:dyDescent="0.45">
      <c r="K132" s="14">
        <v>128</v>
      </c>
      <c r="L132" s="9" t="str">
        <f t="shared" si="8"/>
        <v>SUPER SENIOR</v>
      </c>
      <c r="M132" s="9" t="str">
        <f t="shared" si="9"/>
        <v>FANT</v>
      </c>
      <c r="N132" s="9">
        <f t="shared" si="11"/>
        <v>96</v>
      </c>
      <c r="O132" s="9" t="str">
        <f t="shared" si="10"/>
        <v>AMEEN ABDULLA</v>
      </c>
      <c r="P132" s="5" t="s">
        <v>263</v>
      </c>
      <c r="Q132" s="8">
        <v>0</v>
      </c>
      <c r="R132" s="10" t="e">
        <f>VLOOKUP(P132,ARTS!B$3:H$323,6,FALSE)</f>
        <v>#N/A</v>
      </c>
      <c r="S132" s="10" t="e">
        <f>VLOOKUP(P132,ARTS!B$3:H$323,2,FALSE)</f>
        <v>#N/A</v>
      </c>
    </row>
    <row r="133" spans="11:19" ht="14.75" customHeight="1" x14ac:dyDescent="0.45">
      <c r="K133" s="14">
        <v>129</v>
      </c>
      <c r="L133" s="9" t="str">
        <f t="shared" ref="L133:L196" si="12">_xlfn.IFNA(VLOOKUP(P133,f_details_of_candidates,4,FALSE),"")</f>
        <v>JUNIOR</v>
      </c>
      <c r="M133" s="9" t="str">
        <f t="shared" ref="M133:M196" si="13">_xlfn.IFNA(VLOOKUP(P133,f_details_of_candidates,3,FALSE),"")</f>
        <v>JARF</v>
      </c>
      <c r="N133" s="9">
        <f t="shared" si="11"/>
        <v>96</v>
      </c>
      <c r="O133" s="9" t="str">
        <f t="shared" ref="O133:O196" si="14">_xlfn.IFNA(VLOOKUP(P133,f_details_of_candidates,2,FALSE),"")</f>
        <v>ABDUL RAHIMAN AZAAN</v>
      </c>
      <c r="P133" s="5" t="s">
        <v>157</v>
      </c>
      <c r="Q133" s="8">
        <v>0</v>
      </c>
      <c r="R133" s="10" t="e">
        <f>VLOOKUP(P133,ARTS!B$3:H$323,6,FALSE)</f>
        <v>#N/A</v>
      </c>
      <c r="S133" s="10" t="e">
        <f>VLOOKUP(P133,ARTS!B$3:H$323,2,FALSE)</f>
        <v>#N/A</v>
      </c>
    </row>
    <row r="134" spans="11:19" ht="14.75" customHeight="1" x14ac:dyDescent="0.45">
      <c r="K134" s="14">
        <v>130</v>
      </c>
      <c r="L134" s="9" t="str">
        <f t="shared" si="12"/>
        <v>SUPER SENIOR</v>
      </c>
      <c r="M134" s="9" t="str">
        <f t="shared" si="13"/>
        <v>FANT</v>
      </c>
      <c r="N134" s="9">
        <f t="shared" ref="N134:N197" si="15">IF(P134&lt;&gt;0,RANK(Q134,Q$5:Q$326,0),"")</f>
        <v>96</v>
      </c>
      <c r="O134" s="9" t="str">
        <f t="shared" si="14"/>
        <v>MUHAMMAD SINAN NP</v>
      </c>
      <c r="P134" s="5" t="s">
        <v>271</v>
      </c>
      <c r="Q134" s="8">
        <v>0</v>
      </c>
      <c r="R134" s="10" t="e">
        <f>VLOOKUP(P134,ARTS!B$3:H$323,6,FALSE)</f>
        <v>#N/A</v>
      </c>
      <c r="S134" s="10" t="e">
        <f>VLOOKUP(P134,ARTS!B$3:H$323,2,FALSE)</f>
        <v>#N/A</v>
      </c>
    </row>
    <row r="135" spans="11:19" ht="14.75" customHeight="1" x14ac:dyDescent="0.45">
      <c r="K135" s="14">
        <v>131</v>
      </c>
      <c r="L135" s="9" t="str">
        <f t="shared" si="12"/>
        <v>JUNIOR</v>
      </c>
      <c r="M135" s="9" t="str">
        <f t="shared" si="13"/>
        <v>FANT</v>
      </c>
      <c r="N135" s="9">
        <f t="shared" si="15"/>
        <v>96</v>
      </c>
      <c r="O135" s="9" t="str">
        <f t="shared" si="14"/>
        <v>MOHAMMED RAFIH M R</v>
      </c>
      <c r="P135" s="5" t="s">
        <v>158</v>
      </c>
      <c r="Q135" s="8">
        <v>0</v>
      </c>
      <c r="R135" s="10" t="e">
        <f>VLOOKUP(P135,ARTS!B$3:H$323,6,FALSE)</f>
        <v>#N/A</v>
      </c>
      <c r="S135" s="10" t="e">
        <f>VLOOKUP(P135,ARTS!B$3:H$323,2,FALSE)</f>
        <v>#N/A</v>
      </c>
    </row>
    <row r="136" spans="11:19" ht="14.75" customHeight="1" x14ac:dyDescent="0.45">
      <c r="K136" s="14">
        <v>132</v>
      </c>
      <c r="L136" s="9" t="str">
        <f t="shared" si="12"/>
        <v>SUPER SENIOR</v>
      </c>
      <c r="M136" s="9" t="str">
        <f t="shared" si="13"/>
        <v>FANT</v>
      </c>
      <c r="N136" s="9">
        <f t="shared" si="15"/>
        <v>96</v>
      </c>
      <c r="O136" s="9" t="str">
        <f t="shared" si="14"/>
        <v>MEHAZIN AMAN T</v>
      </c>
      <c r="P136" s="5" t="s">
        <v>279</v>
      </c>
      <c r="Q136" s="8">
        <v>0</v>
      </c>
      <c r="R136" s="10" t="e">
        <f>VLOOKUP(P136,ARTS!B$3:H$323,6,FALSE)</f>
        <v>#N/A</v>
      </c>
      <c r="S136" s="10" t="e">
        <f>VLOOKUP(P136,ARTS!B$3:H$323,2,FALSE)</f>
        <v>#N/A</v>
      </c>
    </row>
    <row r="137" spans="11:19" ht="14.75" customHeight="1" x14ac:dyDescent="0.45">
      <c r="K137" s="14">
        <v>133</v>
      </c>
      <c r="L137" s="9" t="str">
        <f t="shared" si="12"/>
        <v>JUNIOR</v>
      </c>
      <c r="M137" s="9" t="str">
        <f t="shared" si="13"/>
        <v>BADF</v>
      </c>
      <c r="N137" s="9">
        <f t="shared" si="15"/>
        <v>96</v>
      </c>
      <c r="O137" s="9" t="str">
        <f t="shared" si="14"/>
        <v>MUHAMMAD MIJVAD K</v>
      </c>
      <c r="P137" s="5" t="s">
        <v>159</v>
      </c>
      <c r="Q137" s="8">
        <v>0</v>
      </c>
      <c r="R137" s="10" t="e">
        <f>VLOOKUP(P137,ARTS!B$3:H$323,6,FALSE)</f>
        <v>#N/A</v>
      </c>
      <c r="S137" s="10" t="e">
        <f>VLOOKUP(P137,ARTS!B$3:H$323,2,FALSE)</f>
        <v>#N/A</v>
      </c>
    </row>
    <row r="138" spans="11:19" ht="14.75" customHeight="1" x14ac:dyDescent="0.45">
      <c r="K138" s="14">
        <v>134</v>
      </c>
      <c r="L138" s="9" t="str">
        <f t="shared" si="12"/>
        <v>SUB JUNIOR</v>
      </c>
      <c r="M138" s="9" t="str">
        <f t="shared" si="13"/>
        <v>JARF</v>
      </c>
      <c r="N138" s="9">
        <f t="shared" si="15"/>
        <v>96</v>
      </c>
      <c r="O138" s="9" t="str">
        <f t="shared" si="14"/>
        <v>MUHAMMED RIZIN AMAN</v>
      </c>
      <c r="P138" s="5" t="s">
        <v>59</v>
      </c>
      <c r="Q138" s="8">
        <v>0</v>
      </c>
      <c r="R138" s="10" t="e">
        <f>VLOOKUP(P138,ARTS!B$3:H$323,6,FALSE)</f>
        <v>#N/A</v>
      </c>
      <c r="S138" s="10" t="e">
        <f>VLOOKUP(P138,ARTS!B$3:H$323,2,FALSE)</f>
        <v>#N/A</v>
      </c>
    </row>
    <row r="139" spans="11:19" ht="14.75" customHeight="1" x14ac:dyDescent="0.45">
      <c r="K139" s="14">
        <v>135</v>
      </c>
      <c r="L139" s="9" t="str">
        <f t="shared" si="12"/>
        <v>JUNIOR</v>
      </c>
      <c r="M139" s="9" t="str">
        <f t="shared" si="13"/>
        <v>BADF</v>
      </c>
      <c r="N139" s="9">
        <f t="shared" si="15"/>
        <v>96</v>
      </c>
      <c r="O139" s="9" t="str">
        <f t="shared" si="14"/>
        <v>MOHAMMAD IJAN</v>
      </c>
      <c r="P139" s="5" t="s">
        <v>160</v>
      </c>
      <c r="Q139" s="8">
        <v>0</v>
      </c>
      <c r="R139" s="10" t="e">
        <f>VLOOKUP(P139,ARTS!B$3:H$323,6,FALSE)</f>
        <v>#N/A</v>
      </c>
      <c r="S139" s="10" t="e">
        <f>VLOOKUP(P139,ARTS!B$3:H$323,2,FALSE)</f>
        <v>#N/A</v>
      </c>
    </row>
    <row r="140" spans="11:19" ht="14.75" customHeight="1" x14ac:dyDescent="0.45">
      <c r="K140" s="14">
        <v>136</v>
      </c>
      <c r="L140" s="9" t="str">
        <f t="shared" si="12"/>
        <v>SUPER SENIOR</v>
      </c>
      <c r="M140" s="9" t="str">
        <f t="shared" si="13"/>
        <v>JARF</v>
      </c>
      <c r="N140" s="9">
        <f t="shared" si="15"/>
        <v>96</v>
      </c>
      <c r="O140" s="9" t="str">
        <f t="shared" si="14"/>
        <v>MUHAMMED RASHAD KA</v>
      </c>
      <c r="P140" s="5" t="s">
        <v>293</v>
      </c>
      <c r="Q140" s="8">
        <v>0</v>
      </c>
      <c r="R140" s="10" t="e">
        <f>VLOOKUP(P140,ARTS!B$3:H$323,6,FALSE)</f>
        <v>#N/A</v>
      </c>
      <c r="S140" s="10" t="e">
        <f>VLOOKUP(P140,ARTS!B$3:H$323,2,FALSE)</f>
        <v>#N/A</v>
      </c>
    </row>
    <row r="141" spans="11:19" ht="14.75" customHeight="1" x14ac:dyDescent="0.45">
      <c r="K141" s="14">
        <v>137</v>
      </c>
      <c r="L141" s="9" t="str">
        <f t="shared" si="12"/>
        <v>SUB JUNIOR</v>
      </c>
      <c r="M141" s="9" t="str">
        <f t="shared" si="13"/>
        <v>BADF</v>
      </c>
      <c r="N141" s="9">
        <f t="shared" si="15"/>
        <v>96</v>
      </c>
      <c r="O141" s="9" t="str">
        <f t="shared" si="14"/>
        <v>MUHAMMAD AZEEM</v>
      </c>
      <c r="P141" s="5" t="s">
        <v>60</v>
      </c>
      <c r="Q141" s="8">
        <v>0</v>
      </c>
      <c r="R141" s="10" t="e">
        <f>VLOOKUP(P141,ARTS!B$3:H$323,6,FALSE)</f>
        <v>#N/A</v>
      </c>
      <c r="S141" s="10" t="e">
        <f>VLOOKUP(P141,ARTS!B$3:H$323,2,FALSE)</f>
        <v>#N/A</v>
      </c>
    </row>
    <row r="142" spans="11:19" ht="14.75" customHeight="1" x14ac:dyDescent="0.45">
      <c r="K142" s="14">
        <v>138</v>
      </c>
      <c r="L142" s="9" t="str">
        <f t="shared" si="12"/>
        <v>SUPER SENIOR</v>
      </c>
      <c r="M142" s="9" t="str">
        <f t="shared" si="13"/>
        <v>DAHF</v>
      </c>
      <c r="N142" s="9">
        <f t="shared" si="15"/>
        <v>96</v>
      </c>
      <c r="O142" s="9" t="str">
        <f t="shared" si="14"/>
        <v>MOHAMMAD ISMAIL SINAN KM</v>
      </c>
      <c r="P142" s="5" t="s">
        <v>300</v>
      </c>
      <c r="Q142" s="8">
        <v>0</v>
      </c>
      <c r="R142" s="10" t="e">
        <f>VLOOKUP(P142,ARTS!B$3:H$323,6,FALSE)</f>
        <v>#N/A</v>
      </c>
      <c r="S142" s="10" t="e">
        <f>VLOOKUP(P142,ARTS!B$3:H$323,2,FALSE)</f>
        <v>#N/A</v>
      </c>
    </row>
    <row r="143" spans="11:19" ht="14.75" customHeight="1" x14ac:dyDescent="0.45">
      <c r="K143" s="14">
        <v>139</v>
      </c>
      <c r="L143" s="9" t="str">
        <f t="shared" si="12"/>
        <v>JUNIOR</v>
      </c>
      <c r="M143" s="9" t="str">
        <f t="shared" si="13"/>
        <v>DAHF</v>
      </c>
      <c r="N143" s="9">
        <f t="shared" si="15"/>
        <v>96</v>
      </c>
      <c r="O143" s="9" t="str">
        <f t="shared" si="14"/>
        <v>Muhammad</v>
      </c>
      <c r="P143" s="5" t="s">
        <v>161</v>
      </c>
      <c r="Q143" s="8">
        <v>0</v>
      </c>
      <c r="R143" s="10" t="e">
        <f>VLOOKUP(P143,ARTS!B$3:H$323,6,FALSE)</f>
        <v>#N/A</v>
      </c>
      <c r="S143" s="10" t="e">
        <f>VLOOKUP(P143,ARTS!B$3:H$323,2,FALSE)</f>
        <v>#N/A</v>
      </c>
    </row>
    <row r="144" spans="11:19" ht="14.75" customHeight="1" x14ac:dyDescent="0.45">
      <c r="K144" s="14">
        <v>140</v>
      </c>
      <c r="L144" s="9" t="str">
        <f t="shared" si="12"/>
        <v>SUPER SENIOR</v>
      </c>
      <c r="M144" s="9" t="str">
        <f t="shared" si="13"/>
        <v>JARF</v>
      </c>
      <c r="N144" s="9">
        <f t="shared" si="15"/>
        <v>96</v>
      </c>
      <c r="O144" s="9" t="str">
        <f t="shared" si="14"/>
        <v>SALMAN FARIS</v>
      </c>
      <c r="P144" s="5" t="s">
        <v>308</v>
      </c>
      <c r="Q144" s="8">
        <v>0</v>
      </c>
      <c r="R144" s="10" t="e">
        <f>VLOOKUP(P144,ARTS!B$3:H$323,6,FALSE)</f>
        <v>#N/A</v>
      </c>
      <c r="S144" s="10" t="e">
        <f>VLOOKUP(P144,ARTS!B$3:H$323,2,FALSE)</f>
        <v>#N/A</v>
      </c>
    </row>
    <row r="145" spans="11:19" ht="14.75" customHeight="1" x14ac:dyDescent="0.45">
      <c r="K145" s="14">
        <v>141</v>
      </c>
      <c r="L145" s="9" t="str">
        <f t="shared" si="12"/>
        <v>JUNIOR</v>
      </c>
      <c r="M145" s="9" t="str">
        <f t="shared" si="13"/>
        <v>BADF</v>
      </c>
      <c r="N145" s="9">
        <f t="shared" si="15"/>
        <v>96</v>
      </c>
      <c r="O145" s="9" t="str">
        <f t="shared" si="14"/>
        <v>MOHAMMED SHAHID</v>
      </c>
      <c r="P145" s="5" t="s">
        <v>162</v>
      </c>
      <c r="Q145" s="8">
        <v>0</v>
      </c>
      <c r="R145" s="10" t="e">
        <f>VLOOKUP(P145,ARTS!B$3:H$323,6,FALSE)</f>
        <v>#N/A</v>
      </c>
      <c r="S145" s="10" t="e">
        <f>VLOOKUP(P145,ARTS!B$3:H$323,2,FALSE)</f>
        <v>#N/A</v>
      </c>
    </row>
    <row r="146" spans="11:19" ht="14.75" customHeight="1" x14ac:dyDescent="0.45">
      <c r="K146" s="14">
        <v>142</v>
      </c>
      <c r="L146" s="9" t="str">
        <f t="shared" si="12"/>
        <v>SUPER SENIOR</v>
      </c>
      <c r="M146" s="9" t="str">
        <f t="shared" si="13"/>
        <v>FANT</v>
      </c>
      <c r="N146" s="9">
        <f t="shared" si="15"/>
        <v>96</v>
      </c>
      <c r="O146" s="9" t="str">
        <f t="shared" si="14"/>
        <v>MOHAMMED NAFIH KA</v>
      </c>
      <c r="P146" s="5" t="s">
        <v>314</v>
      </c>
      <c r="Q146" s="8">
        <v>0</v>
      </c>
      <c r="R146" s="10">
        <f>VLOOKUP(P146,ARTS!B$3:H$323,6,FALSE)</f>
        <v>18</v>
      </c>
      <c r="S146" s="10">
        <f>VLOOKUP(P146,ARTS!B$3:H$323,2,FALSE)</f>
        <v>0</v>
      </c>
    </row>
    <row r="147" spans="11:19" ht="14.75" customHeight="1" x14ac:dyDescent="0.45">
      <c r="K147" s="14">
        <v>143</v>
      </c>
      <c r="L147" s="9" t="str">
        <f t="shared" si="12"/>
        <v>SUB JUNIOR</v>
      </c>
      <c r="M147" s="9" t="str">
        <f t="shared" si="13"/>
        <v>BADF</v>
      </c>
      <c r="N147" s="9">
        <f t="shared" si="15"/>
        <v>96</v>
      </c>
      <c r="O147" s="9" t="str">
        <f t="shared" si="14"/>
        <v>AHMED RAZI MR</v>
      </c>
      <c r="P147" s="5" t="s">
        <v>64</v>
      </c>
      <c r="Q147" s="8">
        <v>0</v>
      </c>
      <c r="R147" s="10" t="e">
        <f>VLOOKUP(P147,ARTS!B$3:H$323,6,FALSE)</f>
        <v>#N/A</v>
      </c>
      <c r="S147" s="10" t="e">
        <f>VLOOKUP(P147,ARTS!B$3:H$323,2,FALSE)</f>
        <v>#N/A</v>
      </c>
    </row>
    <row r="148" spans="11:19" ht="14.75" customHeight="1" x14ac:dyDescent="0.45">
      <c r="K148" s="14">
        <v>144</v>
      </c>
      <c r="L148" s="9" t="str">
        <f t="shared" si="12"/>
        <v>SENIOR</v>
      </c>
      <c r="M148" s="9" t="str">
        <f t="shared" si="13"/>
        <v>DAHF</v>
      </c>
      <c r="N148" s="9">
        <f t="shared" si="15"/>
        <v>96</v>
      </c>
      <c r="O148" s="9" t="str">
        <f t="shared" si="14"/>
        <v>MOHAMMED RAZEEN S.P</v>
      </c>
      <c r="P148" s="5" t="s">
        <v>231</v>
      </c>
      <c r="Q148" s="8">
        <v>0</v>
      </c>
      <c r="R148" s="10" t="e">
        <f>VLOOKUP(P148,ARTS!B$3:H$323,6,FALSE)</f>
        <v>#N/A</v>
      </c>
      <c r="S148" s="10" t="e">
        <f>VLOOKUP(P148,ARTS!B$3:H$323,2,FALSE)</f>
        <v>#N/A</v>
      </c>
    </row>
    <row r="149" spans="11:19" ht="14.75" customHeight="1" x14ac:dyDescent="0.45">
      <c r="K149" s="14">
        <v>145</v>
      </c>
      <c r="L149" s="9" t="str">
        <f t="shared" si="12"/>
        <v>JUNIOR</v>
      </c>
      <c r="M149" s="9" t="str">
        <f t="shared" si="13"/>
        <v>BADF</v>
      </c>
      <c r="N149" s="9">
        <f t="shared" si="15"/>
        <v>96</v>
      </c>
      <c r="O149" s="9" t="str">
        <f t="shared" si="14"/>
        <v>MUHAMMED HAMDAN A.P</v>
      </c>
      <c r="P149" s="5" t="s">
        <v>164</v>
      </c>
      <c r="Q149" s="8">
        <v>0</v>
      </c>
      <c r="R149" s="10" t="e">
        <f>VLOOKUP(P149,ARTS!B$3:H$323,6,FALSE)</f>
        <v>#N/A</v>
      </c>
      <c r="S149" s="10" t="e">
        <f>VLOOKUP(P149,ARTS!B$3:H$323,2,FALSE)</f>
        <v>#N/A</v>
      </c>
    </row>
    <row r="150" spans="11:19" ht="14.75" customHeight="1" x14ac:dyDescent="0.45">
      <c r="K150" s="14">
        <v>146</v>
      </c>
      <c r="L150" s="9" t="str">
        <f t="shared" si="12"/>
        <v>SENIOR</v>
      </c>
      <c r="M150" s="9" t="str">
        <f t="shared" si="13"/>
        <v>DAHF</v>
      </c>
      <c r="N150" s="9">
        <f t="shared" si="15"/>
        <v>96</v>
      </c>
      <c r="O150" s="9" t="str">
        <f t="shared" si="14"/>
        <v>ABDUL FATHAH AHAMMED C</v>
      </c>
      <c r="P150" s="5" t="s">
        <v>235</v>
      </c>
      <c r="Q150" s="8">
        <v>0</v>
      </c>
      <c r="R150" s="10" t="e">
        <f>VLOOKUP(P150,ARTS!B$3:H$323,6,FALSE)</f>
        <v>#N/A</v>
      </c>
      <c r="S150" s="10" t="e">
        <f>VLOOKUP(P150,ARTS!B$3:H$323,2,FALSE)</f>
        <v>#N/A</v>
      </c>
    </row>
    <row r="151" spans="11:19" ht="14.75" customHeight="1" x14ac:dyDescent="0.45">
      <c r="K151" s="14">
        <v>147</v>
      </c>
      <c r="L151" s="9" t="str">
        <f t="shared" si="12"/>
        <v>JUNIOR</v>
      </c>
      <c r="M151" s="9" t="str">
        <f t="shared" si="13"/>
        <v>FANT</v>
      </c>
      <c r="N151" s="9">
        <f t="shared" si="15"/>
        <v>96</v>
      </c>
      <c r="O151" s="9" t="str">
        <f t="shared" si="14"/>
        <v>MOHAMMED SHADIL AP</v>
      </c>
      <c r="P151" s="5" t="s">
        <v>165</v>
      </c>
      <c r="Q151" s="8">
        <v>0</v>
      </c>
      <c r="R151" s="10" t="e">
        <f>VLOOKUP(P151,ARTS!B$3:H$323,6,FALSE)</f>
        <v>#N/A</v>
      </c>
      <c r="S151" s="10" t="e">
        <f>VLOOKUP(P151,ARTS!B$3:H$323,2,FALSE)</f>
        <v>#N/A</v>
      </c>
    </row>
    <row r="152" spans="11:19" ht="14.75" customHeight="1" x14ac:dyDescent="0.45">
      <c r="K152" s="14">
        <v>148</v>
      </c>
      <c r="L152" s="9" t="str">
        <f t="shared" si="12"/>
        <v>SUB JUNIOR</v>
      </c>
      <c r="M152" s="9" t="str">
        <f t="shared" si="13"/>
        <v>DAHF</v>
      </c>
      <c r="N152" s="9">
        <f t="shared" si="15"/>
        <v>96</v>
      </c>
      <c r="O152" s="9" t="str">
        <f t="shared" si="14"/>
        <v>P.V.AHMAD ANAS</v>
      </c>
      <c r="P152" s="5" t="s">
        <v>119</v>
      </c>
      <c r="Q152" s="8">
        <v>0</v>
      </c>
      <c r="R152" s="10" t="e">
        <f>VLOOKUP(P152,ARTS!B$3:H$323,6,FALSE)</f>
        <v>#N/A</v>
      </c>
      <c r="S152" s="10" t="e">
        <f>VLOOKUP(P152,ARTS!B$3:H$323,2,FALSE)</f>
        <v>#N/A</v>
      </c>
    </row>
    <row r="153" spans="11:19" ht="14.75" customHeight="1" x14ac:dyDescent="0.45">
      <c r="K153" s="14">
        <v>149</v>
      </c>
      <c r="L153" s="9" t="str">
        <f t="shared" si="12"/>
        <v>JUNIOR</v>
      </c>
      <c r="M153" s="9" t="str">
        <f t="shared" si="13"/>
        <v>FANT</v>
      </c>
      <c r="N153" s="9">
        <f t="shared" si="15"/>
        <v>96</v>
      </c>
      <c r="O153" s="9" t="str">
        <f t="shared" si="14"/>
        <v>MUHAMMED NAFIH CI</v>
      </c>
      <c r="P153" s="8" t="s">
        <v>166</v>
      </c>
      <c r="Q153" s="8">
        <v>0</v>
      </c>
      <c r="R153" s="10" t="e">
        <f>VLOOKUP(P153,ARTS!B$3:H$323,6,FALSE)</f>
        <v>#N/A</v>
      </c>
      <c r="S153" s="10" t="e">
        <f>VLOOKUP(P153,ARTS!B$3:H$323,2,FALSE)</f>
        <v>#N/A</v>
      </c>
    </row>
    <row r="154" spans="11:19" ht="14.75" customHeight="1" x14ac:dyDescent="0.45">
      <c r="K154" s="14">
        <v>150</v>
      </c>
      <c r="L154" s="9" t="str">
        <f t="shared" si="12"/>
        <v>SUB JUNIOR</v>
      </c>
      <c r="M154" s="9" t="str">
        <f t="shared" si="13"/>
        <v>DAHF</v>
      </c>
      <c r="N154" s="9">
        <f t="shared" si="15"/>
        <v>96</v>
      </c>
      <c r="O154" s="9" t="str">
        <f t="shared" si="14"/>
        <v>SAYYED MOHAMMED SINAN AM</v>
      </c>
      <c r="P154" s="5" t="s">
        <v>120</v>
      </c>
      <c r="Q154" s="8">
        <v>0</v>
      </c>
      <c r="R154" s="10" t="e">
        <f>VLOOKUP(P154,ARTS!B$3:H$323,6,FALSE)</f>
        <v>#N/A</v>
      </c>
      <c r="S154" s="10" t="e">
        <f>VLOOKUP(P154,ARTS!B$3:H$323,2,FALSE)</f>
        <v>#N/A</v>
      </c>
    </row>
    <row r="155" spans="11:19" ht="14.75" customHeight="1" x14ac:dyDescent="0.45">
      <c r="K155" s="14">
        <v>151</v>
      </c>
      <c r="L155" s="9" t="str">
        <f t="shared" si="12"/>
        <v>JUNIOR</v>
      </c>
      <c r="M155" s="9" t="str">
        <f t="shared" si="13"/>
        <v>FANT</v>
      </c>
      <c r="N155" s="9">
        <f t="shared" si="15"/>
        <v>96</v>
      </c>
      <c r="O155" s="9" t="str">
        <f t="shared" si="14"/>
        <v>YASEEN NOORULLA PH</v>
      </c>
      <c r="P155" s="5" t="s">
        <v>167</v>
      </c>
      <c r="Q155" s="8">
        <v>0</v>
      </c>
      <c r="R155" s="10" t="e">
        <f>VLOOKUP(P155,ARTS!B$3:H$323,6,FALSE)</f>
        <v>#N/A</v>
      </c>
      <c r="S155" s="10" t="e">
        <f>VLOOKUP(P155,ARTS!B$3:H$323,2,FALSE)</f>
        <v>#N/A</v>
      </c>
    </row>
    <row r="156" spans="11:19" ht="14.75" customHeight="1" x14ac:dyDescent="0.45">
      <c r="K156" s="14">
        <v>152</v>
      </c>
      <c r="L156" s="9" t="str">
        <f t="shared" si="12"/>
        <v>JUNIOR</v>
      </c>
      <c r="M156" s="9" t="str">
        <f t="shared" si="13"/>
        <v>DAHF</v>
      </c>
      <c r="N156" s="9">
        <f t="shared" si="15"/>
        <v>96</v>
      </c>
      <c r="O156" s="9" t="str">
        <f t="shared" si="14"/>
        <v>AHAMMED SAFAR ZAKARIYA</v>
      </c>
      <c r="P156" s="5" t="s">
        <v>133</v>
      </c>
      <c r="Q156" s="8">
        <v>0</v>
      </c>
      <c r="R156" s="10" t="e">
        <f>VLOOKUP(P156,ARTS!B$3:H$323,6,FALSE)</f>
        <v>#N/A</v>
      </c>
      <c r="S156" s="10" t="e">
        <f>VLOOKUP(P156,ARTS!B$3:H$323,2,FALSE)</f>
        <v>#N/A</v>
      </c>
    </row>
    <row r="157" spans="11:19" ht="14.75" customHeight="1" x14ac:dyDescent="0.45">
      <c r="K157" s="14">
        <v>153</v>
      </c>
      <c r="L157" s="9" t="str">
        <f t="shared" si="12"/>
        <v>JUNIOR</v>
      </c>
      <c r="M157" s="9" t="str">
        <f t="shared" si="13"/>
        <v>BADF</v>
      </c>
      <c r="N157" s="9">
        <f t="shared" si="15"/>
        <v>96</v>
      </c>
      <c r="O157" s="9" t="str">
        <f t="shared" si="14"/>
        <v>WASEEM NIHAD A M</v>
      </c>
      <c r="P157" s="5" t="s">
        <v>168</v>
      </c>
      <c r="Q157" s="8">
        <v>0</v>
      </c>
      <c r="R157" s="10" t="e">
        <f>VLOOKUP(P157,ARTS!B$3:H$323,6,FALSE)</f>
        <v>#N/A</v>
      </c>
      <c r="S157" s="10" t="e">
        <f>VLOOKUP(P157,ARTS!B$3:H$323,2,FALSE)</f>
        <v>#N/A</v>
      </c>
    </row>
    <row r="158" spans="11:19" ht="14.75" customHeight="1" x14ac:dyDescent="0.45">
      <c r="K158" s="14">
        <v>154</v>
      </c>
      <c r="L158" s="9" t="str">
        <f t="shared" si="12"/>
        <v>SENIOR</v>
      </c>
      <c r="M158" s="9" t="str">
        <f t="shared" si="13"/>
        <v>BADF</v>
      </c>
      <c r="N158" s="9">
        <f t="shared" si="15"/>
        <v>96</v>
      </c>
      <c r="O158" s="9" t="str">
        <f t="shared" si="14"/>
        <v>MUHAMMAD MUSTHAFA K.M</v>
      </c>
      <c r="P158" s="8" t="s">
        <v>37</v>
      </c>
      <c r="Q158" s="8">
        <v>0</v>
      </c>
      <c r="R158" s="10" t="e">
        <f>VLOOKUP(P158,ARTS!B$3:H$323,6,FALSE)</f>
        <v>#N/A</v>
      </c>
      <c r="S158" s="10" t="e">
        <f>VLOOKUP(P158,ARTS!B$3:H$323,2,FALSE)</f>
        <v>#N/A</v>
      </c>
    </row>
    <row r="159" spans="11:19" ht="14.75" customHeight="1" x14ac:dyDescent="0.45">
      <c r="K159" s="14">
        <v>155</v>
      </c>
      <c r="L159" s="9" t="str">
        <f t="shared" si="12"/>
        <v>JUNIOR</v>
      </c>
      <c r="M159" s="9" t="str">
        <f t="shared" si="13"/>
        <v>JARF</v>
      </c>
      <c r="N159" s="9">
        <f t="shared" si="15"/>
        <v>96</v>
      </c>
      <c r="O159" s="9" t="str">
        <f t="shared" si="14"/>
        <v>MOHAMMED SHAMEEM B K</v>
      </c>
      <c r="P159" s="5" t="s">
        <v>169</v>
      </c>
      <c r="Q159" s="8">
        <v>0</v>
      </c>
      <c r="R159" s="10" t="e">
        <f>VLOOKUP(P159,ARTS!B$3:H$323,6,FALSE)</f>
        <v>#N/A</v>
      </c>
      <c r="S159" s="10" t="e">
        <f>VLOOKUP(P159,ARTS!B$3:H$323,2,FALSE)</f>
        <v>#N/A</v>
      </c>
    </row>
    <row r="160" spans="11:19" ht="14.75" customHeight="1" x14ac:dyDescent="0.45">
      <c r="K160" s="14">
        <v>156</v>
      </c>
      <c r="L160" s="9" t="str">
        <f t="shared" si="12"/>
        <v>SENIOR</v>
      </c>
      <c r="M160" s="9" t="str">
        <f t="shared" si="13"/>
        <v>JARF</v>
      </c>
      <c r="N160" s="9">
        <f t="shared" si="15"/>
        <v>96</v>
      </c>
      <c r="O160" s="9" t="str">
        <f t="shared" si="14"/>
        <v>MUHAMMED ZAYAN N.S</v>
      </c>
      <c r="P160" s="5" t="s">
        <v>250</v>
      </c>
      <c r="Q160" s="8">
        <v>0</v>
      </c>
      <c r="R160" s="10" t="e">
        <f>VLOOKUP(P160,ARTS!B$3:H$323,6,FALSE)</f>
        <v>#N/A</v>
      </c>
      <c r="S160" s="10" t="e">
        <f>VLOOKUP(P160,ARTS!B$3:H$323,2,FALSE)</f>
        <v>#N/A</v>
      </c>
    </row>
    <row r="161" spans="11:19" ht="14.75" customHeight="1" x14ac:dyDescent="0.45">
      <c r="K161" s="14">
        <v>157</v>
      </c>
      <c r="L161" s="9" t="str">
        <f t="shared" si="12"/>
        <v>SUB JUNIOR</v>
      </c>
      <c r="M161" s="9" t="str">
        <f t="shared" si="13"/>
        <v>DAHF</v>
      </c>
      <c r="N161" s="9">
        <f t="shared" si="15"/>
        <v>96</v>
      </c>
      <c r="O161" s="9" t="str">
        <f t="shared" si="14"/>
        <v>HILAL ABDULLA C H</v>
      </c>
      <c r="P161" s="5" t="s">
        <v>66</v>
      </c>
      <c r="Q161" s="8">
        <v>0</v>
      </c>
      <c r="R161" s="10" t="e">
        <f>VLOOKUP(P161,ARTS!B$3:H$323,6,FALSE)</f>
        <v>#N/A</v>
      </c>
      <c r="S161" s="10" t="e">
        <f>VLOOKUP(P161,ARTS!B$3:H$323,2,FALSE)</f>
        <v>#N/A</v>
      </c>
    </row>
    <row r="162" spans="11:19" ht="14.75" customHeight="1" x14ac:dyDescent="0.45">
      <c r="K162" s="14">
        <v>158</v>
      </c>
      <c r="L162" s="9" t="str">
        <f t="shared" si="12"/>
        <v>SUB JUNIOR</v>
      </c>
      <c r="M162" s="9" t="str">
        <f t="shared" si="13"/>
        <v>DAHF</v>
      </c>
      <c r="N162" s="9">
        <f t="shared" si="15"/>
        <v>96</v>
      </c>
      <c r="O162" s="9" t="str">
        <f t="shared" si="14"/>
        <v>MUHAMMED RAZI A T</v>
      </c>
      <c r="P162" s="5" t="s">
        <v>78</v>
      </c>
      <c r="Q162" s="8">
        <v>0</v>
      </c>
      <c r="R162" s="10" t="e">
        <f>VLOOKUP(P162,ARTS!B$3:H$323,6,FALSE)</f>
        <v>#N/A</v>
      </c>
      <c r="S162" s="10" t="e">
        <f>VLOOKUP(P162,ARTS!B$3:H$323,2,FALSE)</f>
        <v>#N/A</v>
      </c>
    </row>
    <row r="163" spans="11:19" ht="14.75" customHeight="1" x14ac:dyDescent="0.45">
      <c r="K163" s="14">
        <v>159</v>
      </c>
      <c r="L163" s="9" t="str">
        <f t="shared" si="12"/>
        <v>JUNIOR</v>
      </c>
      <c r="M163" s="9" t="str">
        <f t="shared" si="13"/>
        <v>DAHF</v>
      </c>
      <c r="N163" s="9">
        <f t="shared" si="15"/>
        <v>96</v>
      </c>
      <c r="O163" s="9" t="str">
        <f t="shared" si="14"/>
        <v>MUHAMMED FARHAN PH</v>
      </c>
      <c r="P163" s="5" t="s">
        <v>170</v>
      </c>
      <c r="Q163" s="8">
        <v>0</v>
      </c>
      <c r="R163" s="10" t="e">
        <f>VLOOKUP(P163,ARTS!B$3:H$323,6,FALSE)</f>
        <v>#N/A</v>
      </c>
      <c r="S163" s="10" t="e">
        <f>VLOOKUP(P163,ARTS!B$3:H$323,2,FALSE)</f>
        <v>#N/A</v>
      </c>
    </row>
    <row r="164" spans="11:19" ht="14.75" customHeight="1" x14ac:dyDescent="0.45">
      <c r="K164" s="14">
        <v>160</v>
      </c>
      <c r="L164" s="9" t="str">
        <f t="shared" si="12"/>
        <v>SUPER SENIOR</v>
      </c>
      <c r="M164" s="9" t="str">
        <f t="shared" si="13"/>
        <v>DAHF</v>
      </c>
      <c r="N164" s="9">
        <f t="shared" si="15"/>
        <v>96</v>
      </c>
      <c r="O164" s="9" t="str">
        <f t="shared" si="14"/>
        <v>MOHAMMED SHAMMAS S.I</v>
      </c>
      <c r="P164" s="5" t="s">
        <v>257</v>
      </c>
      <c r="Q164" s="8">
        <v>0</v>
      </c>
      <c r="R164" s="10" t="e">
        <f>VLOOKUP(P164,ARTS!B$3:H$323,6,FALSE)</f>
        <v>#N/A</v>
      </c>
      <c r="S164" s="10" t="e">
        <f>VLOOKUP(P164,ARTS!B$3:H$323,2,FALSE)</f>
        <v>#N/A</v>
      </c>
    </row>
    <row r="165" spans="11:19" ht="14.75" customHeight="1" x14ac:dyDescent="0.45">
      <c r="K165" s="14">
        <v>161</v>
      </c>
      <c r="L165" s="9" t="str">
        <f t="shared" si="12"/>
        <v>JUNIOR</v>
      </c>
      <c r="M165" s="9" t="str">
        <f t="shared" si="13"/>
        <v>FANT</v>
      </c>
      <c r="N165" s="9">
        <f t="shared" si="15"/>
        <v>96</v>
      </c>
      <c r="O165" s="9" t="str">
        <f t="shared" si="14"/>
        <v>ABDULLA FAHAD T.U</v>
      </c>
      <c r="P165" s="5" t="s">
        <v>171</v>
      </c>
      <c r="Q165" s="8">
        <v>0</v>
      </c>
      <c r="R165" s="10" t="e">
        <f>VLOOKUP(P165,ARTS!B$3:H$323,6,FALSE)</f>
        <v>#N/A</v>
      </c>
      <c r="S165" s="10" t="e">
        <f>VLOOKUP(P165,ARTS!B$3:H$323,2,FALSE)</f>
        <v>#N/A</v>
      </c>
    </row>
    <row r="166" spans="11:19" ht="14.75" customHeight="1" x14ac:dyDescent="0.45">
      <c r="K166" s="14">
        <v>162</v>
      </c>
      <c r="L166" s="9" t="str">
        <f t="shared" si="12"/>
        <v>SUPER SENIOR</v>
      </c>
      <c r="M166" s="9" t="str">
        <f t="shared" si="13"/>
        <v>BADF</v>
      </c>
      <c r="N166" s="9">
        <f t="shared" si="15"/>
        <v>96</v>
      </c>
      <c r="O166" s="9" t="str">
        <f t="shared" si="14"/>
        <v>ABBAS AZNAB M.A</v>
      </c>
      <c r="P166" s="5" t="s">
        <v>261</v>
      </c>
      <c r="Q166" s="8">
        <v>0</v>
      </c>
      <c r="R166" s="10" t="e">
        <f>VLOOKUP(P166,ARTS!B$3:H$323,6,FALSE)</f>
        <v>#N/A</v>
      </c>
      <c r="S166" s="10" t="e">
        <f>VLOOKUP(P166,ARTS!B$3:H$323,2,FALSE)</f>
        <v>#N/A</v>
      </c>
    </row>
    <row r="167" spans="11:19" ht="14.75" customHeight="1" x14ac:dyDescent="0.45">
      <c r="K167" s="14">
        <v>163</v>
      </c>
      <c r="L167" s="9" t="str">
        <f t="shared" si="12"/>
        <v>JUNIOR</v>
      </c>
      <c r="M167" s="9" t="str">
        <f t="shared" si="13"/>
        <v>BADF</v>
      </c>
      <c r="N167" s="9">
        <f t="shared" si="15"/>
        <v>96</v>
      </c>
      <c r="O167" s="9" t="str">
        <f t="shared" si="14"/>
        <v>ABDUL GAFOOR</v>
      </c>
      <c r="P167" s="5" t="s">
        <v>172</v>
      </c>
      <c r="Q167" s="8">
        <v>0</v>
      </c>
      <c r="R167" s="10" t="e">
        <f>VLOOKUP(P167,ARTS!B$3:H$323,6,FALSE)</f>
        <v>#N/A</v>
      </c>
      <c r="S167" s="10" t="e">
        <f>VLOOKUP(P167,ARTS!B$3:H$323,2,FALSE)</f>
        <v>#N/A</v>
      </c>
    </row>
    <row r="168" spans="11:19" ht="14.75" customHeight="1" x14ac:dyDescent="0.45">
      <c r="K168" s="14">
        <v>164</v>
      </c>
      <c r="L168" s="9" t="str">
        <f t="shared" si="12"/>
        <v>SUPER SENIOR</v>
      </c>
      <c r="M168" s="9" t="str">
        <f t="shared" si="13"/>
        <v>FANT</v>
      </c>
      <c r="N168" s="9">
        <f t="shared" si="15"/>
        <v>96</v>
      </c>
      <c r="O168" s="9" t="str">
        <f t="shared" si="14"/>
        <v>MUHAMMED ANAS M.N</v>
      </c>
      <c r="P168" s="5" t="s">
        <v>265</v>
      </c>
      <c r="Q168" s="8">
        <v>0</v>
      </c>
      <c r="R168" s="10" t="e">
        <f>VLOOKUP(P168,ARTS!B$3:H$323,6,FALSE)</f>
        <v>#N/A</v>
      </c>
      <c r="S168" s="10" t="e">
        <f>VLOOKUP(P168,ARTS!B$3:H$323,2,FALSE)</f>
        <v>#N/A</v>
      </c>
    </row>
    <row r="169" spans="11:19" ht="14.75" customHeight="1" x14ac:dyDescent="0.45">
      <c r="K169" s="14">
        <v>165</v>
      </c>
      <c r="L169" s="9" t="str">
        <f t="shared" si="12"/>
        <v>SUB JUNIOR</v>
      </c>
      <c r="M169" s="9" t="str">
        <f t="shared" si="13"/>
        <v>DAHF</v>
      </c>
      <c r="N169" s="9">
        <f t="shared" si="15"/>
        <v>96</v>
      </c>
      <c r="O169" s="9" t="str">
        <f t="shared" si="14"/>
        <v>AHMED WALEED K A</v>
      </c>
      <c r="P169" s="5" t="s">
        <v>99</v>
      </c>
      <c r="Q169" s="8">
        <v>0</v>
      </c>
      <c r="R169" s="10" t="e">
        <f>VLOOKUP(P169,ARTS!B$3:H$323,6,FALSE)</f>
        <v>#N/A</v>
      </c>
      <c r="S169" s="10" t="e">
        <f>VLOOKUP(P169,ARTS!B$3:H$323,2,FALSE)</f>
        <v>#N/A</v>
      </c>
    </row>
    <row r="170" spans="11:19" ht="14.75" customHeight="1" x14ac:dyDescent="0.45">
      <c r="K170" s="14">
        <v>166</v>
      </c>
      <c r="L170" s="9" t="str">
        <f t="shared" si="12"/>
        <v>SUPER SENIOR</v>
      </c>
      <c r="M170" s="9" t="str">
        <f t="shared" si="13"/>
        <v>BADF</v>
      </c>
      <c r="N170" s="9">
        <f t="shared" si="15"/>
        <v>96</v>
      </c>
      <c r="O170" s="9" t="str">
        <f t="shared" si="14"/>
        <v>MOHAMMAD KHALANDAR ZIYAD</v>
      </c>
      <c r="P170" s="5" t="s">
        <v>269</v>
      </c>
      <c r="Q170" s="8">
        <v>0</v>
      </c>
      <c r="R170" s="10" t="e">
        <f>VLOOKUP(P170,ARTS!B$3:H$323,6,FALSE)</f>
        <v>#N/A</v>
      </c>
      <c r="S170" s="10" t="e">
        <f>VLOOKUP(P170,ARTS!B$3:H$323,2,FALSE)</f>
        <v>#N/A</v>
      </c>
    </row>
    <row r="171" spans="11:19" ht="14.75" customHeight="1" x14ac:dyDescent="0.45">
      <c r="K171" s="14">
        <v>167</v>
      </c>
      <c r="L171" s="9" t="str">
        <f t="shared" si="12"/>
        <v>JUNIOR</v>
      </c>
      <c r="M171" s="9" t="str">
        <f t="shared" si="13"/>
        <v>BADF</v>
      </c>
      <c r="N171" s="9">
        <f t="shared" si="15"/>
        <v>96</v>
      </c>
      <c r="O171" s="9" t="str">
        <f t="shared" si="14"/>
        <v>ABDUL KHADER ISHAQUE</v>
      </c>
      <c r="P171" s="5" t="s">
        <v>174</v>
      </c>
      <c r="Q171" s="8">
        <v>0</v>
      </c>
      <c r="R171" s="10" t="e">
        <f>VLOOKUP(P171,ARTS!B$3:H$323,6,FALSE)</f>
        <v>#N/A</v>
      </c>
      <c r="S171" s="10" t="e">
        <f>VLOOKUP(P171,ARTS!B$3:H$323,2,FALSE)</f>
        <v>#N/A</v>
      </c>
    </row>
    <row r="172" spans="11:19" ht="14.75" customHeight="1" x14ac:dyDescent="0.45">
      <c r="K172" s="14">
        <v>168</v>
      </c>
      <c r="L172" s="9" t="str">
        <f t="shared" si="12"/>
        <v>SUPER SENIOR</v>
      </c>
      <c r="M172" s="9">
        <f t="shared" si="13"/>
        <v>0</v>
      </c>
      <c r="N172" s="9">
        <f t="shared" si="15"/>
        <v>96</v>
      </c>
      <c r="O172" s="9" t="str">
        <f t="shared" si="14"/>
        <v>MUHAMMED MUZAMMIL P.M</v>
      </c>
      <c r="P172" s="5" t="s">
        <v>273</v>
      </c>
      <c r="Q172" s="8">
        <v>0</v>
      </c>
      <c r="R172" s="10" t="e">
        <f>VLOOKUP(P172,ARTS!B$3:H$323,6,FALSE)</f>
        <v>#N/A</v>
      </c>
      <c r="S172" s="10" t="e">
        <f>VLOOKUP(P172,ARTS!B$3:H$323,2,FALSE)</f>
        <v>#N/A</v>
      </c>
    </row>
    <row r="173" spans="11:19" ht="14.75" customHeight="1" x14ac:dyDescent="0.45">
      <c r="K173" s="14">
        <v>169</v>
      </c>
      <c r="L173" s="9" t="str">
        <f t="shared" si="12"/>
        <v>JUNIOR</v>
      </c>
      <c r="M173" s="9" t="str">
        <f t="shared" si="13"/>
        <v>DAHF</v>
      </c>
      <c r="N173" s="9">
        <f t="shared" si="15"/>
        <v>96</v>
      </c>
      <c r="O173" s="9" t="str">
        <f t="shared" si="14"/>
        <v>ABDULLA ALBAS</v>
      </c>
      <c r="P173" s="5" t="s">
        <v>175</v>
      </c>
      <c r="Q173" s="8">
        <v>0</v>
      </c>
      <c r="R173" s="10" t="e">
        <f>VLOOKUP(P173,ARTS!B$3:H$323,6,FALSE)</f>
        <v>#N/A</v>
      </c>
      <c r="S173" s="10" t="e">
        <f>VLOOKUP(P173,ARTS!B$3:H$323,2,FALSE)</f>
        <v>#N/A</v>
      </c>
    </row>
    <row r="174" spans="11:19" ht="14.75" customHeight="1" x14ac:dyDescent="0.45">
      <c r="K174" s="14">
        <v>170</v>
      </c>
      <c r="L174" s="9" t="str">
        <f t="shared" si="12"/>
        <v>SUPER SENIOR</v>
      </c>
      <c r="M174" s="9" t="str">
        <f t="shared" si="13"/>
        <v>BADF</v>
      </c>
      <c r="N174" s="9">
        <f t="shared" si="15"/>
        <v>96</v>
      </c>
      <c r="O174" s="9" t="str">
        <f t="shared" si="14"/>
        <v>MUHAMMED MIDHLAJ KK</v>
      </c>
      <c r="P174" s="5" t="s">
        <v>277</v>
      </c>
      <c r="Q174" s="8">
        <v>0</v>
      </c>
      <c r="R174" s="10" t="e">
        <f>VLOOKUP(P174,ARTS!B$3:H$323,6,FALSE)</f>
        <v>#N/A</v>
      </c>
      <c r="S174" s="10" t="e">
        <f>VLOOKUP(P174,ARTS!B$3:H$323,2,FALSE)</f>
        <v>#N/A</v>
      </c>
    </row>
    <row r="175" spans="11:19" ht="14.75" customHeight="1" x14ac:dyDescent="0.45">
      <c r="K175" s="14">
        <v>171</v>
      </c>
      <c r="L175" s="9" t="str">
        <f t="shared" si="12"/>
        <v>SUB JUNIOR</v>
      </c>
      <c r="M175" s="9" t="str">
        <f t="shared" si="13"/>
        <v>DAHF</v>
      </c>
      <c r="N175" s="9">
        <f t="shared" si="15"/>
        <v>96</v>
      </c>
      <c r="O175" s="9" t="str">
        <f t="shared" si="14"/>
        <v>YOUSUF FAHEEM P</v>
      </c>
      <c r="P175" s="5" t="s">
        <v>124</v>
      </c>
      <c r="Q175" s="8">
        <v>0</v>
      </c>
      <c r="R175" s="10" t="e">
        <f>VLOOKUP(P175,ARTS!B$3:H$323,6,FALSE)</f>
        <v>#N/A</v>
      </c>
      <c r="S175" s="10" t="e">
        <f>VLOOKUP(P175,ARTS!B$3:H$323,2,FALSE)</f>
        <v>#N/A</v>
      </c>
    </row>
    <row r="176" spans="11:19" ht="14.75" customHeight="1" x14ac:dyDescent="0.45">
      <c r="K176" s="14">
        <v>172</v>
      </c>
      <c r="L176" s="9" t="str">
        <f t="shared" si="12"/>
        <v>SUPER SENIOR</v>
      </c>
      <c r="M176" s="9" t="str">
        <f t="shared" si="13"/>
        <v>DAHF</v>
      </c>
      <c r="N176" s="9">
        <f t="shared" si="15"/>
        <v>96</v>
      </c>
      <c r="O176" s="9" t="str">
        <f t="shared" si="14"/>
        <v>ZAINUDEEN</v>
      </c>
      <c r="P176" s="5" t="s">
        <v>281</v>
      </c>
      <c r="Q176" s="8">
        <v>0</v>
      </c>
      <c r="R176" s="10" t="e">
        <f>VLOOKUP(P176,ARTS!B$3:H$323,6,FALSE)</f>
        <v>#N/A</v>
      </c>
      <c r="S176" s="10" t="e">
        <f>VLOOKUP(P176,ARTS!B$3:H$323,2,FALSE)</f>
        <v>#N/A</v>
      </c>
    </row>
    <row r="177" spans="11:19" ht="14.75" customHeight="1" x14ac:dyDescent="0.45">
      <c r="K177" s="14">
        <v>173</v>
      </c>
      <c r="L177" s="9" t="str">
        <f t="shared" si="12"/>
        <v>SUB JUNIOR</v>
      </c>
      <c r="M177" s="9" t="str">
        <f t="shared" si="13"/>
        <v>BADF</v>
      </c>
      <c r="N177" s="9">
        <f t="shared" si="15"/>
        <v>96</v>
      </c>
      <c r="O177" s="9" t="str">
        <f t="shared" si="14"/>
        <v>AYAAN ABOOBAKAR</v>
      </c>
      <c r="P177" s="5" t="s">
        <v>100</v>
      </c>
      <c r="Q177" s="8">
        <v>0</v>
      </c>
      <c r="R177" s="10" t="e">
        <f>VLOOKUP(P177,ARTS!B$3:H$323,6,FALSE)</f>
        <v>#N/A</v>
      </c>
      <c r="S177" s="10" t="e">
        <f>VLOOKUP(P177,ARTS!B$3:H$323,2,FALSE)</f>
        <v>#N/A</v>
      </c>
    </row>
    <row r="178" spans="11:19" ht="14.75" customHeight="1" x14ac:dyDescent="0.45">
      <c r="K178" s="14">
        <v>174</v>
      </c>
      <c r="L178" s="9" t="str">
        <f t="shared" si="12"/>
        <v>JUNIOR</v>
      </c>
      <c r="M178" s="9" t="str">
        <f t="shared" si="13"/>
        <v>FANT</v>
      </c>
      <c r="N178" s="9">
        <f t="shared" si="15"/>
        <v>96</v>
      </c>
      <c r="O178" s="9" t="str">
        <f t="shared" si="14"/>
        <v>HASSAN SAHAL N A</v>
      </c>
      <c r="P178" s="5" t="s">
        <v>139</v>
      </c>
      <c r="Q178" s="8">
        <v>0</v>
      </c>
      <c r="R178" s="10" t="e">
        <f>VLOOKUP(P178,ARTS!B$3:H$323,6,FALSE)</f>
        <v>#N/A</v>
      </c>
      <c r="S178" s="10" t="e">
        <f>VLOOKUP(P178,ARTS!B$3:H$323,2,FALSE)</f>
        <v>#N/A</v>
      </c>
    </row>
    <row r="179" spans="11:19" ht="14.75" customHeight="1" x14ac:dyDescent="0.45">
      <c r="K179" s="14">
        <v>175</v>
      </c>
      <c r="L179" s="9" t="str">
        <f t="shared" si="12"/>
        <v>JUNIOR</v>
      </c>
      <c r="M179" s="9" t="str">
        <f t="shared" si="13"/>
        <v>FANT</v>
      </c>
      <c r="N179" s="9">
        <f t="shared" si="15"/>
        <v>96</v>
      </c>
      <c r="O179" s="9" t="str">
        <f t="shared" si="14"/>
        <v>MUHAMMED MIHRAZ</v>
      </c>
      <c r="P179" s="5" t="s">
        <v>178</v>
      </c>
      <c r="Q179" s="8">
        <v>0</v>
      </c>
      <c r="R179" s="10" t="e">
        <f>VLOOKUP(P179,ARTS!B$3:H$323,6,FALSE)</f>
        <v>#N/A</v>
      </c>
      <c r="S179" s="10" t="e">
        <f>VLOOKUP(P179,ARTS!B$3:H$323,2,FALSE)</f>
        <v>#N/A</v>
      </c>
    </row>
    <row r="180" spans="11:19" ht="14.75" customHeight="1" x14ac:dyDescent="0.45">
      <c r="K180" s="14">
        <v>176</v>
      </c>
      <c r="L180" s="9" t="str">
        <f t="shared" si="12"/>
        <v>SUPER SENIOR</v>
      </c>
      <c r="M180" s="9" t="str">
        <f t="shared" si="13"/>
        <v>FANT</v>
      </c>
      <c r="N180" s="9">
        <f t="shared" si="15"/>
        <v>96</v>
      </c>
      <c r="O180" s="9" t="str">
        <f t="shared" si="14"/>
        <v>MOHAMMED JAWAD A</v>
      </c>
      <c r="P180" s="5" t="s">
        <v>288</v>
      </c>
      <c r="Q180" s="8">
        <v>0</v>
      </c>
      <c r="R180" s="10" t="e">
        <f>VLOOKUP(P180,ARTS!B$3:H$323,6,FALSE)</f>
        <v>#N/A</v>
      </c>
      <c r="S180" s="10" t="e">
        <f>VLOOKUP(P180,ARTS!B$3:H$323,2,FALSE)</f>
        <v>#N/A</v>
      </c>
    </row>
    <row r="181" spans="11:19" ht="14.75" customHeight="1" x14ac:dyDescent="0.45">
      <c r="K181" s="14">
        <v>177</v>
      </c>
      <c r="L181" s="9" t="str">
        <f t="shared" si="12"/>
        <v>SUB JUNIOR</v>
      </c>
      <c r="M181" s="9" t="str">
        <f t="shared" si="13"/>
        <v>JARF</v>
      </c>
      <c r="N181" s="9">
        <f t="shared" si="15"/>
        <v>96</v>
      </c>
      <c r="O181" s="9" t="str">
        <f t="shared" si="14"/>
        <v>FADIL AMEEN ABDULLA</v>
      </c>
      <c r="P181" s="5" t="s">
        <v>101</v>
      </c>
      <c r="Q181" s="8">
        <v>0</v>
      </c>
      <c r="R181" s="10" t="e">
        <f>VLOOKUP(P181,ARTS!B$3:H$323,6,FALSE)</f>
        <v>#N/A</v>
      </c>
      <c r="S181" s="10" t="e">
        <f>VLOOKUP(P181,ARTS!B$3:H$323,2,FALSE)</f>
        <v>#N/A</v>
      </c>
    </row>
    <row r="182" spans="11:19" ht="14.75" customHeight="1" x14ac:dyDescent="0.45">
      <c r="K182" s="14">
        <v>178</v>
      </c>
      <c r="L182" s="9" t="str">
        <f t="shared" si="12"/>
        <v>SUPER SENIOR</v>
      </c>
      <c r="M182" s="9" t="str">
        <f t="shared" si="13"/>
        <v>FANT</v>
      </c>
      <c r="N182" s="9">
        <f t="shared" si="15"/>
        <v>96</v>
      </c>
      <c r="O182" s="9" t="str">
        <f t="shared" si="14"/>
        <v>ISHAM V.K</v>
      </c>
      <c r="P182" s="5" t="s">
        <v>291</v>
      </c>
      <c r="Q182" s="8">
        <v>0</v>
      </c>
      <c r="R182" s="10" t="e">
        <f>VLOOKUP(P182,ARTS!B$3:H$323,6,FALSE)</f>
        <v>#N/A</v>
      </c>
      <c r="S182" s="10" t="e">
        <f>VLOOKUP(P182,ARTS!B$3:H$323,2,FALSE)</f>
        <v>#N/A</v>
      </c>
    </row>
    <row r="183" spans="11:19" ht="14.75" customHeight="1" x14ac:dyDescent="0.45">
      <c r="K183" s="14">
        <v>179</v>
      </c>
      <c r="L183" s="9" t="str">
        <f t="shared" si="12"/>
        <v>JUNIOR</v>
      </c>
      <c r="M183" s="9" t="str">
        <f t="shared" si="13"/>
        <v>DAHF</v>
      </c>
      <c r="N183" s="9">
        <f t="shared" si="15"/>
        <v>96</v>
      </c>
      <c r="O183" s="9" t="str">
        <f t="shared" si="14"/>
        <v>AJMAL AHMED MT</v>
      </c>
      <c r="P183" s="5" t="s">
        <v>180</v>
      </c>
      <c r="Q183" s="8">
        <v>0</v>
      </c>
      <c r="R183" s="10" t="e">
        <f>VLOOKUP(P183,ARTS!B$3:H$323,6,FALSE)</f>
        <v>#N/A</v>
      </c>
      <c r="S183" s="10" t="e">
        <f>VLOOKUP(P183,ARTS!B$3:H$323,2,FALSE)</f>
        <v>#N/A</v>
      </c>
    </row>
    <row r="184" spans="11:19" ht="14.75" customHeight="1" x14ac:dyDescent="0.45">
      <c r="K184" s="14">
        <v>180</v>
      </c>
      <c r="L184" s="9" t="str">
        <f t="shared" si="12"/>
        <v>SUPER SENIOR</v>
      </c>
      <c r="M184" s="9" t="str">
        <f t="shared" si="13"/>
        <v>DAHF</v>
      </c>
      <c r="N184" s="9">
        <f t="shared" si="15"/>
        <v>96</v>
      </c>
      <c r="O184" s="9" t="str">
        <f t="shared" si="14"/>
        <v>ABDUL YOUNUS</v>
      </c>
      <c r="P184" s="5" t="s">
        <v>295</v>
      </c>
      <c r="Q184" s="8">
        <v>0</v>
      </c>
      <c r="R184" s="10" t="e">
        <f>VLOOKUP(P184,ARTS!B$3:H$323,6,FALSE)</f>
        <v>#N/A</v>
      </c>
      <c r="S184" s="10" t="e">
        <f>VLOOKUP(P184,ARTS!B$3:H$323,2,FALSE)</f>
        <v>#N/A</v>
      </c>
    </row>
    <row r="185" spans="11:19" ht="14.75" customHeight="1" x14ac:dyDescent="0.45">
      <c r="K185" s="14">
        <v>181</v>
      </c>
      <c r="L185" s="9" t="str">
        <f t="shared" si="12"/>
        <v>JUNIOR</v>
      </c>
      <c r="M185" s="9" t="str">
        <f t="shared" si="13"/>
        <v>JARF</v>
      </c>
      <c r="N185" s="9">
        <f t="shared" si="15"/>
        <v>96</v>
      </c>
      <c r="O185" s="9" t="str">
        <f t="shared" si="14"/>
        <v>MOHAMMED DAWOOD K</v>
      </c>
      <c r="P185" s="5" t="s">
        <v>181</v>
      </c>
      <c r="Q185" s="8">
        <v>0</v>
      </c>
      <c r="R185" s="10" t="e">
        <f>VLOOKUP(P185,ARTS!B$3:H$323,6,FALSE)</f>
        <v>#N/A</v>
      </c>
      <c r="S185" s="10" t="e">
        <f>VLOOKUP(P185,ARTS!B$3:H$323,2,FALSE)</f>
        <v>#N/A</v>
      </c>
    </row>
    <row r="186" spans="11:19" ht="14.75" customHeight="1" x14ac:dyDescent="0.45">
      <c r="K186" s="14">
        <v>182</v>
      </c>
      <c r="L186" s="9" t="str">
        <f t="shared" si="12"/>
        <v>SUB JUNIOR</v>
      </c>
      <c r="M186" s="9" t="str">
        <f t="shared" si="13"/>
        <v>JARF</v>
      </c>
      <c r="N186" s="9">
        <f t="shared" si="15"/>
        <v>96</v>
      </c>
      <c r="O186" s="9" t="str">
        <f t="shared" si="14"/>
        <v>MOHAMMAD AJWAD</v>
      </c>
      <c r="P186" s="5" t="s">
        <v>82</v>
      </c>
      <c r="Q186" s="8">
        <v>0</v>
      </c>
      <c r="R186" s="10" t="e">
        <f>VLOOKUP(P186,ARTS!B$3:H$323,6,FALSE)</f>
        <v>#N/A</v>
      </c>
      <c r="S186" s="10" t="e">
        <f>VLOOKUP(P186,ARTS!B$3:H$323,2,FALSE)</f>
        <v>#N/A</v>
      </c>
    </row>
    <row r="187" spans="11:19" ht="14.75" customHeight="1" x14ac:dyDescent="0.45">
      <c r="K187" s="14">
        <v>183</v>
      </c>
      <c r="L187" s="9" t="str">
        <f t="shared" si="12"/>
        <v>JUNIOR</v>
      </c>
      <c r="M187" s="9" t="str">
        <f t="shared" si="13"/>
        <v>DAHF</v>
      </c>
      <c r="N187" s="9">
        <f t="shared" si="15"/>
        <v>96</v>
      </c>
      <c r="O187" s="9" t="str">
        <f t="shared" si="14"/>
        <v>MUHAMMED RAZI TM</v>
      </c>
      <c r="P187" s="5" t="s">
        <v>182</v>
      </c>
      <c r="Q187" s="8">
        <v>0</v>
      </c>
      <c r="R187" s="10" t="e">
        <f>VLOOKUP(P187,ARTS!B$3:H$323,6,FALSE)</f>
        <v>#N/A</v>
      </c>
      <c r="S187" s="10" t="e">
        <f>VLOOKUP(P187,ARTS!B$3:H$323,2,FALSE)</f>
        <v>#N/A</v>
      </c>
    </row>
    <row r="188" spans="11:19" ht="14.75" customHeight="1" x14ac:dyDescent="0.45">
      <c r="K188" s="14">
        <v>184</v>
      </c>
      <c r="L188" s="9" t="str">
        <f t="shared" si="12"/>
        <v>SUPER SENIOR</v>
      </c>
      <c r="M188" s="9" t="str">
        <f t="shared" si="13"/>
        <v>JARF</v>
      </c>
      <c r="N188" s="9">
        <f t="shared" si="15"/>
        <v>96</v>
      </c>
      <c r="O188" s="9" t="str">
        <f t="shared" si="14"/>
        <v>ASHIKK.I</v>
      </c>
      <c r="P188" s="5" t="s">
        <v>302</v>
      </c>
      <c r="Q188" s="8">
        <v>0</v>
      </c>
      <c r="R188" s="10" t="e">
        <f>VLOOKUP(P188,ARTS!B$3:H$323,6,FALSE)</f>
        <v>#N/A</v>
      </c>
      <c r="S188" s="10" t="e">
        <f>VLOOKUP(P188,ARTS!B$3:H$323,2,FALSE)</f>
        <v>#N/A</v>
      </c>
    </row>
    <row r="189" spans="11:19" ht="14.75" customHeight="1" x14ac:dyDescent="0.45">
      <c r="K189" s="14">
        <v>185</v>
      </c>
      <c r="L189" s="9" t="str">
        <f t="shared" si="12"/>
        <v>JUNIOR</v>
      </c>
      <c r="M189" s="9" t="str">
        <f t="shared" si="13"/>
        <v>JARF</v>
      </c>
      <c r="N189" s="9">
        <f t="shared" si="15"/>
        <v>96</v>
      </c>
      <c r="O189" s="9" t="str">
        <f t="shared" si="14"/>
        <v>RAYHAN PH</v>
      </c>
      <c r="P189" s="5" t="s">
        <v>183</v>
      </c>
      <c r="Q189" s="8">
        <v>0</v>
      </c>
      <c r="R189" s="10" t="e">
        <f>VLOOKUP(P189,ARTS!B$3:H$323,6,FALSE)</f>
        <v>#N/A</v>
      </c>
      <c r="S189" s="10" t="e">
        <f>VLOOKUP(P189,ARTS!B$3:H$323,2,FALSE)</f>
        <v>#N/A</v>
      </c>
    </row>
    <row r="190" spans="11:19" ht="14.75" customHeight="1" x14ac:dyDescent="0.45">
      <c r="K190" s="14">
        <v>186</v>
      </c>
      <c r="L190" s="9" t="str">
        <f t="shared" si="12"/>
        <v>SUPER SENIOR</v>
      </c>
      <c r="M190" s="9">
        <f t="shared" si="13"/>
        <v>0</v>
      </c>
      <c r="N190" s="9">
        <f t="shared" si="15"/>
        <v>96</v>
      </c>
      <c r="O190" s="9" t="str">
        <f t="shared" si="14"/>
        <v>MUHAMMED UNAIS</v>
      </c>
      <c r="P190" s="5" t="s">
        <v>306</v>
      </c>
      <c r="Q190" s="8">
        <v>0</v>
      </c>
      <c r="R190" s="10" t="e">
        <f>VLOOKUP(P190,ARTS!B$3:H$323,6,FALSE)</f>
        <v>#N/A</v>
      </c>
      <c r="S190" s="10" t="e">
        <f>VLOOKUP(P190,ARTS!B$3:H$323,2,FALSE)</f>
        <v>#N/A</v>
      </c>
    </row>
    <row r="191" spans="11:19" ht="14.75" customHeight="1" x14ac:dyDescent="0.45">
      <c r="K191" s="14">
        <v>187</v>
      </c>
      <c r="L191" s="9" t="str">
        <f t="shared" si="12"/>
        <v>JUNIOR</v>
      </c>
      <c r="M191" s="9" t="str">
        <f t="shared" si="13"/>
        <v>JARF</v>
      </c>
      <c r="N191" s="9">
        <f t="shared" si="15"/>
        <v>96</v>
      </c>
      <c r="O191" s="9" t="str">
        <f t="shared" si="14"/>
        <v>MOHAMMED YOUNUS</v>
      </c>
      <c r="P191" s="8" t="s">
        <v>24</v>
      </c>
      <c r="Q191" s="8">
        <v>0</v>
      </c>
      <c r="R191" s="10" t="e">
        <f>VLOOKUP(P191,ARTS!B$3:H$323,6,FALSE)</f>
        <v>#N/A</v>
      </c>
      <c r="S191" s="10" t="e">
        <f>VLOOKUP(P191,ARTS!B$3:H$323,2,FALSE)</f>
        <v>#N/A</v>
      </c>
    </row>
    <row r="192" spans="11:19" ht="14.75" customHeight="1" x14ac:dyDescent="0.45">
      <c r="K192" s="14">
        <v>188</v>
      </c>
      <c r="L192" s="9" t="str">
        <f t="shared" si="12"/>
        <v>SUPER SENIOR</v>
      </c>
      <c r="M192" s="9" t="str">
        <f t="shared" si="13"/>
        <v>BADF</v>
      </c>
      <c r="N192" s="9">
        <f t="shared" si="15"/>
        <v>96</v>
      </c>
      <c r="O192" s="9" t="str">
        <f t="shared" si="14"/>
        <v>ABDURAHMAN P.H</v>
      </c>
      <c r="P192" s="5" t="s">
        <v>55</v>
      </c>
      <c r="Q192" s="8">
        <v>0</v>
      </c>
      <c r="R192" s="10" t="e">
        <f>VLOOKUP(P192,ARTS!B$3:H$323,6,FALSE)</f>
        <v>#N/A</v>
      </c>
      <c r="S192" s="10" t="e">
        <f>VLOOKUP(P192,ARTS!B$3:H$323,2,FALSE)</f>
        <v>#N/A</v>
      </c>
    </row>
    <row r="193" spans="11:19" ht="14.75" customHeight="1" x14ac:dyDescent="0.45">
      <c r="K193" s="14">
        <v>189</v>
      </c>
      <c r="L193" s="9" t="str">
        <f t="shared" si="12"/>
        <v>SUB JUNIOR</v>
      </c>
      <c r="M193" s="9" t="str">
        <f t="shared" si="13"/>
        <v>BADF</v>
      </c>
      <c r="N193" s="9">
        <f t="shared" si="15"/>
        <v>96</v>
      </c>
      <c r="O193" s="9" t="str">
        <f t="shared" si="14"/>
        <v>MUHAMMED SHAHID K A</v>
      </c>
      <c r="P193" s="5" t="s">
        <v>68</v>
      </c>
      <c r="Q193" s="8">
        <v>0</v>
      </c>
      <c r="R193" s="10" t="e">
        <f>VLOOKUP(P193,ARTS!B$3:H$323,6,FALSE)</f>
        <v>#N/A</v>
      </c>
      <c r="S193" s="10" t="e">
        <f>VLOOKUP(P193,ARTS!B$3:H$323,2,FALSE)</f>
        <v>#N/A</v>
      </c>
    </row>
    <row r="194" spans="11:19" ht="14.75" customHeight="1" x14ac:dyDescent="0.45">
      <c r="K194" s="14">
        <v>190</v>
      </c>
      <c r="L194" s="9" t="str">
        <f t="shared" si="12"/>
        <v>SUB JUNIOR</v>
      </c>
      <c r="M194" s="9" t="str">
        <f t="shared" si="13"/>
        <v>DAHF</v>
      </c>
      <c r="N194" s="9">
        <f t="shared" si="15"/>
        <v>96</v>
      </c>
      <c r="O194" s="9" t="str">
        <f t="shared" si="14"/>
        <v>MUHAMMED MIDLAJ</v>
      </c>
      <c r="P194" s="5" t="s">
        <v>114</v>
      </c>
      <c r="Q194" s="8">
        <v>0</v>
      </c>
      <c r="R194" s="10" t="e">
        <f>VLOOKUP(P194,ARTS!B$3:H$323,6,FALSE)</f>
        <v>#N/A</v>
      </c>
      <c r="S194" s="10" t="e">
        <f>VLOOKUP(P194,ARTS!B$3:H$323,2,FALSE)</f>
        <v>#N/A</v>
      </c>
    </row>
    <row r="195" spans="11:19" ht="14.75" customHeight="1" x14ac:dyDescent="0.45">
      <c r="K195" s="14">
        <v>191</v>
      </c>
      <c r="L195" s="9" t="str">
        <f t="shared" si="12"/>
        <v>SUB JUNIOR</v>
      </c>
      <c r="M195" s="9" t="str">
        <f t="shared" si="13"/>
        <v>DAHF</v>
      </c>
      <c r="N195" s="9">
        <f t="shared" si="15"/>
        <v>96</v>
      </c>
      <c r="O195" s="9" t="str">
        <f t="shared" si="14"/>
        <v>K MUHAMMAD JALAL</v>
      </c>
      <c r="P195" s="5" t="s">
        <v>69</v>
      </c>
      <c r="Q195" s="8">
        <v>0</v>
      </c>
      <c r="R195" s="10" t="e">
        <f>VLOOKUP(P195,ARTS!B$3:H$323,6,FALSE)</f>
        <v>#N/A</v>
      </c>
      <c r="S195" s="10" t="e">
        <f>VLOOKUP(P195,ARTS!B$3:H$323,2,FALSE)</f>
        <v>#N/A</v>
      </c>
    </row>
    <row r="196" spans="11:19" ht="14.75" customHeight="1" x14ac:dyDescent="0.45">
      <c r="K196" s="14">
        <v>192</v>
      </c>
      <c r="L196" s="9" t="str">
        <f t="shared" si="12"/>
        <v>JUNIOR</v>
      </c>
      <c r="M196" s="9" t="str">
        <f t="shared" si="13"/>
        <v>BADF</v>
      </c>
      <c r="N196" s="9">
        <f t="shared" si="15"/>
        <v>96</v>
      </c>
      <c r="O196" s="9" t="str">
        <f t="shared" si="14"/>
        <v>MUHAMMED ROUHAN M.K</v>
      </c>
      <c r="P196" s="5" t="s">
        <v>131</v>
      </c>
      <c r="Q196" s="8">
        <v>0</v>
      </c>
      <c r="R196" s="10" t="e">
        <f>VLOOKUP(P196,ARTS!B$3:H$323,6,FALSE)</f>
        <v>#N/A</v>
      </c>
      <c r="S196" s="10" t="e">
        <f>VLOOKUP(P196,ARTS!B$3:H$323,2,FALSE)</f>
        <v>#N/A</v>
      </c>
    </row>
    <row r="197" spans="11:19" ht="14.75" customHeight="1" x14ac:dyDescent="0.45">
      <c r="K197" s="14">
        <v>193</v>
      </c>
      <c r="L197" s="9" t="str">
        <f t="shared" ref="L197:L260" si="16">_xlfn.IFNA(VLOOKUP(P197,f_details_of_candidates,4,FALSE),"")</f>
        <v>SENIOR</v>
      </c>
      <c r="M197" s="9" t="str">
        <f t="shared" ref="M197:M260" si="17">_xlfn.IFNA(VLOOKUP(P197,f_details_of_candidates,3,FALSE),"")</f>
        <v>FANT</v>
      </c>
      <c r="N197" s="9">
        <f t="shared" si="15"/>
        <v>96</v>
      </c>
      <c r="O197" s="9" t="str">
        <f t="shared" ref="O197:O260" si="18">_xlfn.IFNA(VLOOKUP(P197,f_details_of_candidates,2,FALSE),"")</f>
        <v>MUHAMMED KASHIF</v>
      </c>
      <c r="P197" s="5" t="s">
        <v>184</v>
      </c>
      <c r="Q197" s="8">
        <v>0</v>
      </c>
      <c r="R197" s="10" t="e">
        <f>VLOOKUP(P197,ARTS!B$3:H$323,6,FALSE)</f>
        <v>#N/A</v>
      </c>
      <c r="S197" s="10" t="e">
        <f>VLOOKUP(P197,ARTS!B$3:H$323,2,FALSE)</f>
        <v>#N/A</v>
      </c>
    </row>
    <row r="198" spans="11:19" ht="14.75" customHeight="1" x14ac:dyDescent="0.45">
      <c r="K198" s="14">
        <v>194</v>
      </c>
      <c r="L198" s="9" t="str">
        <f t="shared" si="16"/>
        <v>SENIOR</v>
      </c>
      <c r="M198" s="9" t="str">
        <f t="shared" si="17"/>
        <v>DAHF</v>
      </c>
      <c r="N198" s="9">
        <f t="shared" ref="N198:N261" si="19">IF(P198&lt;&gt;0,RANK(Q198,Q$5:Q$326,0),"")</f>
        <v>96</v>
      </c>
      <c r="O198" s="9" t="str">
        <f t="shared" si="18"/>
        <v>MUHAMMED AHMASH K</v>
      </c>
      <c r="P198" s="5" t="s">
        <v>230</v>
      </c>
      <c r="Q198" s="8">
        <v>0</v>
      </c>
      <c r="R198" s="10" t="e">
        <f>VLOOKUP(P198,ARTS!B$3:H$323,6,FALSE)</f>
        <v>#N/A</v>
      </c>
      <c r="S198" s="10" t="e">
        <f>VLOOKUP(P198,ARTS!B$3:H$323,2,FALSE)</f>
        <v>#N/A</v>
      </c>
    </row>
    <row r="199" spans="11:19" ht="14.75" customHeight="1" x14ac:dyDescent="0.45">
      <c r="K199" s="14">
        <v>195</v>
      </c>
      <c r="L199" s="9" t="str">
        <f t="shared" si="16"/>
        <v>JUNIOR</v>
      </c>
      <c r="M199" s="9" t="str">
        <f t="shared" si="17"/>
        <v>BADF</v>
      </c>
      <c r="N199" s="9">
        <f t="shared" si="19"/>
        <v>96</v>
      </c>
      <c r="O199" s="9" t="str">
        <f t="shared" si="18"/>
        <v>ZAINUL ABID K</v>
      </c>
      <c r="P199" s="5" t="s">
        <v>125</v>
      </c>
      <c r="Q199" s="8">
        <v>0</v>
      </c>
      <c r="R199" s="10" t="e">
        <f>VLOOKUP(P199,ARTS!B$3:H$323,6,FALSE)</f>
        <v>#N/A</v>
      </c>
      <c r="S199" s="10" t="e">
        <f>VLOOKUP(P199,ARTS!B$3:H$323,2,FALSE)</f>
        <v>#N/A</v>
      </c>
    </row>
    <row r="200" spans="11:19" ht="14.75" customHeight="1" x14ac:dyDescent="0.45">
      <c r="K200" s="14">
        <v>196</v>
      </c>
      <c r="L200" s="9" t="str">
        <f t="shared" si="16"/>
        <v>SENIOR</v>
      </c>
      <c r="M200" s="9" t="str">
        <f t="shared" si="17"/>
        <v>FANT</v>
      </c>
      <c r="N200" s="9">
        <f t="shared" si="19"/>
        <v>96</v>
      </c>
      <c r="O200" s="9" t="str">
        <f t="shared" si="18"/>
        <v>HASSAN ZARKASH</v>
      </c>
      <c r="P200" s="5" t="s">
        <v>232</v>
      </c>
      <c r="Q200" s="8">
        <v>0</v>
      </c>
      <c r="R200" s="10" t="e">
        <f>VLOOKUP(P200,ARTS!B$3:H$323,6,FALSE)</f>
        <v>#N/A</v>
      </c>
      <c r="S200" s="10" t="e">
        <f>VLOOKUP(P200,ARTS!B$3:H$323,2,FALSE)</f>
        <v>#N/A</v>
      </c>
    </row>
    <row r="201" spans="11:19" ht="14.75" customHeight="1" x14ac:dyDescent="0.45">
      <c r="K201" s="14">
        <v>197</v>
      </c>
      <c r="L201" s="9" t="str">
        <f t="shared" si="16"/>
        <v>SUB JUNIOR</v>
      </c>
      <c r="M201" s="9">
        <f t="shared" si="17"/>
        <v>0</v>
      </c>
      <c r="N201" s="9">
        <f t="shared" si="19"/>
        <v>96</v>
      </c>
      <c r="O201" s="9" t="str">
        <f t="shared" si="18"/>
        <v>MUHAMMED T K</v>
      </c>
      <c r="P201" s="5" t="s">
        <v>70</v>
      </c>
      <c r="Q201" s="8">
        <v>0</v>
      </c>
      <c r="R201" s="10" t="e">
        <f>VLOOKUP(P201,ARTS!B$3:H$323,6,FALSE)</f>
        <v>#N/A</v>
      </c>
      <c r="S201" s="10" t="e">
        <f>VLOOKUP(P201,ARTS!B$3:H$323,2,FALSE)</f>
        <v>#N/A</v>
      </c>
    </row>
    <row r="202" spans="11:19" ht="14.75" customHeight="1" x14ac:dyDescent="0.45">
      <c r="K202" s="14">
        <v>198</v>
      </c>
      <c r="L202" s="9" t="str">
        <f t="shared" si="16"/>
        <v>SENIOR</v>
      </c>
      <c r="M202" s="9" t="str">
        <f t="shared" si="17"/>
        <v>BADF</v>
      </c>
      <c r="N202" s="9">
        <f t="shared" si="19"/>
        <v>96</v>
      </c>
      <c r="O202" s="9" t="str">
        <f t="shared" si="18"/>
        <v>HASAN YASIR</v>
      </c>
      <c r="P202" s="5" t="s">
        <v>234</v>
      </c>
      <c r="Q202" s="8">
        <v>0</v>
      </c>
      <c r="R202" s="10" t="e">
        <f>VLOOKUP(P202,ARTS!B$3:H$323,6,FALSE)</f>
        <v>#N/A</v>
      </c>
      <c r="S202" s="10" t="e">
        <f>VLOOKUP(P202,ARTS!B$3:H$323,2,FALSE)</f>
        <v>#N/A</v>
      </c>
    </row>
    <row r="203" spans="11:19" ht="14.75" customHeight="1" x14ac:dyDescent="0.45">
      <c r="K203" s="14">
        <v>199</v>
      </c>
      <c r="L203" s="9" t="str">
        <f t="shared" si="16"/>
        <v>JUNIOR</v>
      </c>
      <c r="M203" s="9" t="str">
        <f t="shared" si="17"/>
        <v>DAHF</v>
      </c>
      <c r="N203" s="9">
        <f t="shared" si="19"/>
        <v>96</v>
      </c>
      <c r="O203" s="9" t="str">
        <f t="shared" si="18"/>
        <v>AHMED AFRAZ MB</v>
      </c>
      <c r="P203" s="5" t="s">
        <v>126</v>
      </c>
      <c r="Q203" s="8">
        <v>0</v>
      </c>
      <c r="R203" s="10" t="e">
        <f>VLOOKUP(P203,ARTS!B$3:H$323,6,FALSE)</f>
        <v>#N/A</v>
      </c>
      <c r="S203" s="10" t="e">
        <f>VLOOKUP(P203,ARTS!B$3:H$323,2,FALSE)</f>
        <v>#N/A</v>
      </c>
    </row>
    <row r="204" spans="11:19" ht="14.75" customHeight="1" x14ac:dyDescent="0.45">
      <c r="K204" s="14">
        <v>200</v>
      </c>
      <c r="L204" s="9" t="str">
        <f t="shared" si="16"/>
        <v>SENIOR</v>
      </c>
      <c r="M204" s="9" t="str">
        <f t="shared" si="17"/>
        <v>BADF</v>
      </c>
      <c r="N204" s="9">
        <f t="shared" si="19"/>
        <v>96</v>
      </c>
      <c r="O204" s="9" t="str">
        <f t="shared" si="18"/>
        <v>MUHAMMED KAIF BS</v>
      </c>
      <c r="P204" s="5" t="s">
        <v>236</v>
      </c>
      <c r="Q204" s="8">
        <v>0</v>
      </c>
      <c r="R204" s="10" t="e">
        <f>VLOOKUP(P204,ARTS!B$3:H$323,6,FALSE)</f>
        <v>#N/A</v>
      </c>
      <c r="S204" s="10" t="e">
        <f>VLOOKUP(P204,ARTS!B$3:H$323,2,FALSE)</f>
        <v>#N/A</v>
      </c>
    </row>
    <row r="205" spans="11:19" ht="14.75" customHeight="1" x14ac:dyDescent="0.45">
      <c r="K205" s="14">
        <v>201</v>
      </c>
      <c r="L205" s="9" t="str">
        <f t="shared" si="16"/>
        <v>SUB JUNIOR</v>
      </c>
      <c r="M205" s="9" t="str">
        <f t="shared" si="17"/>
        <v>JARF</v>
      </c>
      <c r="N205" s="9">
        <f t="shared" si="19"/>
        <v>96</v>
      </c>
      <c r="O205" s="9" t="str">
        <f t="shared" si="18"/>
        <v>Muhammed Sinan D A</v>
      </c>
      <c r="P205" s="5" t="s">
        <v>117</v>
      </c>
      <c r="Q205" s="8">
        <v>0</v>
      </c>
      <c r="R205" s="10" t="e">
        <f>VLOOKUP(P205,ARTS!B$3:H$323,6,FALSE)</f>
        <v>#N/A</v>
      </c>
      <c r="S205" s="10" t="e">
        <f>VLOOKUP(P205,ARTS!B$3:H$323,2,FALSE)</f>
        <v>#N/A</v>
      </c>
    </row>
    <row r="206" spans="11:19" ht="14.75" customHeight="1" x14ac:dyDescent="0.45">
      <c r="K206" s="14">
        <v>202</v>
      </c>
      <c r="L206" s="9" t="str">
        <f t="shared" si="16"/>
        <v>SUB JUNIOR</v>
      </c>
      <c r="M206" s="9" t="str">
        <f t="shared" si="17"/>
        <v>JARF</v>
      </c>
      <c r="N206" s="9">
        <f t="shared" si="19"/>
        <v>96</v>
      </c>
      <c r="O206" s="9" t="str">
        <f t="shared" si="18"/>
        <v>Muhammad M</v>
      </c>
      <c r="P206" s="5" t="s">
        <v>106</v>
      </c>
      <c r="Q206" s="8">
        <v>0</v>
      </c>
      <c r="R206" s="10" t="e">
        <f>VLOOKUP(P206,ARTS!B$3:H$323,6,FALSE)</f>
        <v>#N/A</v>
      </c>
      <c r="S206" s="10" t="e">
        <f>VLOOKUP(P206,ARTS!B$3:H$323,2,FALSE)</f>
        <v>#N/A</v>
      </c>
    </row>
    <row r="207" spans="11:19" ht="14.75" customHeight="1" x14ac:dyDescent="0.45">
      <c r="K207" s="14">
        <v>203</v>
      </c>
      <c r="L207" s="9" t="str">
        <f t="shared" si="16"/>
        <v>SENIOR</v>
      </c>
      <c r="M207" s="9" t="str">
        <f t="shared" si="17"/>
        <v>BADF</v>
      </c>
      <c r="N207" s="9">
        <f t="shared" si="19"/>
        <v>96</v>
      </c>
      <c r="O207" s="9" t="str">
        <f t="shared" si="18"/>
        <v>ABDUL RAHMAN ANFHAL M I</v>
      </c>
      <c r="P207" s="5" t="s">
        <v>189</v>
      </c>
      <c r="Q207" s="8">
        <v>0</v>
      </c>
      <c r="R207" s="10" t="e">
        <f>VLOOKUP(P207,ARTS!B$3:H$323,6,FALSE)</f>
        <v>#N/A</v>
      </c>
      <c r="S207" s="10" t="e">
        <f>VLOOKUP(P207,ARTS!B$3:H$323,2,FALSE)</f>
        <v>#N/A</v>
      </c>
    </row>
    <row r="208" spans="11:19" ht="14.75" customHeight="1" x14ac:dyDescent="0.45">
      <c r="K208" s="14">
        <v>204</v>
      </c>
      <c r="L208" s="9" t="str">
        <f t="shared" si="16"/>
        <v>SENIOR</v>
      </c>
      <c r="M208" s="9" t="str">
        <f t="shared" si="17"/>
        <v>JARF</v>
      </c>
      <c r="N208" s="9">
        <f t="shared" si="19"/>
        <v>96</v>
      </c>
      <c r="O208" s="9" t="str">
        <f t="shared" si="18"/>
        <v>MOHAMMED SAHEED A.K</v>
      </c>
      <c r="P208" s="5" t="s">
        <v>240</v>
      </c>
      <c r="Q208" s="8">
        <v>0</v>
      </c>
      <c r="R208" s="10" t="e">
        <f>VLOOKUP(P208,ARTS!B$3:H$323,6,FALSE)</f>
        <v>#N/A</v>
      </c>
      <c r="S208" s="10" t="e">
        <f>VLOOKUP(P208,ARTS!B$3:H$323,2,FALSE)</f>
        <v>#N/A</v>
      </c>
    </row>
    <row r="209" spans="11:19" ht="14.75" customHeight="1" x14ac:dyDescent="0.45">
      <c r="K209" s="14">
        <v>205</v>
      </c>
      <c r="L209" s="9" t="str">
        <f t="shared" si="16"/>
        <v>SENIOR</v>
      </c>
      <c r="M209" s="9" t="str">
        <f t="shared" si="17"/>
        <v>DAHF</v>
      </c>
      <c r="N209" s="9">
        <f t="shared" si="19"/>
        <v>96</v>
      </c>
      <c r="O209" s="9" t="str">
        <f t="shared" si="18"/>
        <v>ADIL ABDULLA A</v>
      </c>
      <c r="P209" s="5" t="s">
        <v>190</v>
      </c>
      <c r="Q209" s="8">
        <v>0</v>
      </c>
      <c r="R209" s="10" t="e">
        <f>VLOOKUP(P209,ARTS!B$3:H$323,6,FALSE)</f>
        <v>#N/A</v>
      </c>
      <c r="S209" s="10" t="e">
        <f>VLOOKUP(P209,ARTS!B$3:H$323,2,FALSE)</f>
        <v>#N/A</v>
      </c>
    </row>
    <row r="210" spans="11:19" ht="14.75" customHeight="1" x14ac:dyDescent="0.45">
      <c r="K210" s="14">
        <v>206</v>
      </c>
      <c r="L210" s="9" t="str">
        <f t="shared" si="16"/>
        <v>SENIOR</v>
      </c>
      <c r="M210" s="9" t="str">
        <f t="shared" si="17"/>
        <v>JARF</v>
      </c>
      <c r="N210" s="9">
        <f t="shared" si="19"/>
        <v>96</v>
      </c>
      <c r="O210" s="9" t="str">
        <f t="shared" si="18"/>
        <v>MUHAMMAD IBN AHMAD</v>
      </c>
      <c r="P210" s="5" t="s">
        <v>33</v>
      </c>
      <c r="Q210" s="8">
        <v>0</v>
      </c>
      <c r="R210" s="10" t="e">
        <f>VLOOKUP(P210,ARTS!B$3:H$323,6,FALSE)</f>
        <v>#N/A</v>
      </c>
      <c r="S210" s="10" t="e">
        <f>VLOOKUP(P210,ARTS!B$3:H$323,2,FALSE)</f>
        <v>#N/A</v>
      </c>
    </row>
    <row r="211" spans="11:19" ht="14.75" customHeight="1" x14ac:dyDescent="0.45">
      <c r="K211" s="14">
        <v>207</v>
      </c>
      <c r="L211" s="9" t="str">
        <f t="shared" si="16"/>
        <v>SUB JUNIOR</v>
      </c>
      <c r="M211" s="9" t="str">
        <f t="shared" si="17"/>
        <v>FANT</v>
      </c>
      <c r="N211" s="9">
        <f t="shared" si="19"/>
        <v>96</v>
      </c>
      <c r="O211" s="9" t="str">
        <f t="shared" si="18"/>
        <v>NAZWAN MOHAMMED</v>
      </c>
      <c r="P211" s="5" t="s">
        <v>118</v>
      </c>
      <c r="Q211" s="8">
        <v>0</v>
      </c>
      <c r="R211" s="10" t="e">
        <f>VLOOKUP(P211,ARTS!B$3:H$323,6,FALSE)</f>
        <v>#N/A</v>
      </c>
      <c r="S211" s="10" t="e">
        <f>VLOOKUP(P211,ARTS!B$3:H$323,2,FALSE)</f>
        <v>#N/A</v>
      </c>
    </row>
    <row r="212" spans="11:19" ht="14.75" customHeight="1" x14ac:dyDescent="0.45">
      <c r="K212" s="14">
        <v>208</v>
      </c>
      <c r="L212" s="9" t="str">
        <f t="shared" si="16"/>
        <v>SENIOR</v>
      </c>
      <c r="M212" s="9" t="str">
        <f t="shared" si="17"/>
        <v>JARF</v>
      </c>
      <c r="N212" s="9">
        <f t="shared" si="19"/>
        <v>96</v>
      </c>
      <c r="O212" s="9" t="str">
        <f t="shared" si="18"/>
        <v>MUHAMMED MUJTHABA MK</v>
      </c>
      <c r="P212" s="5" t="s">
        <v>243</v>
      </c>
      <c r="Q212" s="8">
        <v>0</v>
      </c>
      <c r="R212" s="10" t="e">
        <f>VLOOKUP(P212,ARTS!B$3:H$323,6,FALSE)</f>
        <v>#N/A</v>
      </c>
      <c r="S212" s="10" t="e">
        <f>VLOOKUP(P212,ARTS!B$3:H$323,2,FALSE)</f>
        <v>#N/A</v>
      </c>
    </row>
    <row r="213" spans="11:19" ht="14.75" customHeight="1" x14ac:dyDescent="0.45">
      <c r="K213" s="14">
        <v>209</v>
      </c>
      <c r="L213" s="9" t="str">
        <f t="shared" si="16"/>
        <v>SUB JUNIOR</v>
      </c>
      <c r="M213" s="9" t="str">
        <f t="shared" si="17"/>
        <v>FANT</v>
      </c>
      <c r="N213" s="9">
        <f t="shared" si="19"/>
        <v>96</v>
      </c>
      <c r="O213" s="9" t="str">
        <f t="shared" si="18"/>
        <v>MOHAMED JAWHAR J A</v>
      </c>
      <c r="P213" s="8" t="s">
        <v>17</v>
      </c>
      <c r="Q213" s="8">
        <v>0</v>
      </c>
      <c r="R213" s="10" t="e">
        <f>VLOOKUP(P213,ARTS!B$3:H$323,6,FALSE)</f>
        <v>#N/A</v>
      </c>
      <c r="S213" s="10" t="e">
        <f>VLOOKUP(P213,ARTS!B$3:H$323,2,FALSE)</f>
        <v>#N/A</v>
      </c>
    </row>
    <row r="214" spans="11:19" ht="14.75" customHeight="1" x14ac:dyDescent="0.45">
      <c r="K214" s="14">
        <v>210</v>
      </c>
      <c r="L214" s="9" t="str">
        <f t="shared" si="16"/>
        <v>SUB JUNIOR</v>
      </c>
      <c r="M214" s="9" t="str">
        <f t="shared" si="17"/>
        <v>JARF</v>
      </c>
      <c r="N214" s="9">
        <f t="shared" si="19"/>
        <v>96</v>
      </c>
      <c r="O214" s="9" t="str">
        <f t="shared" si="18"/>
        <v>MUHAMMAD SHAHSAD HASAN</v>
      </c>
      <c r="P214" s="5" t="s">
        <v>107</v>
      </c>
      <c r="Q214" s="8">
        <v>0</v>
      </c>
      <c r="R214" s="10" t="e">
        <f>VLOOKUP(P214,ARTS!B$3:H$323,6,FALSE)</f>
        <v>#N/A</v>
      </c>
      <c r="S214" s="10" t="e">
        <f>VLOOKUP(P214,ARTS!B$3:H$323,2,FALSE)</f>
        <v>#N/A</v>
      </c>
    </row>
    <row r="215" spans="11:19" ht="14.75" customHeight="1" x14ac:dyDescent="0.45">
      <c r="K215" s="14">
        <v>211</v>
      </c>
      <c r="L215" s="9" t="str">
        <f t="shared" si="16"/>
        <v>SENIOR</v>
      </c>
      <c r="M215" s="9" t="str">
        <f t="shared" si="17"/>
        <v>DAHF</v>
      </c>
      <c r="N215" s="9">
        <f t="shared" si="19"/>
        <v>96</v>
      </c>
      <c r="O215" s="9" t="str">
        <f t="shared" si="18"/>
        <v>SHADIL AHAMED</v>
      </c>
      <c r="P215" s="5" t="s">
        <v>193</v>
      </c>
      <c r="Q215" s="8">
        <v>0</v>
      </c>
      <c r="R215" s="10" t="e">
        <f>VLOOKUP(P215,ARTS!B$3:H$323,6,FALSE)</f>
        <v>#N/A</v>
      </c>
      <c r="S215" s="10" t="e">
        <f>VLOOKUP(P215,ARTS!B$3:H$323,2,FALSE)</f>
        <v>#N/A</v>
      </c>
    </row>
    <row r="216" spans="11:19" ht="14.75" customHeight="1" x14ac:dyDescent="0.45">
      <c r="K216" s="14">
        <v>212</v>
      </c>
      <c r="L216" s="9" t="str">
        <f t="shared" si="16"/>
        <v>SUB JUNIOR</v>
      </c>
      <c r="M216" s="9" t="str">
        <f t="shared" si="17"/>
        <v>JARF</v>
      </c>
      <c r="N216" s="9">
        <f t="shared" si="19"/>
        <v>96</v>
      </c>
      <c r="O216" s="9" t="str">
        <f t="shared" si="18"/>
        <v>AJZAL ASHRAF OV</v>
      </c>
      <c r="P216" s="5" t="s">
        <v>58</v>
      </c>
      <c r="Q216" s="8">
        <v>0</v>
      </c>
      <c r="R216" s="10" t="e">
        <f>VLOOKUP(P216,ARTS!B$3:H$323,6,FALSE)</f>
        <v>#N/A</v>
      </c>
      <c r="S216" s="10" t="e">
        <f>VLOOKUP(P216,ARTS!B$3:H$323,2,FALSE)</f>
        <v>#N/A</v>
      </c>
    </row>
    <row r="217" spans="11:19" ht="14.75" customHeight="1" x14ac:dyDescent="0.45">
      <c r="K217" s="14">
        <v>213</v>
      </c>
      <c r="L217" s="9" t="str">
        <f t="shared" si="16"/>
        <v>SENIOR</v>
      </c>
      <c r="M217" s="9" t="str">
        <f t="shared" si="17"/>
        <v>JARF</v>
      </c>
      <c r="N217" s="9">
        <f t="shared" si="19"/>
        <v>96</v>
      </c>
      <c r="O217" s="9" t="str">
        <f t="shared" si="18"/>
        <v>MUHAMMAD ISMAIL HAMDULLA V K</v>
      </c>
      <c r="P217" s="5" t="s">
        <v>194</v>
      </c>
      <c r="Q217" s="8">
        <v>0</v>
      </c>
      <c r="R217" s="10" t="e">
        <f>VLOOKUP(P217,ARTS!B$3:H$323,6,FALSE)</f>
        <v>#N/A</v>
      </c>
      <c r="S217" s="10" t="e">
        <f>VLOOKUP(P217,ARTS!B$3:H$323,2,FALSE)</f>
        <v>#N/A</v>
      </c>
    </row>
    <row r="218" spans="11:19" ht="14.75" customHeight="1" x14ac:dyDescent="0.45">
      <c r="K218" s="14">
        <v>214</v>
      </c>
      <c r="L218" s="9" t="str">
        <f t="shared" si="16"/>
        <v>SENIOR</v>
      </c>
      <c r="M218" s="9" t="str">
        <f t="shared" si="17"/>
        <v>FANT</v>
      </c>
      <c r="N218" s="9">
        <f t="shared" si="19"/>
        <v>96</v>
      </c>
      <c r="O218" s="9" t="str">
        <f t="shared" si="18"/>
        <v>ABDUL HADIL P.M</v>
      </c>
      <c r="P218" s="8" t="s">
        <v>36</v>
      </c>
      <c r="Q218" s="8">
        <v>0</v>
      </c>
      <c r="R218" s="10" t="e">
        <f>VLOOKUP(P218,ARTS!B$3:H$323,6,FALSE)</f>
        <v>#N/A</v>
      </c>
      <c r="S218" s="10" t="e">
        <f>VLOOKUP(P218,ARTS!B$3:H$323,2,FALSE)</f>
        <v>#N/A</v>
      </c>
    </row>
    <row r="219" spans="11:19" ht="14.75" customHeight="1" x14ac:dyDescent="0.45">
      <c r="K219" s="14">
        <v>215</v>
      </c>
      <c r="L219" s="9" t="str">
        <f t="shared" si="16"/>
        <v>SENIOR</v>
      </c>
      <c r="M219" s="9" t="str">
        <f t="shared" si="17"/>
        <v>FANT</v>
      </c>
      <c r="N219" s="9">
        <f t="shared" si="19"/>
        <v>96</v>
      </c>
      <c r="O219" s="9" t="str">
        <f t="shared" si="18"/>
        <v>MOHAMMED SA'DUDDEEN K</v>
      </c>
      <c r="P219" s="5" t="s">
        <v>195</v>
      </c>
      <c r="Q219" s="8">
        <v>0</v>
      </c>
      <c r="R219" s="10" t="e">
        <f>VLOOKUP(P219,ARTS!B$3:H$323,6,FALSE)</f>
        <v>#N/A</v>
      </c>
      <c r="S219" s="10" t="e">
        <f>VLOOKUP(P219,ARTS!B$3:H$323,2,FALSE)</f>
        <v>#N/A</v>
      </c>
    </row>
    <row r="220" spans="11:19" ht="14.75" customHeight="1" x14ac:dyDescent="0.45">
      <c r="K220" s="14">
        <v>216</v>
      </c>
      <c r="L220" s="9" t="str">
        <f t="shared" si="16"/>
        <v>SENIOR</v>
      </c>
      <c r="M220" s="9" t="str">
        <f t="shared" si="17"/>
        <v>JARF</v>
      </c>
      <c r="N220" s="9">
        <f t="shared" si="19"/>
        <v>96</v>
      </c>
      <c r="O220" s="9" t="str">
        <f t="shared" si="18"/>
        <v>ABDULLAH MAZIN</v>
      </c>
      <c r="P220" s="5" t="s">
        <v>247</v>
      </c>
      <c r="Q220" s="8">
        <v>0</v>
      </c>
      <c r="R220" s="10" t="e">
        <f>VLOOKUP(P220,ARTS!B$3:H$323,6,FALSE)</f>
        <v>#N/A</v>
      </c>
      <c r="S220" s="10" t="e">
        <f>VLOOKUP(P220,ARTS!B$3:H$323,2,FALSE)</f>
        <v>#N/A</v>
      </c>
    </row>
    <row r="221" spans="11:19" ht="14.75" customHeight="1" x14ac:dyDescent="0.45">
      <c r="K221" s="14">
        <v>217</v>
      </c>
      <c r="L221" s="9" t="str">
        <f t="shared" si="16"/>
        <v>SUB JUNIOR</v>
      </c>
      <c r="M221" s="9" t="str">
        <f t="shared" si="17"/>
        <v>JARF</v>
      </c>
      <c r="N221" s="9">
        <f t="shared" si="19"/>
        <v>96</v>
      </c>
      <c r="O221" s="9" t="str">
        <f t="shared" si="18"/>
        <v>Muhammed Waheed R K</v>
      </c>
      <c r="P221" s="5" t="s">
        <v>71</v>
      </c>
      <c r="Q221" s="8">
        <v>0</v>
      </c>
      <c r="R221" s="10" t="e">
        <f>VLOOKUP(P221,ARTS!B$3:H$323,6,FALSE)</f>
        <v>#N/A</v>
      </c>
      <c r="S221" s="10" t="e">
        <f>VLOOKUP(P221,ARTS!B$3:H$323,2,FALSE)</f>
        <v>#N/A</v>
      </c>
    </row>
    <row r="222" spans="11:19" ht="14.75" customHeight="1" x14ac:dyDescent="0.45">
      <c r="K222" s="14">
        <v>218</v>
      </c>
      <c r="L222" s="9" t="str">
        <f t="shared" si="16"/>
        <v>SENIOR</v>
      </c>
      <c r="M222" s="9" t="str">
        <f t="shared" si="17"/>
        <v>DAHF</v>
      </c>
      <c r="N222" s="9">
        <f t="shared" si="19"/>
        <v>96</v>
      </c>
      <c r="O222" s="9" t="str">
        <f t="shared" si="18"/>
        <v>MOHAMMED HUSSAIN</v>
      </c>
      <c r="P222" s="5" t="s">
        <v>249</v>
      </c>
      <c r="Q222" s="8">
        <v>0</v>
      </c>
      <c r="R222" s="10" t="e">
        <f>VLOOKUP(P222,ARTS!B$3:H$323,6,FALSE)</f>
        <v>#N/A</v>
      </c>
      <c r="S222" s="10" t="e">
        <f>VLOOKUP(P222,ARTS!B$3:H$323,2,FALSE)</f>
        <v>#N/A</v>
      </c>
    </row>
    <row r="223" spans="11:19" ht="14.75" customHeight="1" x14ac:dyDescent="0.45">
      <c r="K223" s="14">
        <v>219</v>
      </c>
      <c r="L223" s="9" t="str">
        <f t="shared" si="16"/>
        <v>SENIOR</v>
      </c>
      <c r="M223" s="9" t="str">
        <f t="shared" si="17"/>
        <v>BADF</v>
      </c>
      <c r="N223" s="9">
        <f t="shared" si="19"/>
        <v>96</v>
      </c>
      <c r="O223" s="9" t="str">
        <f t="shared" si="18"/>
        <v>AJMAL RUWAIS</v>
      </c>
      <c r="P223" s="5" t="s">
        <v>197</v>
      </c>
      <c r="Q223" s="8">
        <v>0</v>
      </c>
      <c r="R223" s="10" t="e">
        <f>VLOOKUP(P223,ARTS!B$3:H$323,6,FALSE)</f>
        <v>#N/A</v>
      </c>
      <c r="S223" s="10" t="e">
        <f>VLOOKUP(P223,ARTS!B$3:H$323,2,FALSE)</f>
        <v>#N/A</v>
      </c>
    </row>
    <row r="224" spans="11:19" ht="14.75" customHeight="1" x14ac:dyDescent="0.45">
      <c r="K224" s="14">
        <v>220</v>
      </c>
      <c r="L224" s="9" t="str">
        <f t="shared" si="16"/>
        <v>SUB JUNIOR</v>
      </c>
      <c r="M224" s="9" t="str">
        <f t="shared" si="17"/>
        <v>BADF</v>
      </c>
      <c r="N224" s="9">
        <f t="shared" si="19"/>
        <v>96</v>
      </c>
      <c r="O224" s="9" t="str">
        <f t="shared" si="18"/>
        <v>MOHAMMED JASEEM</v>
      </c>
      <c r="P224" s="5" t="s">
        <v>77</v>
      </c>
      <c r="Q224" s="8">
        <v>0</v>
      </c>
      <c r="R224" s="10" t="e">
        <f>VLOOKUP(P224,ARTS!B$3:H$323,6,FALSE)</f>
        <v>#N/A</v>
      </c>
      <c r="S224" s="10" t="e">
        <f>VLOOKUP(P224,ARTS!B$3:H$323,2,FALSE)</f>
        <v>#N/A</v>
      </c>
    </row>
    <row r="225" spans="11:19" ht="14.75" customHeight="1" x14ac:dyDescent="0.45">
      <c r="K225" s="14">
        <v>221</v>
      </c>
      <c r="L225" s="9" t="str">
        <f t="shared" si="16"/>
        <v>SUPER SENIOR</v>
      </c>
      <c r="M225" s="9" t="str">
        <f t="shared" si="17"/>
        <v>JARF</v>
      </c>
      <c r="N225" s="9">
        <f t="shared" si="19"/>
        <v>96</v>
      </c>
      <c r="O225" s="9" t="str">
        <f t="shared" si="18"/>
        <v>AYAZ RAHMAN T</v>
      </c>
      <c r="P225" s="5" t="s">
        <v>336</v>
      </c>
      <c r="Q225" s="8">
        <v>0</v>
      </c>
      <c r="R225" s="10">
        <f>VLOOKUP(P225,ARTS!B$3:H$323,6,FALSE)</f>
        <v>1</v>
      </c>
      <c r="S225" s="10">
        <f>VLOOKUP(P225,ARTS!B$3:H$323,2,FALSE)</f>
        <v>58</v>
      </c>
    </row>
    <row r="226" spans="11:19" ht="14.75" customHeight="1" x14ac:dyDescent="0.45">
      <c r="K226" s="14">
        <v>222</v>
      </c>
      <c r="L226" s="9" t="str">
        <f t="shared" si="16"/>
        <v>SUPER SENIOR</v>
      </c>
      <c r="M226" s="9" t="str">
        <f t="shared" si="17"/>
        <v>JARF</v>
      </c>
      <c r="N226" s="9">
        <f t="shared" si="19"/>
        <v>96</v>
      </c>
      <c r="O226" s="9" t="str">
        <f t="shared" si="18"/>
        <v>MOHAMMED AFSAL</v>
      </c>
      <c r="P226" s="5" t="s">
        <v>252</v>
      </c>
      <c r="Q226" s="8">
        <v>0</v>
      </c>
      <c r="R226" s="10" t="e">
        <f>VLOOKUP(P226,ARTS!B$3:H$323,6,FALSE)</f>
        <v>#N/A</v>
      </c>
      <c r="S226" s="10" t="e">
        <f>VLOOKUP(P226,ARTS!B$3:H$323,2,FALSE)</f>
        <v>#N/A</v>
      </c>
    </row>
    <row r="227" spans="11:19" ht="14.75" customHeight="1" x14ac:dyDescent="0.45">
      <c r="K227" s="14">
        <v>223</v>
      </c>
      <c r="L227" s="9" t="str">
        <f t="shared" si="16"/>
        <v>SUPER SENIOR</v>
      </c>
      <c r="M227" s="9" t="str">
        <f t="shared" si="17"/>
        <v>BADF</v>
      </c>
      <c r="N227" s="9">
        <f t="shared" si="19"/>
        <v>96</v>
      </c>
      <c r="O227" s="9" t="str">
        <f t="shared" si="18"/>
        <v>AHMED SWALAHUDHEEN PI</v>
      </c>
      <c r="P227" s="5" t="s">
        <v>337</v>
      </c>
      <c r="Q227" s="8">
        <v>0</v>
      </c>
      <c r="R227" s="10">
        <f>VLOOKUP(P227,ARTS!B$3:H$323,6,FALSE)</f>
        <v>3</v>
      </c>
      <c r="S227" s="10">
        <f>VLOOKUP(P227,ARTS!B$3:H$323,2,FALSE)</f>
        <v>36</v>
      </c>
    </row>
    <row r="228" spans="11:19" ht="14.75" customHeight="1" x14ac:dyDescent="0.45">
      <c r="K228" s="14">
        <v>224</v>
      </c>
      <c r="L228" s="9" t="str">
        <f t="shared" si="16"/>
        <v>SUPER SENIOR</v>
      </c>
      <c r="M228" s="9" t="str">
        <f t="shared" si="17"/>
        <v>DAHF</v>
      </c>
      <c r="N228" s="9">
        <f t="shared" si="19"/>
        <v>96</v>
      </c>
      <c r="O228" s="9" t="str">
        <f t="shared" si="18"/>
        <v>MUHAMMAD RAZI</v>
      </c>
      <c r="P228" s="5" t="s">
        <v>254</v>
      </c>
      <c r="Q228" s="8">
        <v>0</v>
      </c>
      <c r="R228" s="10" t="e">
        <f>VLOOKUP(P228,ARTS!B$3:H$323,6,FALSE)</f>
        <v>#N/A</v>
      </c>
      <c r="S228" s="10" t="e">
        <f>VLOOKUP(P228,ARTS!B$3:H$323,2,FALSE)</f>
        <v>#N/A</v>
      </c>
    </row>
    <row r="229" spans="11:19" ht="14.75" customHeight="1" x14ac:dyDescent="0.45">
      <c r="K229" s="14">
        <v>225</v>
      </c>
      <c r="L229" s="9" t="str">
        <f t="shared" si="16"/>
        <v>SUPER SENIOR</v>
      </c>
      <c r="M229" s="9" t="str">
        <f t="shared" si="17"/>
        <v>DAHF</v>
      </c>
      <c r="N229" s="9">
        <f t="shared" si="19"/>
        <v>96</v>
      </c>
      <c r="O229" s="9" t="str">
        <f t="shared" si="18"/>
        <v>MUHAMMED ASHFAK K</v>
      </c>
      <c r="P229" s="5" t="s">
        <v>339</v>
      </c>
      <c r="Q229" s="8">
        <v>0</v>
      </c>
      <c r="R229" s="10">
        <f>VLOOKUP(P229,ARTS!B$3:H$323,6,FALSE)</f>
        <v>18</v>
      </c>
      <c r="S229" s="10">
        <f>VLOOKUP(P229,ARTS!B$3:H$323,2,FALSE)</f>
        <v>0</v>
      </c>
    </row>
    <row r="230" spans="11:19" ht="14.75" customHeight="1" x14ac:dyDescent="0.45">
      <c r="K230" s="14">
        <v>226</v>
      </c>
      <c r="L230" s="9" t="str">
        <f t="shared" si="16"/>
        <v>SUPER SENIOR</v>
      </c>
      <c r="M230" s="9" t="str">
        <f t="shared" si="17"/>
        <v>FANT</v>
      </c>
      <c r="N230" s="9">
        <f t="shared" si="19"/>
        <v>96</v>
      </c>
      <c r="O230" s="9" t="str">
        <f t="shared" si="18"/>
        <v>ABDUL WADHOOD</v>
      </c>
      <c r="P230" s="5" t="s">
        <v>256</v>
      </c>
      <c r="Q230" s="8">
        <v>0</v>
      </c>
      <c r="R230" s="10" t="e">
        <f>VLOOKUP(P230,ARTS!B$3:H$323,6,FALSE)</f>
        <v>#N/A</v>
      </c>
      <c r="S230" s="10" t="e">
        <f>VLOOKUP(P230,ARTS!B$3:H$323,2,FALSE)</f>
        <v>#N/A</v>
      </c>
    </row>
    <row r="231" spans="11:19" ht="14.75" customHeight="1" x14ac:dyDescent="0.45">
      <c r="K231" s="14">
        <v>227</v>
      </c>
      <c r="L231" s="9" t="str">
        <f t="shared" si="16"/>
        <v>SUPER SENIOR</v>
      </c>
      <c r="M231" s="9" t="str">
        <f t="shared" si="17"/>
        <v>BADF</v>
      </c>
      <c r="N231" s="9">
        <f t="shared" si="19"/>
        <v>96</v>
      </c>
      <c r="O231" s="9" t="str">
        <f t="shared" si="18"/>
        <v>Simsarul Haq VPM</v>
      </c>
      <c r="P231" s="5" t="s">
        <v>341</v>
      </c>
      <c r="Q231" s="8">
        <v>0</v>
      </c>
      <c r="R231" s="10">
        <f>VLOOKUP(P231,ARTS!B$3:H$323,6,FALSE)</f>
        <v>18</v>
      </c>
      <c r="S231" s="10">
        <f>VLOOKUP(P231,ARTS!B$3:H$323,2,FALSE)</f>
        <v>0</v>
      </c>
    </row>
    <row r="232" spans="11:19" ht="14.75" customHeight="1" x14ac:dyDescent="0.45">
      <c r="K232" s="14">
        <v>228</v>
      </c>
      <c r="L232" s="9" t="str">
        <f t="shared" si="16"/>
        <v>SUPER SENIOR</v>
      </c>
      <c r="M232" s="9" t="str">
        <f t="shared" si="17"/>
        <v>DAHF</v>
      </c>
      <c r="N232" s="9">
        <f t="shared" si="19"/>
        <v>96</v>
      </c>
      <c r="O232" s="9" t="str">
        <f t="shared" si="18"/>
        <v>AHMMED HASHIM M</v>
      </c>
      <c r="P232" s="5" t="s">
        <v>258</v>
      </c>
      <c r="Q232" s="8">
        <v>0</v>
      </c>
      <c r="R232" s="10" t="e">
        <f>VLOOKUP(P232,ARTS!B$3:H$323,6,FALSE)</f>
        <v>#N/A</v>
      </c>
      <c r="S232" s="10" t="e">
        <f>VLOOKUP(P232,ARTS!B$3:H$323,2,FALSE)</f>
        <v>#N/A</v>
      </c>
    </row>
    <row r="233" spans="11:19" ht="14.75" customHeight="1" x14ac:dyDescent="0.45">
      <c r="K233" s="14">
        <v>229</v>
      </c>
      <c r="L233" s="9" t="str">
        <f t="shared" si="16"/>
        <v>SENIOR</v>
      </c>
      <c r="M233" s="9" t="str">
        <f t="shared" si="17"/>
        <v>JARF</v>
      </c>
      <c r="N233" s="9">
        <f t="shared" si="19"/>
        <v>96</v>
      </c>
      <c r="O233" s="9" t="str">
        <f t="shared" si="18"/>
        <v>ARIFUDEEN ABBAS A</v>
      </c>
      <c r="P233" s="5" t="s">
        <v>202</v>
      </c>
      <c r="Q233" s="8">
        <v>0</v>
      </c>
      <c r="R233" s="10" t="e">
        <f>VLOOKUP(P233,ARTS!B$3:H$323,6,FALSE)</f>
        <v>#N/A</v>
      </c>
      <c r="S233" s="10" t="e">
        <f>VLOOKUP(P233,ARTS!B$3:H$323,2,FALSE)</f>
        <v>#N/A</v>
      </c>
    </row>
    <row r="234" spans="11:19" ht="14.75" customHeight="1" x14ac:dyDescent="0.45">
      <c r="K234" s="14">
        <v>230</v>
      </c>
      <c r="L234" s="9" t="str">
        <f t="shared" si="16"/>
        <v>JUNIOR</v>
      </c>
      <c r="M234" s="9" t="str">
        <f t="shared" si="17"/>
        <v>DAHF</v>
      </c>
      <c r="N234" s="9">
        <f t="shared" si="19"/>
        <v>96</v>
      </c>
      <c r="O234" s="9" t="str">
        <f t="shared" si="18"/>
        <v>MUHAMMED MUHAZ P A</v>
      </c>
      <c r="P234" s="5" t="s">
        <v>134</v>
      </c>
      <c r="Q234" s="8">
        <v>0</v>
      </c>
      <c r="R234" s="10" t="e">
        <f>VLOOKUP(P234,ARTS!B$3:H$323,6,FALSE)</f>
        <v>#N/A</v>
      </c>
      <c r="S234" s="10" t="e">
        <f>VLOOKUP(P234,ARTS!B$3:H$323,2,FALSE)</f>
        <v>#N/A</v>
      </c>
    </row>
    <row r="235" spans="11:19" ht="14.75" customHeight="1" x14ac:dyDescent="0.45">
      <c r="K235" s="14">
        <v>231</v>
      </c>
      <c r="L235" s="9" t="str">
        <f t="shared" si="16"/>
        <v>SENIOR</v>
      </c>
      <c r="M235" s="9" t="str">
        <f t="shared" si="17"/>
        <v>DAHF</v>
      </c>
      <c r="N235" s="9">
        <f t="shared" si="19"/>
        <v>96</v>
      </c>
      <c r="O235" s="9" t="str">
        <f t="shared" si="18"/>
        <v>MAJID MUHAMMED M</v>
      </c>
      <c r="P235" s="5" t="s">
        <v>203</v>
      </c>
      <c r="Q235" s="8">
        <v>0</v>
      </c>
      <c r="R235" s="10" t="e">
        <f>VLOOKUP(P235,ARTS!B$3:H$323,6,FALSE)</f>
        <v>#N/A</v>
      </c>
      <c r="S235" s="10" t="e">
        <f>VLOOKUP(P235,ARTS!B$3:H$323,2,FALSE)</f>
        <v>#N/A</v>
      </c>
    </row>
    <row r="236" spans="11:19" ht="14.75" customHeight="1" x14ac:dyDescent="0.45">
      <c r="K236" s="14">
        <v>232</v>
      </c>
      <c r="L236" s="9" t="str">
        <f t="shared" si="16"/>
        <v>SUPER SENIOR</v>
      </c>
      <c r="M236" s="9" t="str">
        <f t="shared" si="17"/>
        <v>JARF</v>
      </c>
      <c r="N236" s="9">
        <f t="shared" si="19"/>
        <v>96</v>
      </c>
      <c r="O236" s="9" t="str">
        <f t="shared" si="18"/>
        <v>MAHAMMED SHAMEEL</v>
      </c>
      <c r="P236" s="5" t="s">
        <v>262</v>
      </c>
      <c r="Q236" s="8">
        <v>0</v>
      </c>
      <c r="R236" s="10" t="e">
        <f>VLOOKUP(P236,ARTS!B$3:H$323,6,FALSE)</f>
        <v>#N/A</v>
      </c>
      <c r="S236" s="10" t="e">
        <f>VLOOKUP(P236,ARTS!B$3:H$323,2,FALSE)</f>
        <v>#N/A</v>
      </c>
    </row>
    <row r="237" spans="11:19" ht="14.75" customHeight="1" x14ac:dyDescent="0.45">
      <c r="K237" s="14">
        <v>233</v>
      </c>
      <c r="L237" s="9" t="str">
        <f t="shared" si="16"/>
        <v>SENIOR</v>
      </c>
      <c r="M237" s="9" t="str">
        <f t="shared" si="17"/>
        <v>JARF</v>
      </c>
      <c r="N237" s="9">
        <f t="shared" si="19"/>
        <v>96</v>
      </c>
      <c r="O237" s="9" t="str">
        <f t="shared" si="18"/>
        <v>ABDUL SALAM ARIF</v>
      </c>
      <c r="P237" s="5" t="s">
        <v>204</v>
      </c>
      <c r="Q237" s="8">
        <v>0</v>
      </c>
      <c r="R237" s="10" t="e">
        <f>VLOOKUP(P237,ARTS!B$3:H$323,6,FALSE)</f>
        <v>#N/A</v>
      </c>
      <c r="S237" s="10" t="e">
        <f>VLOOKUP(P237,ARTS!B$3:H$323,2,FALSE)</f>
        <v>#N/A</v>
      </c>
    </row>
    <row r="238" spans="11:19" ht="14.75" customHeight="1" x14ac:dyDescent="0.45">
      <c r="K238" s="14">
        <v>234</v>
      </c>
      <c r="L238" s="9" t="str">
        <f t="shared" si="16"/>
        <v>SUPER SENIOR</v>
      </c>
      <c r="M238" s="9" t="str">
        <f t="shared" si="17"/>
        <v>JARF</v>
      </c>
      <c r="N238" s="9">
        <f t="shared" si="19"/>
        <v>96</v>
      </c>
      <c r="O238" s="9" t="str">
        <f t="shared" si="18"/>
        <v>ZULFIKARALI</v>
      </c>
      <c r="P238" s="5" t="s">
        <v>264</v>
      </c>
      <c r="Q238" s="8">
        <v>0</v>
      </c>
      <c r="R238" s="10" t="e">
        <f>VLOOKUP(P238,ARTS!B$3:H$323,6,FALSE)</f>
        <v>#N/A</v>
      </c>
      <c r="S238" s="10" t="e">
        <f>VLOOKUP(P238,ARTS!B$3:H$323,2,FALSE)</f>
        <v>#N/A</v>
      </c>
    </row>
    <row r="239" spans="11:19" ht="14.75" customHeight="1" x14ac:dyDescent="0.45">
      <c r="K239" s="14">
        <v>235</v>
      </c>
      <c r="L239" s="9" t="str">
        <f t="shared" si="16"/>
        <v>SENIOR</v>
      </c>
      <c r="M239" s="9" t="str">
        <f t="shared" si="17"/>
        <v>BADF</v>
      </c>
      <c r="N239" s="9">
        <f t="shared" si="19"/>
        <v>96</v>
      </c>
      <c r="O239" s="9" t="str">
        <f t="shared" si="18"/>
        <v>MOHAMMED K H</v>
      </c>
      <c r="P239" s="5" t="s">
        <v>205</v>
      </c>
      <c r="Q239" s="8">
        <v>0</v>
      </c>
      <c r="R239" s="10" t="e">
        <f>VLOOKUP(P239,ARTS!B$3:H$323,6,FALSE)</f>
        <v>#N/A</v>
      </c>
      <c r="S239" s="10" t="e">
        <f>VLOOKUP(P239,ARTS!B$3:H$323,2,FALSE)</f>
        <v>#N/A</v>
      </c>
    </row>
    <row r="240" spans="11:19" ht="14.75" customHeight="1" x14ac:dyDescent="0.45">
      <c r="K240" s="14">
        <v>236</v>
      </c>
      <c r="L240" s="9" t="str">
        <f t="shared" si="16"/>
        <v>JUNIOR</v>
      </c>
      <c r="M240" s="9" t="str">
        <f t="shared" si="17"/>
        <v>FANT</v>
      </c>
      <c r="N240" s="9">
        <f t="shared" si="19"/>
        <v>96</v>
      </c>
      <c r="O240" s="9" t="str">
        <f t="shared" si="18"/>
        <v>MUHAMMED SAHEEM ASHRAF</v>
      </c>
      <c r="P240" s="5" t="s">
        <v>135</v>
      </c>
      <c r="Q240" s="8">
        <v>0</v>
      </c>
      <c r="R240" s="10" t="e">
        <f>VLOOKUP(P240,ARTS!B$3:H$323,6,FALSE)</f>
        <v>#N/A</v>
      </c>
      <c r="S240" s="10" t="e">
        <f>VLOOKUP(P240,ARTS!B$3:H$323,2,FALSE)</f>
        <v>#N/A</v>
      </c>
    </row>
    <row r="241" spans="11:19" ht="14.75" customHeight="1" x14ac:dyDescent="0.45">
      <c r="K241" s="14">
        <v>237</v>
      </c>
      <c r="L241" s="9" t="str">
        <f t="shared" si="16"/>
        <v>SENIOR</v>
      </c>
      <c r="M241" s="9" t="str">
        <f t="shared" si="17"/>
        <v>BADF</v>
      </c>
      <c r="N241" s="9">
        <f t="shared" si="19"/>
        <v>96</v>
      </c>
      <c r="O241" s="9" t="str">
        <f t="shared" si="18"/>
        <v>MOHAMMED FAQRUDDEEN RAZI</v>
      </c>
      <c r="P241" s="5" t="s">
        <v>206</v>
      </c>
      <c r="Q241" s="8">
        <v>0</v>
      </c>
      <c r="R241" s="10" t="e">
        <f>VLOOKUP(P241,ARTS!B$3:H$323,6,FALSE)</f>
        <v>#N/A</v>
      </c>
      <c r="S241" s="10" t="e">
        <f>VLOOKUP(P241,ARTS!B$3:H$323,2,FALSE)</f>
        <v>#N/A</v>
      </c>
    </row>
    <row r="242" spans="11:19" ht="14.75" customHeight="1" x14ac:dyDescent="0.45">
      <c r="K242" s="14">
        <v>238</v>
      </c>
      <c r="L242" s="9" t="str">
        <f t="shared" si="16"/>
        <v>SUB JUNIOR</v>
      </c>
      <c r="M242" s="9" t="str">
        <f t="shared" si="17"/>
        <v>JARF</v>
      </c>
      <c r="N242" s="9">
        <f t="shared" si="19"/>
        <v>96</v>
      </c>
      <c r="O242" s="9" t="str">
        <f t="shared" si="18"/>
        <v>MUHAMMED ZAID</v>
      </c>
      <c r="P242" s="5" t="s">
        <v>79</v>
      </c>
      <c r="Q242" s="8">
        <v>0</v>
      </c>
      <c r="R242" s="10" t="e">
        <f>VLOOKUP(P242,ARTS!B$3:H$323,6,FALSE)</f>
        <v>#N/A</v>
      </c>
      <c r="S242" s="10" t="e">
        <f>VLOOKUP(P242,ARTS!B$3:H$323,2,FALSE)</f>
        <v>#N/A</v>
      </c>
    </row>
    <row r="243" spans="11:19" ht="14.75" customHeight="1" x14ac:dyDescent="0.45">
      <c r="K243" s="14">
        <v>239</v>
      </c>
      <c r="L243" s="9" t="str">
        <f t="shared" si="16"/>
        <v>SENIOR</v>
      </c>
      <c r="M243" s="9" t="str">
        <f t="shared" si="17"/>
        <v>BADF</v>
      </c>
      <c r="N243" s="9">
        <f t="shared" si="19"/>
        <v>96</v>
      </c>
      <c r="O243" s="9" t="str">
        <f t="shared" si="18"/>
        <v>MOHAMMED MUBASHIR</v>
      </c>
      <c r="P243" s="5" t="s">
        <v>207</v>
      </c>
      <c r="Q243" s="8">
        <v>0</v>
      </c>
      <c r="R243" s="10" t="e">
        <f>VLOOKUP(P243,ARTS!B$3:H$323,6,FALSE)</f>
        <v>#N/A</v>
      </c>
      <c r="S243" s="10" t="e">
        <f>VLOOKUP(P243,ARTS!B$3:H$323,2,FALSE)</f>
        <v>#N/A</v>
      </c>
    </row>
    <row r="244" spans="11:19" ht="14.75" customHeight="1" x14ac:dyDescent="0.45">
      <c r="K244" s="14">
        <v>240</v>
      </c>
      <c r="L244" s="9" t="str">
        <f t="shared" si="16"/>
        <v>SUB JUNIOR</v>
      </c>
      <c r="M244" s="9" t="str">
        <f t="shared" si="17"/>
        <v>JARF</v>
      </c>
      <c r="N244" s="9">
        <f t="shared" si="19"/>
        <v>96</v>
      </c>
      <c r="O244" s="9" t="str">
        <f t="shared" si="18"/>
        <v>MUHAMMED AYAAN</v>
      </c>
      <c r="P244" s="5" t="s">
        <v>110</v>
      </c>
      <c r="Q244" s="8">
        <v>0</v>
      </c>
      <c r="R244" s="10" t="e">
        <f>VLOOKUP(P244,ARTS!B$3:H$323,6,FALSE)</f>
        <v>#N/A</v>
      </c>
      <c r="S244" s="10" t="e">
        <f>VLOOKUP(P244,ARTS!B$3:H$323,2,FALSE)</f>
        <v>#N/A</v>
      </c>
    </row>
    <row r="245" spans="11:19" ht="14.75" customHeight="1" x14ac:dyDescent="0.45">
      <c r="K245" s="14">
        <v>241</v>
      </c>
      <c r="L245" s="9" t="str">
        <f t="shared" si="16"/>
        <v>SENIOR</v>
      </c>
      <c r="M245" s="9" t="str">
        <f t="shared" si="17"/>
        <v>FANT</v>
      </c>
      <c r="N245" s="9">
        <f t="shared" si="19"/>
        <v>96</v>
      </c>
      <c r="O245" s="9" t="str">
        <f t="shared" si="18"/>
        <v>AHAMMED MINHAJ E M</v>
      </c>
      <c r="P245" s="5" t="s">
        <v>208</v>
      </c>
      <c r="Q245" s="8">
        <v>0</v>
      </c>
      <c r="R245" s="10" t="e">
        <f>VLOOKUP(P245,ARTS!B$3:H$323,6,FALSE)</f>
        <v>#N/A</v>
      </c>
      <c r="S245" s="10" t="e">
        <f>VLOOKUP(P245,ARTS!B$3:H$323,2,FALSE)</f>
        <v>#N/A</v>
      </c>
    </row>
    <row r="246" spans="11:19" ht="14.75" customHeight="1" x14ac:dyDescent="0.45">
      <c r="K246" s="14">
        <v>242</v>
      </c>
      <c r="L246" s="9" t="str">
        <f t="shared" si="16"/>
        <v>SUB JUNIOR</v>
      </c>
      <c r="M246" s="9" t="str">
        <f t="shared" si="17"/>
        <v>FANT</v>
      </c>
      <c r="N246" s="9">
        <f t="shared" si="19"/>
        <v>96</v>
      </c>
      <c r="O246" s="9" t="str">
        <f t="shared" si="18"/>
        <v>MUHAMMED FAHAD</v>
      </c>
      <c r="P246" s="5" t="s">
        <v>111</v>
      </c>
      <c r="Q246" s="8">
        <v>0</v>
      </c>
      <c r="R246" s="10" t="e">
        <f>VLOOKUP(P246,ARTS!B$3:H$323,6,FALSE)</f>
        <v>#N/A</v>
      </c>
      <c r="S246" s="10" t="e">
        <f>VLOOKUP(P246,ARTS!B$3:H$323,2,FALSE)</f>
        <v>#N/A</v>
      </c>
    </row>
    <row r="247" spans="11:19" ht="14.75" customHeight="1" x14ac:dyDescent="0.45">
      <c r="K247" s="14">
        <v>243</v>
      </c>
      <c r="L247" s="9" t="str">
        <f t="shared" si="16"/>
        <v>SENIOR</v>
      </c>
      <c r="M247" s="9" t="str">
        <f t="shared" si="17"/>
        <v>JARF</v>
      </c>
      <c r="N247" s="9">
        <f t="shared" si="19"/>
        <v>96</v>
      </c>
      <c r="O247" s="9" t="str">
        <f t="shared" si="18"/>
        <v>ADNAN ABDULLAH B A</v>
      </c>
      <c r="P247" s="5" t="s">
        <v>209</v>
      </c>
      <c r="Q247" s="8">
        <v>0</v>
      </c>
      <c r="R247" s="10" t="e">
        <f>VLOOKUP(P247,ARTS!B$3:H$323,6,FALSE)</f>
        <v>#N/A</v>
      </c>
      <c r="S247" s="10" t="e">
        <f>VLOOKUP(P247,ARTS!B$3:H$323,2,FALSE)</f>
        <v>#N/A</v>
      </c>
    </row>
    <row r="248" spans="11:19" ht="14.75" customHeight="1" x14ac:dyDescent="0.45">
      <c r="K248" s="14">
        <v>244</v>
      </c>
      <c r="L248" s="9" t="str">
        <f t="shared" si="16"/>
        <v>SUB JUNIOR</v>
      </c>
      <c r="M248" s="9" t="str">
        <f t="shared" si="17"/>
        <v>FANT</v>
      </c>
      <c r="N248" s="9">
        <f t="shared" si="19"/>
        <v>96</v>
      </c>
      <c r="O248" s="9" t="str">
        <f t="shared" si="18"/>
        <v>MUHAMMED FAREED A S</v>
      </c>
      <c r="P248" s="5" t="s">
        <v>112</v>
      </c>
      <c r="Q248" s="8">
        <v>0</v>
      </c>
      <c r="R248" s="10" t="e">
        <f>VLOOKUP(P248,ARTS!B$3:H$323,6,FALSE)</f>
        <v>#N/A</v>
      </c>
      <c r="S248" s="10" t="e">
        <f>VLOOKUP(P248,ARTS!B$3:H$323,2,FALSE)</f>
        <v>#N/A</v>
      </c>
    </row>
    <row r="249" spans="11:19" ht="14.75" customHeight="1" x14ac:dyDescent="0.45">
      <c r="K249" s="14">
        <v>245</v>
      </c>
      <c r="L249" s="9" t="str">
        <f t="shared" si="16"/>
        <v>SENIOR</v>
      </c>
      <c r="M249" s="9" t="str">
        <f t="shared" si="17"/>
        <v>FANT</v>
      </c>
      <c r="N249" s="9">
        <f t="shared" si="19"/>
        <v>96</v>
      </c>
      <c r="O249" s="9" t="str">
        <f t="shared" si="18"/>
        <v>SHAMMAZ P A</v>
      </c>
      <c r="P249" s="5" t="s">
        <v>210</v>
      </c>
      <c r="Q249" s="8">
        <v>0</v>
      </c>
      <c r="R249" s="10" t="e">
        <f>VLOOKUP(P249,ARTS!B$3:H$323,6,FALSE)</f>
        <v>#N/A</v>
      </c>
      <c r="S249" s="10" t="e">
        <f>VLOOKUP(P249,ARTS!B$3:H$323,2,FALSE)</f>
        <v>#N/A</v>
      </c>
    </row>
    <row r="250" spans="11:19" ht="14.75" customHeight="1" x14ac:dyDescent="0.45">
      <c r="K250" s="14">
        <v>246</v>
      </c>
      <c r="L250" s="9" t="str">
        <f t="shared" si="16"/>
        <v>SUPER SENIOR</v>
      </c>
      <c r="M250" s="9" t="str">
        <f t="shared" si="17"/>
        <v>DAHF</v>
      </c>
      <c r="N250" s="9">
        <f t="shared" si="19"/>
        <v>96</v>
      </c>
      <c r="O250" s="9" t="str">
        <f t="shared" si="18"/>
        <v>SAYYAD MOHAMMED VASIL</v>
      </c>
      <c r="P250" s="5" t="s">
        <v>276</v>
      </c>
      <c r="Q250" s="8">
        <v>0</v>
      </c>
      <c r="R250" s="10" t="e">
        <f>VLOOKUP(P250,ARTS!B$3:H$323,6,FALSE)</f>
        <v>#N/A</v>
      </c>
      <c r="S250" s="10" t="e">
        <f>VLOOKUP(P250,ARTS!B$3:H$323,2,FALSE)</f>
        <v>#N/A</v>
      </c>
    </row>
    <row r="251" spans="11:19" ht="14.75" customHeight="1" x14ac:dyDescent="0.45">
      <c r="K251" s="14">
        <v>247</v>
      </c>
      <c r="L251" s="9" t="str">
        <f t="shared" si="16"/>
        <v>SENIOR</v>
      </c>
      <c r="M251" s="9" t="str">
        <f t="shared" si="17"/>
        <v>DAHF</v>
      </c>
      <c r="N251" s="9">
        <f t="shared" si="19"/>
        <v>96</v>
      </c>
      <c r="O251" s="9" t="str">
        <f t="shared" si="18"/>
        <v>MAHIN SINAN</v>
      </c>
      <c r="P251" s="5" t="s">
        <v>211</v>
      </c>
      <c r="Q251" s="8">
        <v>0</v>
      </c>
      <c r="R251" s="10" t="e">
        <f>VLOOKUP(P251,ARTS!B$3:H$323,6,FALSE)</f>
        <v>#N/A</v>
      </c>
      <c r="S251" s="10" t="e">
        <f>VLOOKUP(P251,ARTS!B$3:H$323,2,FALSE)</f>
        <v>#N/A</v>
      </c>
    </row>
    <row r="252" spans="11:19" ht="14.75" customHeight="1" x14ac:dyDescent="0.45">
      <c r="K252" s="14">
        <v>248</v>
      </c>
      <c r="L252" s="9" t="str">
        <f t="shared" si="16"/>
        <v>SUPER SENIOR</v>
      </c>
      <c r="M252" s="9" t="str">
        <f t="shared" si="17"/>
        <v>FANT</v>
      </c>
      <c r="N252" s="9">
        <f t="shared" si="19"/>
        <v>96</v>
      </c>
      <c r="O252" s="9" t="str">
        <f t="shared" si="18"/>
        <v>SHADIN G</v>
      </c>
      <c r="P252" s="5" t="s">
        <v>278</v>
      </c>
      <c r="Q252" s="8">
        <v>0</v>
      </c>
      <c r="R252" s="10" t="e">
        <f>VLOOKUP(P252,ARTS!B$3:H$323,6,FALSE)</f>
        <v>#N/A</v>
      </c>
      <c r="S252" s="10" t="e">
        <f>VLOOKUP(P252,ARTS!B$3:H$323,2,FALSE)</f>
        <v>#N/A</v>
      </c>
    </row>
    <row r="253" spans="11:19" ht="14.75" customHeight="1" x14ac:dyDescent="0.45">
      <c r="K253" s="14">
        <v>249</v>
      </c>
      <c r="L253" s="9" t="str">
        <f t="shared" si="16"/>
        <v>SENIOR</v>
      </c>
      <c r="M253" s="9" t="str">
        <f t="shared" si="17"/>
        <v>BADF</v>
      </c>
      <c r="N253" s="9">
        <f t="shared" si="19"/>
        <v>96</v>
      </c>
      <c r="O253" s="9" t="str">
        <f t="shared" si="18"/>
        <v>P K ZAMEEL AHMED</v>
      </c>
      <c r="P253" s="5" t="s">
        <v>212</v>
      </c>
      <c r="Q253" s="8">
        <v>0</v>
      </c>
      <c r="R253" s="10" t="e">
        <f>VLOOKUP(P253,ARTS!B$3:H$323,6,FALSE)</f>
        <v>#N/A</v>
      </c>
      <c r="S253" s="10" t="e">
        <f>VLOOKUP(P253,ARTS!B$3:H$323,2,FALSE)</f>
        <v>#N/A</v>
      </c>
    </row>
    <row r="254" spans="11:19" ht="14.75" customHeight="1" x14ac:dyDescent="0.45">
      <c r="K254" s="14">
        <v>250</v>
      </c>
      <c r="L254" s="9" t="str">
        <f t="shared" si="16"/>
        <v>JUNIOR</v>
      </c>
      <c r="M254" s="9" t="str">
        <f t="shared" si="17"/>
        <v>BADF</v>
      </c>
      <c r="N254" s="9">
        <f t="shared" si="19"/>
        <v>96</v>
      </c>
      <c r="O254" s="9" t="str">
        <f t="shared" si="18"/>
        <v>MUHAMMED IHTHISHAM P I</v>
      </c>
      <c r="P254" s="5" t="s">
        <v>137</v>
      </c>
      <c r="Q254" s="8">
        <v>0</v>
      </c>
      <c r="R254" s="10" t="e">
        <f>VLOOKUP(P254,ARTS!B$3:H$323,6,FALSE)</f>
        <v>#N/A</v>
      </c>
      <c r="S254" s="10" t="e">
        <f>VLOOKUP(P254,ARTS!B$3:H$323,2,FALSE)</f>
        <v>#N/A</v>
      </c>
    </row>
    <row r="255" spans="11:19" ht="14.75" customHeight="1" x14ac:dyDescent="0.45">
      <c r="K255" s="14">
        <v>251</v>
      </c>
      <c r="L255" s="9" t="str">
        <f t="shared" si="16"/>
        <v>SENIOR</v>
      </c>
      <c r="M255" s="9" t="str">
        <f t="shared" si="17"/>
        <v>DAHF</v>
      </c>
      <c r="N255" s="9">
        <f t="shared" si="19"/>
        <v>96</v>
      </c>
      <c r="O255" s="9" t="str">
        <f t="shared" si="18"/>
        <v>MOHAMMED HISHAM</v>
      </c>
      <c r="P255" s="5" t="s">
        <v>213</v>
      </c>
      <c r="Q255" s="8">
        <v>0</v>
      </c>
      <c r="R255" s="10" t="e">
        <f>VLOOKUP(P255,ARTS!B$3:H$323,6,FALSE)</f>
        <v>#N/A</v>
      </c>
      <c r="S255" s="10" t="e">
        <f>VLOOKUP(P255,ARTS!B$3:H$323,2,FALSE)</f>
        <v>#N/A</v>
      </c>
    </row>
    <row r="256" spans="11:19" ht="14.75" customHeight="1" x14ac:dyDescent="0.45">
      <c r="K256" s="14">
        <v>252</v>
      </c>
      <c r="L256" s="9" t="str">
        <f t="shared" si="16"/>
        <v>SUPER SENIOR</v>
      </c>
      <c r="M256" s="9" t="str">
        <f t="shared" si="17"/>
        <v>DAHF</v>
      </c>
      <c r="N256" s="9">
        <f t="shared" si="19"/>
        <v>96</v>
      </c>
      <c r="O256" s="9" t="str">
        <f t="shared" si="18"/>
        <v>MAHAMMAD RIYAZ</v>
      </c>
      <c r="P256" s="5" t="s">
        <v>282</v>
      </c>
      <c r="Q256" s="8">
        <v>0</v>
      </c>
      <c r="R256" s="10" t="e">
        <f>VLOOKUP(P256,ARTS!B$3:H$323,6,FALSE)</f>
        <v>#N/A</v>
      </c>
      <c r="S256" s="10" t="e">
        <f>VLOOKUP(P256,ARTS!B$3:H$323,2,FALSE)</f>
        <v>#N/A</v>
      </c>
    </row>
    <row r="257" spans="11:19" ht="14.75" customHeight="1" x14ac:dyDescent="0.45">
      <c r="K257" s="14">
        <v>253</v>
      </c>
      <c r="L257" s="9" t="str">
        <f t="shared" si="16"/>
        <v>SUPER SENIOR</v>
      </c>
      <c r="M257" s="9" t="str">
        <f t="shared" si="17"/>
        <v>DAHF</v>
      </c>
      <c r="N257" s="9">
        <f t="shared" si="19"/>
        <v>96</v>
      </c>
      <c r="O257" s="9" t="str">
        <f t="shared" si="18"/>
        <v>ABDUL RAHMAN</v>
      </c>
      <c r="P257" s="5" t="s">
        <v>329</v>
      </c>
      <c r="Q257" s="8">
        <v>0</v>
      </c>
      <c r="R257" s="10">
        <f>VLOOKUP(P257,ARTS!B$3:H$323,6,FALSE)</f>
        <v>18</v>
      </c>
      <c r="S257" s="10">
        <f>VLOOKUP(P257,ARTS!B$3:H$323,2,FALSE)</f>
        <v>0</v>
      </c>
    </row>
    <row r="258" spans="11:19" ht="14.75" customHeight="1" x14ac:dyDescent="0.45">
      <c r="K258" s="14">
        <v>254</v>
      </c>
      <c r="L258" s="9" t="str">
        <f t="shared" si="16"/>
        <v>SUPER SENIOR</v>
      </c>
      <c r="M258" s="9" t="str">
        <f t="shared" si="17"/>
        <v>FANT</v>
      </c>
      <c r="N258" s="9">
        <f t="shared" si="19"/>
        <v>96</v>
      </c>
      <c r="O258" s="9" t="str">
        <f t="shared" si="18"/>
        <v>MOHAMMED SHAMSHEER</v>
      </c>
      <c r="P258" s="5" t="s">
        <v>284</v>
      </c>
      <c r="Q258" s="8">
        <v>0</v>
      </c>
      <c r="R258" s="10" t="e">
        <f>VLOOKUP(P258,ARTS!B$3:H$323,6,FALSE)</f>
        <v>#N/A</v>
      </c>
      <c r="S258" s="10" t="e">
        <f>VLOOKUP(P258,ARTS!B$3:H$323,2,FALSE)</f>
        <v>#N/A</v>
      </c>
    </row>
    <row r="259" spans="11:19" ht="14.75" customHeight="1" x14ac:dyDescent="0.45">
      <c r="K259" s="14">
        <v>255</v>
      </c>
      <c r="L259" s="9" t="str">
        <f t="shared" si="16"/>
        <v>SUB JUNIOR</v>
      </c>
      <c r="M259" s="9" t="str">
        <f t="shared" si="17"/>
        <v>BADF</v>
      </c>
      <c r="N259" s="9">
        <f t="shared" si="19"/>
        <v>96</v>
      </c>
      <c r="O259" s="9" t="str">
        <f t="shared" si="18"/>
        <v>Abdul Khader Uvais K A</v>
      </c>
      <c r="P259" s="5" t="s">
        <v>62</v>
      </c>
      <c r="Q259" s="8">
        <v>0</v>
      </c>
      <c r="R259" s="10" t="e">
        <f>VLOOKUP(P259,ARTS!B$3:H$323,6,FALSE)</f>
        <v>#N/A</v>
      </c>
      <c r="S259" s="10" t="e">
        <f>VLOOKUP(P259,ARTS!B$3:H$323,2,FALSE)</f>
        <v>#N/A</v>
      </c>
    </row>
    <row r="260" spans="11:19" ht="14.75" customHeight="1" x14ac:dyDescent="0.45">
      <c r="K260" s="14">
        <v>256</v>
      </c>
      <c r="L260" s="9" t="str">
        <f t="shared" si="16"/>
        <v>SUPER SENIOR</v>
      </c>
      <c r="M260" s="9" t="str">
        <f t="shared" si="17"/>
        <v>DAHF</v>
      </c>
      <c r="N260" s="9">
        <f t="shared" si="19"/>
        <v>96</v>
      </c>
      <c r="O260" s="9" t="str">
        <f t="shared" si="18"/>
        <v>HASHIR HUSSAIN IK</v>
      </c>
      <c r="P260" s="5" t="s">
        <v>286</v>
      </c>
      <c r="Q260" s="8">
        <v>0</v>
      </c>
      <c r="R260" s="10" t="e">
        <f>VLOOKUP(P260,ARTS!B$3:H$323,6,FALSE)</f>
        <v>#N/A</v>
      </c>
      <c r="S260" s="10" t="e">
        <f>VLOOKUP(P260,ARTS!B$3:H$323,2,FALSE)</f>
        <v>#N/A</v>
      </c>
    </row>
    <row r="261" spans="11:19" ht="14.75" customHeight="1" x14ac:dyDescent="0.45">
      <c r="K261" s="14">
        <v>257</v>
      </c>
      <c r="L261" s="9" t="str">
        <f t="shared" ref="L261:L324" si="20">_xlfn.IFNA(VLOOKUP(P261,f_details_of_candidates,4,FALSE),"")</f>
        <v>SUPER SENIOR</v>
      </c>
      <c r="M261" s="9" t="str">
        <f t="shared" ref="M261:M324" si="21">_xlfn.IFNA(VLOOKUP(P261,f_details_of_candidates,3,FALSE),"")</f>
        <v>BADF</v>
      </c>
      <c r="N261" s="9">
        <f t="shared" si="19"/>
        <v>96</v>
      </c>
      <c r="O261" s="9" t="str">
        <f t="shared" ref="O261:O324" si="22">_xlfn.IFNA(VLOOKUP(P261,f_details_of_candidates,2,FALSE),"")</f>
        <v>MOHAMMED AMEEN B.A</v>
      </c>
      <c r="P261" s="5" t="s">
        <v>332</v>
      </c>
      <c r="Q261" s="8">
        <v>0</v>
      </c>
      <c r="R261" s="10">
        <f>VLOOKUP(P261,ARTS!B$3:H$323,6,FALSE)</f>
        <v>18</v>
      </c>
      <c r="S261" s="10">
        <f>VLOOKUP(P261,ARTS!B$3:H$323,2,FALSE)</f>
        <v>0</v>
      </c>
    </row>
    <row r="262" spans="11:19" ht="14.75" customHeight="1" x14ac:dyDescent="0.45">
      <c r="K262" s="14">
        <v>258</v>
      </c>
      <c r="L262" s="9" t="str">
        <f t="shared" si="20"/>
        <v>SUPER SENIOR</v>
      </c>
      <c r="M262" s="9" t="str">
        <f t="shared" si="21"/>
        <v>BADF</v>
      </c>
      <c r="N262" s="9">
        <f t="shared" ref="N262:N325" si="23">IF(P262&lt;&gt;0,RANK(Q262,Q$5:Q$326,0),"")</f>
        <v>96</v>
      </c>
      <c r="O262" s="9" t="str">
        <f t="shared" si="22"/>
        <v>AYYOOB V.N</v>
      </c>
      <c r="P262" s="5" t="s">
        <v>287</v>
      </c>
      <c r="Q262" s="8">
        <v>0</v>
      </c>
      <c r="R262" s="10" t="e">
        <f>VLOOKUP(P262,ARTS!B$3:H$323,6,FALSE)</f>
        <v>#N/A</v>
      </c>
      <c r="S262" s="10" t="e">
        <f>VLOOKUP(P262,ARTS!B$3:H$323,2,FALSE)</f>
        <v>#N/A</v>
      </c>
    </row>
    <row r="263" spans="11:19" ht="14.75" customHeight="1" x14ac:dyDescent="0.45">
      <c r="K263" s="14">
        <v>259</v>
      </c>
      <c r="L263" s="9" t="str">
        <f t="shared" si="20"/>
        <v>SUB JUNIOR</v>
      </c>
      <c r="M263" s="9" t="str">
        <f t="shared" si="21"/>
        <v>DAHF</v>
      </c>
      <c r="N263" s="9">
        <f t="shared" si="23"/>
        <v>96</v>
      </c>
      <c r="O263" s="9" t="str">
        <f t="shared" si="22"/>
        <v>MOHAMMED SHUAIB K M</v>
      </c>
      <c r="P263" s="5" t="s">
        <v>89</v>
      </c>
      <c r="Q263" s="8">
        <v>0</v>
      </c>
      <c r="R263" s="10" t="e">
        <f>VLOOKUP(P263,ARTS!B$3:H$323,6,FALSE)</f>
        <v>#N/A</v>
      </c>
      <c r="S263" s="10" t="e">
        <f>VLOOKUP(P263,ARTS!B$3:H$323,2,FALSE)</f>
        <v>#N/A</v>
      </c>
    </row>
    <row r="264" spans="11:19" ht="14.75" customHeight="1" x14ac:dyDescent="0.45">
      <c r="K264" s="14">
        <v>260</v>
      </c>
      <c r="L264" s="9" t="str">
        <f t="shared" si="20"/>
        <v>SUB JUNIOR</v>
      </c>
      <c r="M264" s="9" t="str">
        <f t="shared" si="21"/>
        <v>JARF</v>
      </c>
      <c r="N264" s="9">
        <f t="shared" si="23"/>
        <v>96</v>
      </c>
      <c r="O264" s="9" t="str">
        <f t="shared" si="22"/>
        <v>MUHAMMED SHUHAIR</v>
      </c>
      <c r="P264" s="5" t="s">
        <v>93</v>
      </c>
      <c r="Q264" s="8">
        <v>0</v>
      </c>
      <c r="R264" s="10" t="e">
        <f>VLOOKUP(P264,ARTS!B$3:H$323,6,FALSE)</f>
        <v>#N/A</v>
      </c>
      <c r="S264" s="10" t="e">
        <f>VLOOKUP(P264,ARTS!B$3:H$323,2,FALSE)</f>
        <v>#N/A</v>
      </c>
    </row>
    <row r="265" spans="11:19" ht="14.75" customHeight="1" x14ac:dyDescent="0.45">
      <c r="K265" s="14">
        <v>261</v>
      </c>
      <c r="L265" s="9" t="str">
        <f t="shared" si="20"/>
        <v>SUB JUNIOR</v>
      </c>
      <c r="M265" s="9">
        <f t="shared" si="21"/>
        <v>0</v>
      </c>
      <c r="N265" s="9">
        <f t="shared" si="23"/>
        <v>96</v>
      </c>
      <c r="O265" s="9" t="str">
        <f t="shared" si="22"/>
        <v>ziyad. K. M. C</v>
      </c>
      <c r="P265" s="5" t="s">
        <v>90</v>
      </c>
      <c r="Q265" s="8">
        <v>0</v>
      </c>
      <c r="R265" s="10" t="e">
        <f>VLOOKUP(P265,ARTS!B$3:H$323,6,FALSE)</f>
        <v>#N/A</v>
      </c>
      <c r="S265" s="10" t="e">
        <f>VLOOKUP(P265,ARTS!B$3:H$323,2,FALSE)</f>
        <v>#N/A</v>
      </c>
    </row>
    <row r="266" spans="11:19" ht="14.75" customHeight="1" x14ac:dyDescent="0.45">
      <c r="K266" s="14">
        <v>262</v>
      </c>
      <c r="L266" s="9" t="str">
        <f t="shared" si="20"/>
        <v>JUNIOR</v>
      </c>
      <c r="M266" s="9" t="str">
        <f t="shared" si="21"/>
        <v>JARF</v>
      </c>
      <c r="N266" s="9">
        <f t="shared" si="23"/>
        <v>96</v>
      </c>
      <c r="O266" s="9" t="str">
        <f t="shared" si="22"/>
        <v>MOHAMMED SABIK BM</v>
      </c>
      <c r="P266" s="5" t="s">
        <v>140</v>
      </c>
      <c r="Q266" s="8">
        <v>0</v>
      </c>
      <c r="R266" s="10" t="e">
        <f>VLOOKUP(P266,ARTS!B$3:H$323,6,FALSE)</f>
        <v>#N/A</v>
      </c>
      <c r="S266" s="10" t="e">
        <f>VLOOKUP(P266,ARTS!B$3:H$323,2,FALSE)</f>
        <v>#N/A</v>
      </c>
    </row>
    <row r="267" spans="11:19" ht="14.75" customHeight="1" x14ac:dyDescent="0.45">
      <c r="K267" s="14">
        <v>263</v>
      </c>
      <c r="L267" s="9" t="str">
        <f t="shared" si="20"/>
        <v>SENIOR</v>
      </c>
      <c r="M267" s="9" t="str">
        <f t="shared" si="21"/>
        <v>DAHF</v>
      </c>
      <c r="N267" s="9">
        <f t="shared" si="23"/>
        <v>96</v>
      </c>
      <c r="O267" s="9" t="str">
        <f t="shared" si="22"/>
        <v>MOHAMMED SHAKIR HUSSAIN K.Y</v>
      </c>
      <c r="P267" s="5" t="s">
        <v>29</v>
      </c>
      <c r="Q267" s="8">
        <v>0</v>
      </c>
      <c r="R267" s="10" t="e">
        <f>VLOOKUP(P267,ARTS!B$3:H$323,6,FALSE)</f>
        <v>#N/A</v>
      </c>
      <c r="S267" s="10" t="e">
        <f>VLOOKUP(P267,ARTS!B$3:H$323,2,FALSE)</f>
        <v>#N/A</v>
      </c>
    </row>
    <row r="268" spans="11:19" ht="14.75" customHeight="1" x14ac:dyDescent="0.45">
      <c r="K268" s="14">
        <v>264</v>
      </c>
      <c r="L268" s="9" t="str">
        <f t="shared" si="20"/>
        <v>JUNIOR</v>
      </c>
      <c r="M268" s="9" t="str">
        <f t="shared" si="21"/>
        <v>BADF</v>
      </c>
      <c r="N268" s="9">
        <f t="shared" si="23"/>
        <v>96</v>
      </c>
      <c r="O268" s="9" t="str">
        <f t="shared" si="22"/>
        <v>MUHAMMAD SABITH V K P</v>
      </c>
      <c r="P268" s="5" t="s">
        <v>141</v>
      </c>
      <c r="Q268" s="8">
        <v>0</v>
      </c>
      <c r="R268" s="10" t="e">
        <f>VLOOKUP(P268,ARTS!B$3:H$323,6,FALSE)</f>
        <v>#N/A</v>
      </c>
      <c r="S268" s="10" t="e">
        <f>VLOOKUP(P268,ARTS!B$3:H$323,2,FALSE)</f>
        <v>#N/A</v>
      </c>
    </row>
    <row r="269" spans="11:19" ht="14.75" customHeight="1" x14ac:dyDescent="0.45">
      <c r="K269" s="14">
        <v>265</v>
      </c>
      <c r="L269" s="9" t="str">
        <f t="shared" si="20"/>
        <v>SUPER SENIOR</v>
      </c>
      <c r="M269" s="9" t="str">
        <f t="shared" si="21"/>
        <v>BADF</v>
      </c>
      <c r="N269" s="9">
        <f t="shared" si="23"/>
        <v>96</v>
      </c>
      <c r="O269" s="9" t="str">
        <f t="shared" si="22"/>
        <v>MUHAMMED AYIZ</v>
      </c>
      <c r="P269" s="5" t="s">
        <v>315</v>
      </c>
      <c r="Q269" s="8">
        <v>0</v>
      </c>
      <c r="R269" s="10">
        <f>VLOOKUP(P269,ARTS!B$3:H$323,6,FALSE)</f>
        <v>18</v>
      </c>
      <c r="S269" s="10">
        <f>VLOOKUP(P269,ARTS!B$3:H$323,2,FALSE)</f>
        <v>0</v>
      </c>
    </row>
    <row r="270" spans="11:19" ht="14.75" customHeight="1" x14ac:dyDescent="0.45">
      <c r="K270" s="14">
        <v>266</v>
      </c>
      <c r="L270" s="9" t="str">
        <f t="shared" si="20"/>
        <v>SUPER SENIOR</v>
      </c>
      <c r="M270" s="9" t="str">
        <f t="shared" si="21"/>
        <v>BADF</v>
      </c>
      <c r="N270" s="9">
        <f t="shared" si="23"/>
        <v>96</v>
      </c>
      <c r="O270" s="9" t="str">
        <f t="shared" si="22"/>
        <v>ABBAS ARFAS O.R</v>
      </c>
      <c r="P270" s="5" t="s">
        <v>294</v>
      </c>
      <c r="Q270" s="8">
        <v>0</v>
      </c>
      <c r="R270" s="10" t="e">
        <f>VLOOKUP(P270,ARTS!B$3:H$323,6,FALSE)</f>
        <v>#N/A</v>
      </c>
      <c r="S270" s="10" t="e">
        <f>VLOOKUP(P270,ARTS!B$3:H$323,2,FALSE)</f>
        <v>#N/A</v>
      </c>
    </row>
    <row r="271" spans="11:19" ht="14.75" customHeight="1" x14ac:dyDescent="0.45">
      <c r="K271" s="14">
        <v>267</v>
      </c>
      <c r="L271" s="9" t="str">
        <f t="shared" si="20"/>
        <v>SUB JUNIOR</v>
      </c>
      <c r="M271" s="9" t="str">
        <f t="shared" si="21"/>
        <v>FANT</v>
      </c>
      <c r="N271" s="9">
        <f t="shared" si="23"/>
        <v>96</v>
      </c>
      <c r="O271" s="9" t="str">
        <f t="shared" si="22"/>
        <v>MUHAMMED SHIRAZ ISHAQUE</v>
      </c>
      <c r="P271" s="5" t="s">
        <v>84</v>
      </c>
      <c r="Q271" s="8">
        <v>0</v>
      </c>
      <c r="R271" s="10" t="e">
        <f>VLOOKUP(P271,ARTS!B$3:H$323,6,FALSE)</f>
        <v>#N/A</v>
      </c>
      <c r="S271" s="10" t="e">
        <f>VLOOKUP(P271,ARTS!B$3:H$323,2,FALSE)</f>
        <v>#N/A</v>
      </c>
    </row>
    <row r="272" spans="11:19" ht="14.75" customHeight="1" x14ac:dyDescent="0.45">
      <c r="K272" s="14">
        <v>268</v>
      </c>
      <c r="L272" s="9" t="str">
        <f t="shared" si="20"/>
        <v>SUB JUNIOR</v>
      </c>
      <c r="M272" s="9" t="str">
        <f t="shared" si="21"/>
        <v>FANT</v>
      </c>
      <c r="N272" s="9">
        <f t="shared" si="23"/>
        <v>96</v>
      </c>
      <c r="O272" s="9" t="str">
        <f t="shared" si="22"/>
        <v>ADINAN ABOOBACKER K</v>
      </c>
      <c r="P272" s="5" t="s">
        <v>56</v>
      </c>
      <c r="Q272" s="8">
        <v>0</v>
      </c>
      <c r="R272" s="10" t="e">
        <f>VLOOKUP(P272,ARTS!B$3:H$323,6,FALSE)</f>
        <v>#N/A</v>
      </c>
      <c r="S272" s="10" t="e">
        <f>VLOOKUP(P272,ARTS!B$3:H$323,2,FALSE)</f>
        <v>#N/A</v>
      </c>
    </row>
    <row r="273" spans="11:19" ht="14.75" customHeight="1" x14ac:dyDescent="0.45">
      <c r="K273" s="14">
        <v>269</v>
      </c>
      <c r="L273" s="9" t="str">
        <f t="shared" si="20"/>
        <v>SUPER SENIOR</v>
      </c>
      <c r="M273" s="9" t="str">
        <f t="shared" si="21"/>
        <v>BADF</v>
      </c>
      <c r="N273" s="9">
        <f t="shared" si="23"/>
        <v>96</v>
      </c>
      <c r="O273" s="9" t="str">
        <f t="shared" si="22"/>
        <v>ABOOBACKER SIDDIK</v>
      </c>
      <c r="P273" s="5" t="s">
        <v>317</v>
      </c>
      <c r="Q273" s="8">
        <v>0</v>
      </c>
      <c r="R273" s="10">
        <f>VLOOKUP(P273,ARTS!B$3:H$323,6,FALSE)</f>
        <v>12</v>
      </c>
      <c r="S273" s="10">
        <f>VLOOKUP(P273,ARTS!B$3:H$323,2,FALSE)</f>
        <v>5</v>
      </c>
    </row>
    <row r="274" spans="11:19" ht="14.75" customHeight="1" x14ac:dyDescent="0.45">
      <c r="K274" s="14">
        <v>270</v>
      </c>
      <c r="L274" s="9" t="str">
        <f t="shared" si="20"/>
        <v>SUPER SENIOR</v>
      </c>
      <c r="M274" s="9" t="str">
        <f t="shared" si="21"/>
        <v>JARF</v>
      </c>
      <c r="N274" s="9">
        <f t="shared" si="23"/>
        <v>96</v>
      </c>
      <c r="O274" s="9" t="str">
        <f t="shared" si="22"/>
        <v>MOHAMMED MARZOOK AM</v>
      </c>
      <c r="P274" s="5" t="s">
        <v>297</v>
      </c>
      <c r="Q274" s="8">
        <v>0</v>
      </c>
      <c r="R274" s="10" t="e">
        <f>VLOOKUP(P274,ARTS!B$3:H$323,6,FALSE)</f>
        <v>#N/A</v>
      </c>
      <c r="S274" s="10" t="e">
        <f>VLOOKUP(P274,ARTS!B$3:H$323,2,FALSE)</f>
        <v>#N/A</v>
      </c>
    </row>
    <row r="275" spans="11:19" ht="14.75" customHeight="1" x14ac:dyDescent="0.45">
      <c r="K275" s="14">
        <v>271</v>
      </c>
      <c r="L275" s="9" t="str">
        <f t="shared" si="20"/>
        <v>SUPER SENIOR</v>
      </c>
      <c r="M275" s="9" t="str">
        <f t="shared" si="21"/>
        <v>FANT</v>
      </c>
      <c r="N275" s="9">
        <f t="shared" si="23"/>
        <v>96</v>
      </c>
      <c r="O275" s="9" t="str">
        <f t="shared" si="22"/>
        <v>AKBAR P</v>
      </c>
      <c r="P275" s="5" t="s">
        <v>318</v>
      </c>
      <c r="Q275" s="8">
        <v>0</v>
      </c>
      <c r="R275" s="10">
        <f>VLOOKUP(P275,ARTS!B$3:H$323,6,FALSE)</f>
        <v>5</v>
      </c>
      <c r="S275" s="10">
        <f>VLOOKUP(P275,ARTS!B$3:H$323,2,FALSE)</f>
        <v>18</v>
      </c>
    </row>
    <row r="276" spans="11:19" ht="14.75" customHeight="1" x14ac:dyDescent="0.45">
      <c r="K276" s="14">
        <v>272</v>
      </c>
      <c r="L276" s="9" t="str">
        <f t="shared" si="20"/>
        <v>SUPER SENIOR</v>
      </c>
      <c r="M276" s="9" t="str">
        <f t="shared" si="21"/>
        <v>JARF</v>
      </c>
      <c r="N276" s="9">
        <f t="shared" si="23"/>
        <v>96</v>
      </c>
      <c r="O276" s="9" t="str">
        <f t="shared" si="22"/>
        <v>MUHAMMED SHANAVAS M.A</v>
      </c>
      <c r="P276" s="5" t="s">
        <v>299</v>
      </c>
      <c r="Q276" s="8">
        <v>0</v>
      </c>
      <c r="R276" s="10" t="e">
        <f>VLOOKUP(P276,ARTS!B$3:H$323,6,FALSE)</f>
        <v>#N/A</v>
      </c>
      <c r="S276" s="10" t="e">
        <f>VLOOKUP(P276,ARTS!B$3:H$323,2,FALSE)</f>
        <v>#N/A</v>
      </c>
    </row>
    <row r="277" spans="11:19" ht="14.75" customHeight="1" x14ac:dyDescent="0.45">
      <c r="K277" s="14">
        <v>273</v>
      </c>
      <c r="L277" s="9" t="str">
        <f t="shared" si="20"/>
        <v>JUNIOR</v>
      </c>
      <c r="M277" s="9" t="str">
        <f t="shared" si="21"/>
        <v>FANT</v>
      </c>
      <c r="N277" s="9">
        <f t="shared" si="23"/>
        <v>96</v>
      </c>
      <c r="O277" s="9" t="str">
        <f t="shared" si="22"/>
        <v>FAKRUDDIN NAFIL</v>
      </c>
      <c r="P277" s="5" t="s">
        <v>129</v>
      </c>
      <c r="Q277" s="8">
        <v>0</v>
      </c>
      <c r="R277" s="10" t="e">
        <f>VLOOKUP(P277,ARTS!B$3:H$323,6,FALSE)</f>
        <v>#N/A</v>
      </c>
      <c r="S277" s="10" t="e">
        <f>VLOOKUP(P277,ARTS!B$3:H$323,2,FALSE)</f>
        <v>#N/A</v>
      </c>
    </row>
    <row r="278" spans="11:19" ht="14.75" customHeight="1" x14ac:dyDescent="0.45">
      <c r="K278" s="14">
        <v>274</v>
      </c>
      <c r="L278" s="9" t="str">
        <f t="shared" si="20"/>
        <v>SUPER SENIOR</v>
      </c>
      <c r="M278" s="9" t="str">
        <f t="shared" si="21"/>
        <v>JARF</v>
      </c>
      <c r="N278" s="9">
        <f t="shared" si="23"/>
        <v>96</v>
      </c>
      <c r="O278" s="9" t="str">
        <f t="shared" si="22"/>
        <v>MUHAMMED UNAIS PT</v>
      </c>
      <c r="P278" s="5" t="s">
        <v>301</v>
      </c>
      <c r="Q278" s="8">
        <v>0</v>
      </c>
      <c r="R278" s="10" t="e">
        <f>VLOOKUP(P278,ARTS!B$3:H$323,6,FALSE)</f>
        <v>#N/A</v>
      </c>
      <c r="S278" s="10" t="e">
        <f>VLOOKUP(P278,ARTS!B$3:H$323,2,FALSE)</f>
        <v>#N/A</v>
      </c>
    </row>
    <row r="279" spans="11:19" ht="14.75" customHeight="1" x14ac:dyDescent="0.45">
      <c r="K279" s="14">
        <v>275</v>
      </c>
      <c r="L279" s="9" t="str">
        <f t="shared" si="20"/>
        <v>SUPER SENIOR</v>
      </c>
      <c r="M279" s="9" t="str">
        <f t="shared" si="21"/>
        <v>DAHF</v>
      </c>
      <c r="N279" s="9">
        <f t="shared" si="23"/>
        <v>96</v>
      </c>
      <c r="O279" s="9" t="str">
        <f t="shared" si="22"/>
        <v>MUHAMMED AKBAR NP</v>
      </c>
      <c r="P279" s="5" t="s">
        <v>322</v>
      </c>
      <c r="Q279" s="8">
        <v>0</v>
      </c>
      <c r="R279" s="10">
        <f>VLOOKUP(P279,ARTS!B$3:H$323,6,FALSE)</f>
        <v>18</v>
      </c>
      <c r="S279" s="10">
        <f>VLOOKUP(P279,ARTS!B$3:H$323,2,FALSE)</f>
        <v>0</v>
      </c>
    </row>
    <row r="280" spans="11:19" ht="14.75" customHeight="1" x14ac:dyDescent="0.45">
      <c r="K280" s="14">
        <v>276</v>
      </c>
      <c r="L280" s="9" t="str">
        <f t="shared" si="20"/>
        <v>SUPER SENIOR</v>
      </c>
      <c r="M280" s="9" t="str">
        <f t="shared" si="21"/>
        <v>BADF</v>
      </c>
      <c r="N280" s="9">
        <f t="shared" si="23"/>
        <v>96</v>
      </c>
      <c r="O280" s="9" t="str">
        <f t="shared" si="22"/>
        <v>MUHAMMED YASIR K</v>
      </c>
      <c r="P280" s="5" t="s">
        <v>303</v>
      </c>
      <c r="Q280" s="8">
        <v>0</v>
      </c>
      <c r="R280" s="10" t="e">
        <f>VLOOKUP(P280,ARTS!B$3:H$323,6,FALSE)</f>
        <v>#N/A</v>
      </c>
      <c r="S280" s="10" t="e">
        <f>VLOOKUP(P280,ARTS!B$3:H$323,2,FALSE)</f>
        <v>#N/A</v>
      </c>
    </row>
    <row r="281" spans="11:19" ht="14.75" customHeight="1" x14ac:dyDescent="0.45">
      <c r="K281" s="14">
        <v>277</v>
      </c>
      <c r="L281" s="9" t="str">
        <f t="shared" si="20"/>
        <v>SUPER SENIOR</v>
      </c>
      <c r="M281" s="9" t="str">
        <f t="shared" si="21"/>
        <v>DAHF</v>
      </c>
      <c r="N281" s="9">
        <f t="shared" si="23"/>
        <v>96</v>
      </c>
      <c r="O281" s="9" t="str">
        <f t="shared" si="22"/>
        <v>MUHAMMED SAJJAD</v>
      </c>
      <c r="P281" s="5" t="s">
        <v>324</v>
      </c>
      <c r="Q281" s="8">
        <v>0</v>
      </c>
      <c r="R281" s="10">
        <f>VLOOKUP(P281,ARTS!B$3:H$323,6,FALSE)</f>
        <v>17</v>
      </c>
      <c r="S281" s="10">
        <f>VLOOKUP(P281,ARTS!B$3:H$323,2,FALSE)</f>
        <v>1</v>
      </c>
    </row>
    <row r="282" spans="11:19" ht="14.75" customHeight="1" x14ac:dyDescent="0.45">
      <c r="K282" s="14">
        <v>278</v>
      </c>
      <c r="L282" s="9" t="str">
        <f t="shared" si="20"/>
        <v>SUPER SENIOR</v>
      </c>
      <c r="M282" s="9" t="str">
        <f t="shared" si="21"/>
        <v>BADF</v>
      </c>
      <c r="N282" s="9">
        <f t="shared" si="23"/>
        <v>96</v>
      </c>
      <c r="O282" s="9" t="str">
        <f t="shared" si="22"/>
        <v>MUHAMMAD MUZAMMIL E.A</v>
      </c>
      <c r="P282" s="5" t="s">
        <v>305</v>
      </c>
      <c r="Q282" s="8">
        <v>0</v>
      </c>
      <c r="R282" s="10" t="e">
        <f>VLOOKUP(P282,ARTS!B$3:H$323,6,FALSE)</f>
        <v>#N/A</v>
      </c>
      <c r="S282" s="10" t="e">
        <f>VLOOKUP(P282,ARTS!B$3:H$323,2,FALSE)</f>
        <v>#N/A</v>
      </c>
    </row>
    <row r="283" spans="11:19" ht="14.75" customHeight="1" x14ac:dyDescent="0.45">
      <c r="K283" s="14">
        <v>279</v>
      </c>
      <c r="L283" s="9" t="str">
        <f t="shared" si="20"/>
        <v>SUB JUNIOR</v>
      </c>
      <c r="M283" s="9" t="str">
        <f t="shared" si="21"/>
        <v>FANT</v>
      </c>
      <c r="N283" s="9">
        <f t="shared" si="23"/>
        <v>96</v>
      </c>
      <c r="O283" s="9" t="str">
        <f t="shared" si="22"/>
        <v>MUHAMMED MOIDEEN KUNHI</v>
      </c>
      <c r="P283" s="5" t="s">
        <v>91</v>
      </c>
      <c r="Q283" s="8">
        <v>0</v>
      </c>
      <c r="R283" s="10" t="e">
        <f>VLOOKUP(P283,ARTS!B$3:H$323,6,FALSE)</f>
        <v>#N/A</v>
      </c>
      <c r="S283" s="10" t="e">
        <f>VLOOKUP(P283,ARTS!B$3:H$323,2,FALSE)</f>
        <v>#N/A</v>
      </c>
    </row>
    <row r="284" spans="11:19" ht="14.75" customHeight="1" x14ac:dyDescent="0.45">
      <c r="K284" s="14">
        <v>280</v>
      </c>
      <c r="L284" s="9" t="str">
        <f t="shared" si="20"/>
        <v>SUPER SENIOR</v>
      </c>
      <c r="M284" s="9" t="str">
        <f t="shared" si="21"/>
        <v>FANT</v>
      </c>
      <c r="N284" s="9">
        <f t="shared" si="23"/>
        <v>96</v>
      </c>
      <c r="O284" s="9" t="str">
        <f t="shared" si="22"/>
        <v>MUHAMMED MUZAMMIL</v>
      </c>
      <c r="P284" s="5" t="s">
        <v>307</v>
      </c>
      <c r="Q284" s="8">
        <v>0</v>
      </c>
      <c r="R284" s="10" t="e">
        <f>VLOOKUP(P284,ARTS!B$3:H$323,6,FALSE)</f>
        <v>#N/A</v>
      </c>
      <c r="S284" s="10" t="e">
        <f>VLOOKUP(P284,ARTS!B$3:H$323,2,FALSE)</f>
        <v>#N/A</v>
      </c>
    </row>
    <row r="285" spans="11:19" ht="14.75" customHeight="1" x14ac:dyDescent="0.45">
      <c r="K285" s="14">
        <v>281</v>
      </c>
      <c r="L285" s="9" t="str">
        <f t="shared" si="20"/>
        <v>SUPER SENIOR</v>
      </c>
      <c r="M285" s="9">
        <f t="shared" si="21"/>
        <v>0</v>
      </c>
      <c r="N285" s="9">
        <f t="shared" si="23"/>
        <v>96</v>
      </c>
      <c r="O285" s="9" t="str">
        <f t="shared" si="22"/>
        <v>MAHAMMED ASHIK</v>
      </c>
      <c r="P285" s="5" t="s">
        <v>327</v>
      </c>
      <c r="Q285" s="8">
        <v>0</v>
      </c>
      <c r="R285" s="10">
        <f>VLOOKUP(P285,ARTS!B$3:H$323,6,FALSE)</f>
        <v>18</v>
      </c>
      <c r="S285" s="10">
        <f>VLOOKUP(P285,ARTS!B$3:H$323,2,FALSE)</f>
        <v>0</v>
      </c>
    </row>
    <row r="286" spans="11:19" ht="14.75" customHeight="1" x14ac:dyDescent="0.45">
      <c r="K286" s="14">
        <v>282</v>
      </c>
      <c r="L286" s="9" t="str">
        <f t="shared" si="20"/>
        <v>SUPER SENIOR</v>
      </c>
      <c r="M286" s="9" t="str">
        <f t="shared" si="21"/>
        <v>BADF</v>
      </c>
      <c r="N286" s="9">
        <f t="shared" si="23"/>
        <v>96</v>
      </c>
      <c r="O286" s="9" t="str">
        <f t="shared" si="22"/>
        <v>MOHAMMED ATHHAR THAYYIB MS</v>
      </c>
      <c r="P286" s="5" t="s">
        <v>309</v>
      </c>
      <c r="Q286" s="8">
        <v>0</v>
      </c>
      <c r="R286" s="10" t="e">
        <f>VLOOKUP(P286,ARTS!B$3:H$323,6,FALSE)</f>
        <v>#N/A</v>
      </c>
      <c r="S286" s="10" t="e">
        <f>VLOOKUP(P286,ARTS!B$3:H$323,2,FALSE)</f>
        <v>#N/A</v>
      </c>
    </row>
    <row r="287" spans="11:19" ht="14.75" customHeight="1" x14ac:dyDescent="0.45">
      <c r="K287" s="14">
        <v>283</v>
      </c>
      <c r="L287" s="9" t="str">
        <f t="shared" si="20"/>
        <v>SUB JUNIOR</v>
      </c>
      <c r="M287" s="9" t="str">
        <f t="shared" si="21"/>
        <v>BADF</v>
      </c>
      <c r="N287" s="9">
        <f t="shared" si="23"/>
        <v>96</v>
      </c>
      <c r="O287" s="9" t="str">
        <f t="shared" si="22"/>
        <v>MUHAMMED RAEES C A</v>
      </c>
      <c r="P287" s="5" t="s">
        <v>116</v>
      </c>
      <c r="Q287" s="8">
        <v>0</v>
      </c>
      <c r="R287" s="10" t="e">
        <f>VLOOKUP(P287,ARTS!B$3:H$323,6,FALSE)</f>
        <v>#N/A</v>
      </c>
      <c r="S287" s="10" t="e">
        <f>VLOOKUP(P287,ARTS!B$3:H$323,2,FALSE)</f>
        <v>#N/A</v>
      </c>
    </row>
    <row r="288" spans="11:19" ht="14.75" customHeight="1" x14ac:dyDescent="0.45">
      <c r="K288" s="14">
        <v>284</v>
      </c>
      <c r="L288" s="9" t="str">
        <f t="shared" si="20"/>
        <v>SUB JUNIOR</v>
      </c>
      <c r="M288" s="9" t="str">
        <f t="shared" si="21"/>
        <v>DAHF</v>
      </c>
      <c r="N288" s="9">
        <f t="shared" si="23"/>
        <v>96</v>
      </c>
      <c r="O288" s="9" t="str">
        <f t="shared" si="22"/>
        <v>FAZIL ABDULLA</v>
      </c>
      <c r="P288" s="5" t="s">
        <v>83</v>
      </c>
      <c r="Q288" s="8">
        <v>0</v>
      </c>
      <c r="R288" s="10" t="e">
        <f>VLOOKUP(P288,ARTS!B$3:H$323,6,FALSE)</f>
        <v>#N/A</v>
      </c>
      <c r="S288" s="10" t="e">
        <f>VLOOKUP(P288,ARTS!B$3:H$323,2,FALSE)</f>
        <v>#N/A</v>
      </c>
    </row>
    <row r="289" spans="11:19" ht="14.75" customHeight="1" x14ac:dyDescent="0.45">
      <c r="K289" s="14">
        <v>285</v>
      </c>
      <c r="L289" s="9" t="str">
        <f t="shared" si="20"/>
        <v>SUB JUNIOR</v>
      </c>
      <c r="M289" s="9" t="str">
        <f t="shared" si="21"/>
        <v>DAHF</v>
      </c>
      <c r="N289" s="9">
        <f t="shared" si="23"/>
        <v>96</v>
      </c>
      <c r="O289" s="9" t="str">
        <f t="shared" si="22"/>
        <v>MOHAMMED NAFIH</v>
      </c>
      <c r="P289" s="5" t="s">
        <v>74</v>
      </c>
      <c r="Q289" s="8">
        <v>0</v>
      </c>
      <c r="R289" s="10" t="e">
        <f>VLOOKUP(P289,ARTS!B$3:H$323,6,FALSE)</f>
        <v>#N/A</v>
      </c>
      <c r="S289" s="10" t="e">
        <f>VLOOKUP(P289,ARTS!B$3:H$323,2,FALSE)</f>
        <v>#N/A</v>
      </c>
    </row>
    <row r="290" spans="11:19" ht="14.75" customHeight="1" x14ac:dyDescent="0.45">
      <c r="K290" s="14">
        <v>286</v>
      </c>
      <c r="L290" s="9" t="str">
        <f t="shared" si="20"/>
        <v>SUPER SENIOR</v>
      </c>
      <c r="M290" s="9" t="str">
        <f t="shared" si="21"/>
        <v>FANT</v>
      </c>
      <c r="N290" s="9">
        <f t="shared" si="23"/>
        <v>96</v>
      </c>
      <c r="O290" s="9" t="str">
        <f t="shared" si="22"/>
        <v>AJMAL KI</v>
      </c>
      <c r="P290" s="5" t="s">
        <v>311</v>
      </c>
      <c r="Q290" s="8">
        <v>0</v>
      </c>
      <c r="R290" s="10" t="e">
        <f>VLOOKUP(P290,ARTS!B$3:H$323,6,FALSE)</f>
        <v>#N/A</v>
      </c>
      <c r="S290" s="10" t="e">
        <f>VLOOKUP(P290,ARTS!B$3:H$323,2,FALSE)</f>
        <v>#N/A</v>
      </c>
    </row>
    <row r="291" spans="11:19" ht="14.75" customHeight="1" x14ac:dyDescent="0.45">
      <c r="K291" s="14">
        <v>287</v>
      </c>
      <c r="L291" s="9" t="str">
        <f t="shared" si="20"/>
        <v>JUNIOR</v>
      </c>
      <c r="M291" s="9" t="str">
        <f t="shared" si="21"/>
        <v>JARF</v>
      </c>
      <c r="N291" s="9">
        <f t="shared" si="23"/>
        <v>96</v>
      </c>
      <c r="O291" s="9" t="str">
        <f t="shared" si="22"/>
        <v>HASAN THAMMEEM</v>
      </c>
      <c r="P291" s="5" t="s">
        <v>130</v>
      </c>
      <c r="Q291" s="8">
        <v>0</v>
      </c>
      <c r="R291" s="10" t="e">
        <f>VLOOKUP(P291,ARTS!B$3:H$323,6,FALSE)</f>
        <v>#N/A</v>
      </c>
      <c r="S291" s="10" t="e">
        <f>VLOOKUP(P291,ARTS!B$3:H$323,2,FALSE)</f>
        <v>#N/A</v>
      </c>
    </row>
    <row r="292" spans="11:19" ht="14.75" customHeight="1" x14ac:dyDescent="0.45">
      <c r="K292" s="14">
        <v>288</v>
      </c>
      <c r="L292" s="9" t="str">
        <f t="shared" si="20"/>
        <v>SUPER SENIOR</v>
      </c>
      <c r="M292" s="9" t="str">
        <f t="shared" si="21"/>
        <v>JARF</v>
      </c>
      <c r="N292" s="9">
        <f t="shared" si="23"/>
        <v>96</v>
      </c>
      <c r="O292" s="9" t="str">
        <f t="shared" si="22"/>
        <v>AHMAD BINYAMUL ASHIQUE</v>
      </c>
      <c r="P292" s="5" t="s">
        <v>313</v>
      </c>
      <c r="Q292" s="8">
        <v>0</v>
      </c>
      <c r="R292" s="10">
        <f>VLOOKUP(P292,ARTS!B$3:H$323,6,FALSE)</f>
        <v>18</v>
      </c>
      <c r="S292" s="10">
        <f>VLOOKUP(P292,ARTS!B$3:H$323,2,FALSE)</f>
        <v>0</v>
      </c>
    </row>
    <row r="293" spans="11:19" ht="14.75" customHeight="1" x14ac:dyDescent="0.45">
      <c r="K293" s="14">
        <v>289</v>
      </c>
      <c r="L293" s="9" t="str">
        <f t="shared" si="20"/>
        <v>SENIOR</v>
      </c>
      <c r="M293" s="9" t="str">
        <f t="shared" si="21"/>
        <v>FANT</v>
      </c>
      <c r="N293" s="9">
        <f t="shared" si="23"/>
        <v>96</v>
      </c>
      <c r="O293" s="9" t="str">
        <f t="shared" si="22"/>
        <v>ABDUL BAAIS N.A</v>
      </c>
      <c r="P293" s="5" t="s">
        <v>227</v>
      </c>
      <c r="Q293" s="8">
        <v>0</v>
      </c>
      <c r="R293" s="10" t="e">
        <f>VLOOKUP(P293,ARTS!B$3:H$323,6,FALSE)</f>
        <v>#N/A</v>
      </c>
      <c r="S293" s="10" t="e">
        <f>VLOOKUP(P293,ARTS!B$3:H$323,2,FALSE)</f>
        <v>#N/A</v>
      </c>
    </row>
    <row r="294" spans="11:19" ht="14.75" customHeight="1" x14ac:dyDescent="0.45">
      <c r="K294" s="14">
        <v>290</v>
      </c>
      <c r="L294" s="9" t="str">
        <f t="shared" si="20"/>
        <v>JUNIOR</v>
      </c>
      <c r="M294" s="9" t="str">
        <f t="shared" si="21"/>
        <v>JARF</v>
      </c>
      <c r="N294" s="9">
        <f t="shared" si="23"/>
        <v>96</v>
      </c>
      <c r="O294" s="9" t="str">
        <f t="shared" si="22"/>
        <v>Muhammad Muaaz</v>
      </c>
      <c r="P294" s="5" t="s">
        <v>142</v>
      </c>
      <c r="Q294" s="8">
        <v>0</v>
      </c>
      <c r="R294" s="10" t="e">
        <f>VLOOKUP(P294,ARTS!B$3:H$323,6,FALSE)</f>
        <v>#N/A</v>
      </c>
      <c r="S294" s="10" t="e">
        <f>VLOOKUP(P294,ARTS!B$3:H$323,2,FALSE)</f>
        <v>#N/A</v>
      </c>
    </row>
    <row r="295" spans="11:19" ht="14.75" customHeight="1" x14ac:dyDescent="0.45">
      <c r="K295" s="14">
        <v>291</v>
      </c>
      <c r="L295" s="9" t="str">
        <f t="shared" si="20"/>
        <v>SENIOR</v>
      </c>
      <c r="M295" s="9" t="str">
        <f t="shared" si="21"/>
        <v>DAHF</v>
      </c>
      <c r="N295" s="9">
        <f t="shared" si="23"/>
        <v>96</v>
      </c>
      <c r="O295" s="9" t="str">
        <f t="shared" si="22"/>
        <v>MUHAMMED PK</v>
      </c>
      <c r="P295" s="5" t="s">
        <v>228</v>
      </c>
      <c r="Q295" s="8">
        <v>0</v>
      </c>
      <c r="R295" s="10" t="e">
        <f>VLOOKUP(P295,ARTS!B$3:H$323,6,FALSE)</f>
        <v>#N/A</v>
      </c>
      <c r="S295" s="10" t="e">
        <f>VLOOKUP(P295,ARTS!B$3:H$323,2,FALSE)</f>
        <v>#N/A</v>
      </c>
    </row>
    <row r="296" spans="11:19" ht="14.75" customHeight="1" x14ac:dyDescent="0.45">
      <c r="K296" s="14">
        <v>292</v>
      </c>
      <c r="L296" s="9" t="str">
        <f t="shared" si="20"/>
        <v>SENIOR</v>
      </c>
      <c r="M296" s="9" t="str">
        <f t="shared" si="21"/>
        <v>FANT</v>
      </c>
      <c r="N296" s="9">
        <f t="shared" si="23"/>
        <v>96</v>
      </c>
      <c r="O296" s="9" t="str">
        <f t="shared" si="22"/>
        <v>MUHAMMED SHUHAIB S</v>
      </c>
      <c r="P296" s="5" t="s">
        <v>217</v>
      </c>
      <c r="Q296" s="8">
        <v>0</v>
      </c>
      <c r="R296" s="10" t="e">
        <f>VLOOKUP(P296,ARTS!B$3:H$323,6,FALSE)</f>
        <v>#N/A</v>
      </c>
      <c r="S296" s="10" t="e">
        <f>VLOOKUP(P296,ARTS!B$3:H$323,2,FALSE)</f>
        <v>#N/A</v>
      </c>
    </row>
    <row r="297" spans="11:19" ht="14.75" customHeight="1" x14ac:dyDescent="0.45">
      <c r="K297" s="14">
        <v>293</v>
      </c>
      <c r="L297" s="9" t="str">
        <f t="shared" si="20"/>
        <v>SUB JUNIOR</v>
      </c>
      <c r="M297" s="9" t="str">
        <f t="shared" si="21"/>
        <v>JARF</v>
      </c>
      <c r="N297" s="9">
        <f t="shared" si="23"/>
        <v>96</v>
      </c>
      <c r="O297" s="9" t="str">
        <f t="shared" si="22"/>
        <v>JAUHAR ASHFAQUE MUHSIN</v>
      </c>
      <c r="P297" s="5" t="s">
        <v>85</v>
      </c>
      <c r="Q297" s="8">
        <v>0</v>
      </c>
      <c r="R297" s="10" t="e">
        <f>VLOOKUP(P297,ARTS!B$3:H$323,6,FALSE)</f>
        <v>#N/A</v>
      </c>
      <c r="S297" s="10" t="e">
        <f>VLOOKUP(P297,ARTS!B$3:H$323,2,FALSE)</f>
        <v>#N/A</v>
      </c>
    </row>
    <row r="298" spans="11:19" ht="14.75" customHeight="1" x14ac:dyDescent="0.45">
      <c r="K298" s="14">
        <v>294</v>
      </c>
      <c r="L298" s="9" t="str">
        <f t="shared" si="20"/>
        <v>SENIOR</v>
      </c>
      <c r="M298" s="9" t="str">
        <f t="shared" si="21"/>
        <v>FANT</v>
      </c>
      <c r="N298" s="9">
        <f t="shared" si="23"/>
        <v>96</v>
      </c>
      <c r="O298" s="9" t="str">
        <f t="shared" si="22"/>
        <v>MOHAMMED MOINUDDEEN CHISTY</v>
      </c>
      <c r="P298" s="5" t="s">
        <v>218</v>
      </c>
      <c r="Q298" s="8">
        <v>0</v>
      </c>
      <c r="R298" s="10" t="e">
        <f>VLOOKUP(P298,ARTS!B$3:H$323,6,FALSE)</f>
        <v>#N/A</v>
      </c>
      <c r="S298" s="10" t="e">
        <f>VLOOKUP(P298,ARTS!B$3:H$323,2,FALSE)</f>
        <v>#N/A</v>
      </c>
    </row>
    <row r="299" spans="11:19" ht="14.75" customHeight="1" x14ac:dyDescent="0.45">
      <c r="K299" s="14">
        <v>295</v>
      </c>
      <c r="L299" s="9" t="str">
        <f t="shared" si="20"/>
        <v>SUB JUNIOR</v>
      </c>
      <c r="M299" s="9" t="str">
        <f t="shared" si="21"/>
        <v>DAHF</v>
      </c>
      <c r="N299" s="9">
        <f t="shared" si="23"/>
        <v>96</v>
      </c>
      <c r="O299" s="9" t="str">
        <f t="shared" si="22"/>
        <v>YASEEN MUHAMMED</v>
      </c>
      <c r="P299" s="5" t="s">
        <v>86</v>
      </c>
      <c r="Q299" s="8">
        <v>0</v>
      </c>
      <c r="R299" s="10" t="e">
        <f>VLOOKUP(P299,ARTS!B$3:H$323,6,FALSE)</f>
        <v>#N/A</v>
      </c>
      <c r="S299" s="10" t="e">
        <f>VLOOKUP(P299,ARTS!B$3:H$323,2,FALSE)</f>
        <v>#N/A</v>
      </c>
    </row>
    <row r="300" spans="11:19" ht="14.75" customHeight="1" x14ac:dyDescent="0.45">
      <c r="K300" s="14">
        <v>296</v>
      </c>
      <c r="L300" s="9" t="str">
        <f t="shared" si="20"/>
        <v>SUB JUNIOR</v>
      </c>
      <c r="M300" s="9" t="str">
        <f t="shared" si="21"/>
        <v>JARF</v>
      </c>
      <c r="N300" s="9">
        <f t="shared" si="23"/>
        <v>96</v>
      </c>
      <c r="O300" s="9" t="str">
        <f t="shared" si="22"/>
        <v>MUHAMMED HASHIR A K</v>
      </c>
      <c r="P300" s="5" t="s">
        <v>73</v>
      </c>
      <c r="Q300" s="8">
        <v>0</v>
      </c>
      <c r="R300" s="10" t="e">
        <f>VLOOKUP(P300,ARTS!B$3:H$323,6,FALSE)</f>
        <v>#N/A</v>
      </c>
      <c r="S300" s="10" t="e">
        <f>VLOOKUP(P300,ARTS!B$3:H$323,2,FALSE)</f>
        <v>#N/A</v>
      </c>
    </row>
    <row r="301" spans="11:19" ht="14.75" customHeight="1" x14ac:dyDescent="0.45">
      <c r="K301" s="14">
        <v>297</v>
      </c>
      <c r="L301" s="9" t="str">
        <f t="shared" si="20"/>
        <v>SUB JUNIOR</v>
      </c>
      <c r="M301" s="9" t="str">
        <f t="shared" si="21"/>
        <v>BADF</v>
      </c>
      <c r="N301" s="9">
        <f t="shared" si="23"/>
        <v>96</v>
      </c>
      <c r="O301" s="9" t="str">
        <f t="shared" si="22"/>
        <v>MOHAMMED RAFAN A</v>
      </c>
      <c r="P301" s="5" t="s">
        <v>87</v>
      </c>
      <c r="Q301" s="8">
        <v>0</v>
      </c>
      <c r="R301" s="10" t="e">
        <f>VLOOKUP(P301,ARTS!B$3:H$323,6,FALSE)</f>
        <v>#N/A</v>
      </c>
      <c r="S301" s="10" t="e">
        <f>VLOOKUP(P301,ARTS!B$3:H$323,2,FALSE)</f>
        <v>#N/A</v>
      </c>
    </row>
    <row r="302" spans="11:19" ht="14.75" customHeight="1" x14ac:dyDescent="0.45">
      <c r="K302" s="14">
        <v>298</v>
      </c>
      <c r="L302" s="9" t="str">
        <f t="shared" si="20"/>
        <v>SENIOR</v>
      </c>
      <c r="M302" s="9" t="str">
        <f t="shared" si="21"/>
        <v>JARF</v>
      </c>
      <c r="N302" s="9">
        <f t="shared" si="23"/>
        <v>96</v>
      </c>
      <c r="O302" s="9" t="str">
        <f t="shared" si="22"/>
        <v>IJAS EBRAHIM</v>
      </c>
      <c r="P302" s="5" t="s">
        <v>219</v>
      </c>
      <c r="Q302" s="8">
        <v>0</v>
      </c>
      <c r="R302" s="10" t="e">
        <f>VLOOKUP(P302,ARTS!B$3:H$323,6,FALSE)</f>
        <v>#N/A</v>
      </c>
      <c r="S302" s="10" t="e">
        <f>VLOOKUP(P302,ARTS!B$3:H$323,2,FALSE)</f>
        <v>#N/A</v>
      </c>
    </row>
    <row r="303" spans="11:19" ht="14.75" customHeight="1" x14ac:dyDescent="0.45">
      <c r="K303" s="14">
        <v>299</v>
      </c>
      <c r="L303" s="9" t="str">
        <f t="shared" si="20"/>
        <v>SUPER SENIOR</v>
      </c>
      <c r="M303" s="9" t="str">
        <f t="shared" si="21"/>
        <v>BADF</v>
      </c>
      <c r="N303" s="9">
        <f t="shared" si="23"/>
        <v>96</v>
      </c>
      <c r="O303" s="9" t="str">
        <f t="shared" si="22"/>
        <v>AHMED BK</v>
      </c>
      <c r="P303" s="5" t="s">
        <v>321</v>
      </c>
      <c r="Q303" s="8">
        <v>0</v>
      </c>
      <c r="R303" s="10">
        <f>VLOOKUP(P303,ARTS!B$3:H$323,6,FALSE)</f>
        <v>4</v>
      </c>
      <c r="S303" s="10">
        <f>VLOOKUP(P303,ARTS!B$3:H$323,2,FALSE)</f>
        <v>31</v>
      </c>
    </row>
    <row r="304" spans="11:19" ht="14.75" customHeight="1" x14ac:dyDescent="0.45">
      <c r="K304" s="14">
        <v>300</v>
      </c>
      <c r="L304" s="9" t="str">
        <f t="shared" si="20"/>
        <v>SENIOR</v>
      </c>
      <c r="M304" s="9" t="str">
        <f t="shared" si="21"/>
        <v>BADF</v>
      </c>
      <c r="N304" s="9">
        <f t="shared" si="23"/>
        <v>96</v>
      </c>
      <c r="O304" s="9" t="str">
        <f t="shared" si="22"/>
        <v>AHMAD MINHAJ</v>
      </c>
      <c r="P304" s="5" t="s">
        <v>220</v>
      </c>
      <c r="Q304" s="8">
        <v>0</v>
      </c>
      <c r="R304" s="10" t="e">
        <f>VLOOKUP(P304,ARTS!B$3:H$323,6,FALSE)</f>
        <v>#N/A</v>
      </c>
      <c r="S304" s="10" t="e">
        <f>VLOOKUP(P304,ARTS!B$3:H$323,2,FALSE)</f>
        <v>#N/A</v>
      </c>
    </row>
    <row r="305" spans="11:19" ht="14.75" customHeight="1" x14ac:dyDescent="0.45">
      <c r="K305" s="14">
        <v>301</v>
      </c>
      <c r="L305" s="9" t="str">
        <f t="shared" si="20"/>
        <v>SUPER SENIOR</v>
      </c>
      <c r="M305" s="9" t="str">
        <f t="shared" si="21"/>
        <v>FANT</v>
      </c>
      <c r="N305" s="9">
        <f t="shared" si="23"/>
        <v>96</v>
      </c>
      <c r="O305" s="9" t="str">
        <f t="shared" si="22"/>
        <v>ATHIF ABDULKHADER</v>
      </c>
      <c r="P305" s="5" t="s">
        <v>323</v>
      </c>
      <c r="Q305" s="8">
        <v>0</v>
      </c>
      <c r="R305" s="10">
        <f>VLOOKUP(P305,ARTS!B$3:H$323,6,FALSE)</f>
        <v>18</v>
      </c>
      <c r="S305" s="10">
        <f>VLOOKUP(P305,ARTS!B$3:H$323,2,FALSE)</f>
        <v>0</v>
      </c>
    </row>
    <row r="306" spans="11:19" ht="14.75" customHeight="1" x14ac:dyDescent="0.45">
      <c r="K306" s="14">
        <v>302</v>
      </c>
      <c r="L306" s="9" t="str">
        <f t="shared" si="20"/>
        <v>SENIOR</v>
      </c>
      <c r="M306" s="9" t="str">
        <f t="shared" si="21"/>
        <v>FANT</v>
      </c>
      <c r="N306" s="9">
        <f t="shared" si="23"/>
        <v>96</v>
      </c>
      <c r="O306" s="9" t="str">
        <f t="shared" si="22"/>
        <v>AHMAD AMEEN T S</v>
      </c>
      <c r="P306" s="5" t="s">
        <v>221</v>
      </c>
      <c r="Q306" s="8">
        <v>0</v>
      </c>
      <c r="R306" s="10" t="e">
        <f>VLOOKUP(P306,ARTS!B$3:H$323,6,FALSE)</f>
        <v>#N/A</v>
      </c>
      <c r="S306" s="10" t="e">
        <f>VLOOKUP(P306,ARTS!B$3:H$323,2,FALSE)</f>
        <v>#N/A</v>
      </c>
    </row>
    <row r="307" spans="11:19" ht="14.75" customHeight="1" x14ac:dyDescent="0.45">
      <c r="K307" s="14">
        <v>303</v>
      </c>
      <c r="L307" s="9" t="str">
        <f t="shared" si="20"/>
        <v>SUPER SENIOR</v>
      </c>
      <c r="M307" s="9" t="str">
        <f t="shared" si="21"/>
        <v>JARF</v>
      </c>
      <c r="N307" s="9">
        <f t="shared" si="23"/>
        <v>96</v>
      </c>
      <c r="O307" s="9" t="str">
        <f t="shared" si="22"/>
        <v>AHAMED ASIF M</v>
      </c>
      <c r="P307" s="5" t="s">
        <v>325</v>
      </c>
      <c r="Q307" s="8">
        <v>0</v>
      </c>
      <c r="R307" s="10">
        <f>VLOOKUP(P307,ARTS!B$3:H$323,6,FALSE)</f>
        <v>18</v>
      </c>
      <c r="S307" s="10">
        <f>VLOOKUP(P307,ARTS!B$3:H$323,2,FALSE)</f>
        <v>0</v>
      </c>
    </row>
    <row r="308" spans="11:19" ht="14.75" customHeight="1" x14ac:dyDescent="0.45">
      <c r="K308" s="14">
        <v>304</v>
      </c>
      <c r="L308" s="9" t="str">
        <f t="shared" si="20"/>
        <v>SUB JUNIOR</v>
      </c>
      <c r="M308" s="9" t="str">
        <f t="shared" si="21"/>
        <v>BADF</v>
      </c>
      <c r="N308" s="9">
        <f t="shared" si="23"/>
        <v>96</v>
      </c>
      <c r="O308" s="9" t="str">
        <f t="shared" si="22"/>
        <v>MOHAMMED QUBAIB A H</v>
      </c>
      <c r="P308" s="5" t="s">
        <v>103</v>
      </c>
      <c r="Q308" s="8">
        <v>0</v>
      </c>
      <c r="R308" s="10" t="e">
        <f>VLOOKUP(P308,ARTS!B$3:H$323,6,FALSE)</f>
        <v>#N/A</v>
      </c>
      <c r="S308" s="10" t="e">
        <f>VLOOKUP(P308,ARTS!B$3:H$323,2,FALSE)</f>
        <v>#N/A</v>
      </c>
    </row>
    <row r="309" spans="11:19" ht="14.75" customHeight="1" x14ac:dyDescent="0.45">
      <c r="K309" s="14">
        <v>305</v>
      </c>
      <c r="L309" s="9" t="str">
        <f t="shared" si="20"/>
        <v>SUB JUNIOR</v>
      </c>
      <c r="M309" s="9" t="str">
        <f t="shared" si="21"/>
        <v>BADF</v>
      </c>
      <c r="N309" s="9">
        <f t="shared" si="23"/>
        <v>96</v>
      </c>
      <c r="O309" s="9" t="str">
        <f t="shared" si="22"/>
        <v>MUHAMMED UVAIS.P. S</v>
      </c>
      <c r="P309" s="5" t="s">
        <v>88</v>
      </c>
      <c r="Q309" s="8">
        <v>0</v>
      </c>
      <c r="R309" s="10" t="e">
        <f>VLOOKUP(P309,ARTS!B$3:H$323,6,FALSE)</f>
        <v>#N/A</v>
      </c>
      <c r="S309" s="10" t="e">
        <f>VLOOKUP(P309,ARTS!B$3:H$323,2,FALSE)</f>
        <v>#N/A</v>
      </c>
    </row>
    <row r="310" spans="11:19" ht="14.75" customHeight="1" x14ac:dyDescent="0.45">
      <c r="K310" s="14">
        <v>306</v>
      </c>
      <c r="L310" s="9" t="str">
        <f t="shared" si="20"/>
        <v>SENIOR</v>
      </c>
      <c r="M310" s="9" t="str">
        <f t="shared" si="21"/>
        <v>DAHF</v>
      </c>
      <c r="N310" s="9">
        <f t="shared" si="23"/>
        <v>96</v>
      </c>
      <c r="O310" s="9" t="str">
        <f t="shared" si="22"/>
        <v>MUHAMMED ASHKKAR ALI</v>
      </c>
      <c r="P310" s="5" t="s">
        <v>223</v>
      </c>
      <c r="Q310" s="8">
        <v>0</v>
      </c>
      <c r="R310" s="10" t="e">
        <f>VLOOKUP(P310,ARTS!B$3:H$323,6,FALSE)</f>
        <v>#N/A</v>
      </c>
      <c r="S310" s="10" t="e">
        <f>VLOOKUP(P310,ARTS!B$3:H$323,2,FALSE)</f>
        <v>#N/A</v>
      </c>
    </row>
    <row r="311" spans="11:19" ht="14.75" customHeight="1" x14ac:dyDescent="0.45">
      <c r="K311" s="14">
        <v>307</v>
      </c>
      <c r="L311" s="9" t="str">
        <f t="shared" si="20"/>
        <v>SUPER SENIOR</v>
      </c>
      <c r="M311" s="9" t="str">
        <f t="shared" si="21"/>
        <v>FANT</v>
      </c>
      <c r="N311" s="9">
        <f t="shared" si="23"/>
        <v>96</v>
      </c>
      <c r="O311" s="9" t="str">
        <f t="shared" si="22"/>
        <v>SALAHUDDEEN AYYOOBI KM</v>
      </c>
      <c r="P311" s="5" t="s">
        <v>328</v>
      </c>
      <c r="Q311" s="8">
        <v>0</v>
      </c>
      <c r="R311" s="10">
        <f>VLOOKUP(P311,ARTS!B$3:H$323,6,FALSE)</f>
        <v>9</v>
      </c>
      <c r="S311" s="10">
        <f>VLOOKUP(P311,ARTS!B$3:H$323,2,FALSE)</f>
        <v>8</v>
      </c>
    </row>
    <row r="312" spans="11:19" ht="14.75" customHeight="1" x14ac:dyDescent="0.45">
      <c r="K312" s="14">
        <v>308</v>
      </c>
      <c r="L312" s="9" t="str">
        <f t="shared" si="20"/>
        <v>SENIOR</v>
      </c>
      <c r="M312" s="9" t="str">
        <f t="shared" si="21"/>
        <v>BADF</v>
      </c>
      <c r="N312" s="9">
        <f t="shared" si="23"/>
        <v>96</v>
      </c>
      <c r="O312" s="9" t="str">
        <f t="shared" si="22"/>
        <v>SHAMEEL AHAMMED P</v>
      </c>
      <c r="P312" s="5" t="s">
        <v>224</v>
      </c>
      <c r="Q312" s="8">
        <v>0</v>
      </c>
      <c r="R312" s="10" t="e">
        <f>VLOOKUP(P312,ARTS!B$3:H$323,6,FALSE)</f>
        <v>#N/A</v>
      </c>
      <c r="S312" s="10" t="e">
        <f>VLOOKUP(P312,ARTS!B$3:H$323,2,FALSE)</f>
        <v>#N/A</v>
      </c>
    </row>
    <row r="313" spans="11:19" ht="14.75" customHeight="1" x14ac:dyDescent="0.45">
      <c r="K313" s="14">
        <v>309</v>
      </c>
      <c r="L313" s="9" t="str">
        <f t="shared" si="20"/>
        <v>SENIOR</v>
      </c>
      <c r="M313" s="9" t="str">
        <f t="shared" si="21"/>
        <v>JARF</v>
      </c>
      <c r="N313" s="9">
        <f t="shared" si="23"/>
        <v>96</v>
      </c>
      <c r="O313" s="9" t="str">
        <f t="shared" si="22"/>
        <v>IMRAN HUSSAIN TI</v>
      </c>
      <c r="P313" s="5" t="s">
        <v>225</v>
      </c>
      <c r="Q313" s="8">
        <v>0</v>
      </c>
      <c r="R313" s="10" t="e">
        <f>VLOOKUP(P313,ARTS!B$3:H$323,6,FALSE)</f>
        <v>#N/A</v>
      </c>
      <c r="S313" s="10" t="e">
        <f>VLOOKUP(P313,ARTS!B$3:H$323,2,FALSE)</f>
        <v>#N/A</v>
      </c>
    </row>
    <row r="314" spans="11:19" ht="14.75" customHeight="1" x14ac:dyDescent="0.45">
      <c r="K314" s="14">
        <v>310</v>
      </c>
      <c r="L314" s="9" t="str">
        <f t="shared" si="20"/>
        <v>SUPER SENIOR</v>
      </c>
      <c r="M314" s="9" t="str">
        <f t="shared" si="21"/>
        <v>BADF</v>
      </c>
      <c r="N314" s="9">
        <f t="shared" si="23"/>
        <v>96</v>
      </c>
      <c r="O314" s="9" t="str">
        <f t="shared" si="22"/>
        <v>ASGAR ALI</v>
      </c>
      <c r="P314" s="5" t="s">
        <v>331</v>
      </c>
      <c r="Q314" s="8">
        <v>0</v>
      </c>
      <c r="R314" s="10">
        <f>VLOOKUP(P314,ARTS!B$3:H$323,6,FALSE)</f>
        <v>13</v>
      </c>
      <c r="S314" s="10">
        <f>VLOOKUP(P314,ARTS!B$3:H$323,2,FALSE)</f>
        <v>4</v>
      </c>
    </row>
    <row r="315" spans="11:19" ht="14.75" customHeight="1" x14ac:dyDescent="0.45">
      <c r="K315" s="14">
        <v>311</v>
      </c>
      <c r="L315" s="9" t="str">
        <f t="shared" si="20"/>
        <v>SENIOR</v>
      </c>
      <c r="M315" s="9" t="str">
        <f t="shared" si="21"/>
        <v>BADF</v>
      </c>
      <c r="N315" s="9">
        <f t="shared" si="23"/>
        <v>96</v>
      </c>
      <c r="O315" s="9" t="str">
        <f t="shared" si="22"/>
        <v>MUHAMMAD SHAZIN</v>
      </c>
      <c r="P315" s="5" t="s">
        <v>215</v>
      </c>
      <c r="Q315" s="8">
        <v>0</v>
      </c>
      <c r="R315" s="10" t="e">
        <f>VLOOKUP(P315,ARTS!B$3:H$323,6,FALSE)</f>
        <v>#N/A</v>
      </c>
      <c r="S315" s="10" t="e">
        <f>VLOOKUP(P315,ARTS!B$3:H$323,2,FALSE)</f>
        <v>#N/A</v>
      </c>
    </row>
    <row r="316" spans="11:19" ht="14.75" customHeight="1" x14ac:dyDescent="0.45">
      <c r="K316" s="14">
        <v>312</v>
      </c>
      <c r="L316" s="9" t="str">
        <f t="shared" si="20"/>
        <v>SUPER SENIOR</v>
      </c>
      <c r="M316" s="9" t="str">
        <f t="shared" si="21"/>
        <v>JARF</v>
      </c>
      <c r="N316" s="9">
        <f t="shared" si="23"/>
        <v>96</v>
      </c>
      <c r="O316" s="9" t="str">
        <f t="shared" si="22"/>
        <v>THAMJEED TM</v>
      </c>
      <c r="P316" s="5" t="s">
        <v>333</v>
      </c>
      <c r="Q316" s="8">
        <v>0</v>
      </c>
      <c r="R316" s="10">
        <f>VLOOKUP(P316,ARTS!B$3:H$323,6,FALSE)</f>
        <v>11</v>
      </c>
      <c r="S316" s="10">
        <f>VLOOKUP(P316,ARTS!B$3:H$323,2,FALSE)</f>
        <v>6</v>
      </c>
    </row>
    <row r="317" spans="11:19" ht="14.75" customHeight="1" x14ac:dyDescent="0.45">
      <c r="K317" s="14">
        <v>313</v>
      </c>
      <c r="L317" s="9" t="str">
        <f t="shared" si="20"/>
        <v>SENIOR</v>
      </c>
      <c r="M317" s="9" t="str">
        <f t="shared" si="21"/>
        <v>DAHF</v>
      </c>
      <c r="N317" s="9">
        <f t="shared" si="23"/>
        <v>96</v>
      </c>
      <c r="O317" s="9" t="str">
        <f t="shared" si="22"/>
        <v>SALMANUL FARIS</v>
      </c>
      <c r="P317" s="5" t="s">
        <v>27</v>
      </c>
      <c r="Q317" s="8">
        <v>0</v>
      </c>
      <c r="R317" s="10" t="e">
        <f>VLOOKUP(P317,ARTS!B$3:H$323,6,FALSE)</f>
        <v>#N/A</v>
      </c>
      <c r="S317" s="10" t="e">
        <f>VLOOKUP(P317,ARTS!B$3:H$323,2,FALSE)</f>
        <v>#N/A</v>
      </c>
    </row>
    <row r="318" spans="11:19" ht="14.75" customHeight="1" x14ac:dyDescent="0.45">
      <c r="K318" s="14">
        <v>314</v>
      </c>
      <c r="L318" s="9" t="str">
        <f t="shared" si="20"/>
        <v>SUPER SENIOR</v>
      </c>
      <c r="M318" s="9" t="str">
        <f t="shared" si="21"/>
        <v>JARF</v>
      </c>
      <c r="N318" s="9">
        <f t="shared" si="23"/>
        <v>96</v>
      </c>
      <c r="O318" s="9" t="str">
        <f t="shared" si="22"/>
        <v>MUHAMMED ABDUL GHANI M.A</v>
      </c>
      <c r="P318" s="5" t="s">
        <v>335</v>
      </c>
      <c r="Q318" s="8">
        <v>0</v>
      </c>
      <c r="R318" s="10">
        <f>VLOOKUP(P318,ARTS!B$3:H$323,6,FALSE)</f>
        <v>18</v>
      </c>
      <c r="S318" s="10">
        <f>VLOOKUP(P318,ARTS!B$3:H$323,2,FALSE)</f>
        <v>0</v>
      </c>
    </row>
    <row r="319" spans="11:19" ht="14.75" customHeight="1" x14ac:dyDescent="0.45">
      <c r="K319" s="14">
        <v>315</v>
      </c>
      <c r="L319" s="9" t="str">
        <f t="shared" si="20"/>
        <v>SUB JUNIOR</v>
      </c>
      <c r="M319" s="9">
        <f t="shared" si="21"/>
        <v>0</v>
      </c>
      <c r="N319" s="9">
        <f t="shared" si="23"/>
        <v>96</v>
      </c>
      <c r="O319" s="9" t="str">
        <f t="shared" si="22"/>
        <v>ABOOBACKER SAFWAN C B</v>
      </c>
      <c r="P319" s="5" t="s">
        <v>72</v>
      </c>
      <c r="Q319" s="8">
        <v>0</v>
      </c>
      <c r="R319" s="10" t="e">
        <f>VLOOKUP(P319,ARTS!B$3:H$323,6,FALSE)</f>
        <v>#N/A</v>
      </c>
      <c r="S319" s="10" t="e">
        <f>VLOOKUP(P319,ARTS!B$3:H$323,2,FALSE)</f>
        <v>#N/A</v>
      </c>
    </row>
    <row r="320" spans="11:19" ht="14.75" customHeight="1" x14ac:dyDescent="0.45">
      <c r="K320" s="14">
        <v>316</v>
      </c>
      <c r="L320" s="9" t="str">
        <f t="shared" si="20"/>
        <v>SENIOR</v>
      </c>
      <c r="M320" s="9" t="str">
        <f t="shared" si="21"/>
        <v>JARF</v>
      </c>
      <c r="N320" s="9">
        <f t="shared" si="23"/>
        <v>96</v>
      </c>
      <c r="O320" s="9" t="str">
        <f t="shared" si="22"/>
        <v>AHAMAD SHABAB P A</v>
      </c>
      <c r="P320" s="8" t="s">
        <v>28</v>
      </c>
      <c r="Q320" s="8">
        <v>0</v>
      </c>
      <c r="R320" s="10" t="e">
        <f>VLOOKUP(P320,ARTS!B$3:H$323,6,FALSE)</f>
        <v>#N/A</v>
      </c>
      <c r="S320" s="10" t="e">
        <f>VLOOKUP(P320,ARTS!B$3:H$323,2,FALSE)</f>
        <v>#N/A</v>
      </c>
    </row>
    <row r="321" spans="11:19" ht="14.75" customHeight="1" x14ac:dyDescent="0.45">
      <c r="K321" s="14">
        <v>317</v>
      </c>
      <c r="L321" s="9" t="str">
        <f t="shared" si="20"/>
        <v>SUPER SENIOR</v>
      </c>
      <c r="M321" s="9" t="str">
        <f t="shared" si="21"/>
        <v>DAHF</v>
      </c>
      <c r="N321" s="9">
        <f t="shared" si="23"/>
        <v>96</v>
      </c>
      <c r="O321" s="9" t="str">
        <f t="shared" si="22"/>
        <v>ABDUL VAJID K</v>
      </c>
      <c r="P321" s="5" t="s">
        <v>338</v>
      </c>
      <c r="Q321" s="8">
        <v>0</v>
      </c>
      <c r="R321" s="10">
        <f>VLOOKUP(P321,ARTS!B$3:H$323,6,FALSE)</f>
        <v>5</v>
      </c>
      <c r="S321" s="10">
        <f>VLOOKUP(P321,ARTS!B$3:H$323,2,FALSE)</f>
        <v>18</v>
      </c>
    </row>
    <row r="322" spans="11:19" ht="14.75" customHeight="1" x14ac:dyDescent="0.45">
      <c r="K322" s="14">
        <v>318</v>
      </c>
      <c r="L322" s="9" t="str">
        <f t="shared" si="20"/>
        <v>SENIOR</v>
      </c>
      <c r="M322" s="9" t="str">
        <f t="shared" si="21"/>
        <v>JARF</v>
      </c>
      <c r="N322" s="9">
        <f t="shared" si="23"/>
        <v>96</v>
      </c>
      <c r="O322" s="9" t="str">
        <f t="shared" si="22"/>
        <v>MUAHMMED ANAS P A</v>
      </c>
      <c r="P322" s="5" t="s">
        <v>199</v>
      </c>
      <c r="Q322" s="8">
        <v>0</v>
      </c>
      <c r="R322" s="10" t="e">
        <f>VLOOKUP(P322,ARTS!B$3:H$323,6,FALSE)</f>
        <v>#N/A</v>
      </c>
      <c r="S322" s="10" t="e">
        <f>VLOOKUP(P322,ARTS!B$3:H$323,2,FALSE)</f>
        <v>#N/A</v>
      </c>
    </row>
    <row r="323" spans="11:19" ht="14.75" customHeight="1" x14ac:dyDescent="0.45">
      <c r="K323" s="14">
        <v>319</v>
      </c>
      <c r="L323" s="9" t="str">
        <f t="shared" si="20"/>
        <v>SUPER SENIOR</v>
      </c>
      <c r="M323" s="9" t="str">
        <f t="shared" si="21"/>
        <v>FANT</v>
      </c>
      <c r="N323" s="9">
        <f t="shared" si="23"/>
        <v>96</v>
      </c>
      <c r="O323" s="9" t="str">
        <f t="shared" si="22"/>
        <v>MUHAMMED SAFWAN</v>
      </c>
      <c r="P323" s="5" t="s">
        <v>340</v>
      </c>
      <c r="Q323" s="8">
        <v>0</v>
      </c>
      <c r="R323" s="10">
        <f>VLOOKUP(P323,ARTS!B$3:H$323,6,FALSE)</f>
        <v>10</v>
      </c>
      <c r="S323" s="10">
        <f>VLOOKUP(P323,ARTS!B$3:H$323,2,FALSE)</f>
        <v>7</v>
      </c>
    </row>
    <row r="324" spans="11:19" ht="14.75" customHeight="1" x14ac:dyDescent="0.45">
      <c r="K324" s="14">
        <v>320</v>
      </c>
      <c r="L324" s="9" t="str">
        <f t="shared" si="20"/>
        <v>SENIOR</v>
      </c>
      <c r="M324" s="9" t="str">
        <f t="shared" si="21"/>
        <v>DAHF</v>
      </c>
      <c r="N324" s="9">
        <f t="shared" si="23"/>
        <v>96</v>
      </c>
      <c r="O324" s="9" t="str">
        <f t="shared" si="22"/>
        <v>Muhammed fahiz A K</v>
      </c>
      <c r="P324" s="5" t="s">
        <v>200</v>
      </c>
      <c r="Q324" s="8">
        <v>0</v>
      </c>
      <c r="R324" s="10" t="e">
        <f>VLOOKUP(P324,ARTS!B$3:H$323,6,FALSE)</f>
        <v>#N/A</v>
      </c>
      <c r="S324" s="10" t="e">
        <f>VLOOKUP(P324,ARTS!B$3:H$323,2,FALSE)</f>
        <v>#N/A</v>
      </c>
    </row>
    <row r="325" spans="11:19" ht="14.75" customHeight="1" x14ac:dyDescent="0.45">
      <c r="K325" s="14">
        <v>321</v>
      </c>
      <c r="L325" s="9">
        <f t="shared" ref="L325:L326" si="24">_xlfn.IFNA(VLOOKUP(P325,f_details_of_candidates,4,FALSE),"")</f>
        <v>0</v>
      </c>
      <c r="M325" s="9">
        <f t="shared" ref="M325:M326" si="25">_xlfn.IFNA(VLOOKUP(P325,f_details_of_candidates,3,FALSE),"")</f>
        <v>0</v>
      </c>
      <c r="N325" s="9" t="str">
        <f t="shared" si="23"/>
        <v/>
      </c>
      <c r="O325" s="9">
        <f t="shared" ref="O325:O326" si="26">_xlfn.IFNA(VLOOKUP(P325,f_details_of_candidates,2,FALSE),"")</f>
        <v>0</v>
      </c>
      <c r="P325" s="5">
        <v>0</v>
      </c>
      <c r="Q325" s="8">
        <v>0</v>
      </c>
      <c r="R325" s="10" t="str">
        <f>VLOOKUP(P325,ARTS!B$3:H$323,6,FALSE)</f>
        <v/>
      </c>
      <c r="S325" s="10">
        <f>VLOOKUP(P325,ARTS!B$3:H$323,2,FALSE)</f>
        <v>0</v>
      </c>
    </row>
    <row r="326" spans="11:19" ht="14.75" customHeight="1" x14ac:dyDescent="0.45">
      <c r="K326" s="14">
        <v>322</v>
      </c>
      <c r="L326" s="9" t="str">
        <f t="shared" si="24"/>
        <v>SENIOR</v>
      </c>
      <c r="M326" s="9" t="str">
        <f t="shared" si="25"/>
        <v>FANT</v>
      </c>
      <c r="N326" s="9">
        <f t="shared" ref="N326" si="27">IF(P326&lt;&gt;0,RANK(Q326,Q$5:Q$326,0),"")</f>
        <v>96</v>
      </c>
      <c r="O326" s="9" t="str">
        <f t="shared" si="26"/>
        <v>MUHAMMAD SHAMMAS</v>
      </c>
      <c r="P326" s="5" t="s">
        <v>201</v>
      </c>
      <c r="Q326" s="8">
        <v>0</v>
      </c>
      <c r="R326" s="10" t="e">
        <f>VLOOKUP(P326,ARTS!B$3:H$323,6,FALSE)</f>
        <v>#N/A</v>
      </c>
      <c r="S326" s="10" t="e">
        <f>VLOOKUP(P326,ARTS!B$3:H$323,2,FALSE)</f>
        <v>#N/A</v>
      </c>
    </row>
  </sheetData>
  <mergeCells count="3">
    <mergeCell ref="B2:H3"/>
    <mergeCell ref="K2:Q3"/>
    <mergeCell ref="R3:S3"/>
  </mergeCells>
  <conditionalFormatting sqref="A2:A3 A1:XFD1 A327:XFD1048576 I2:J3 A4:D4 I5:P5 F4:M4 O4:Q4 C5:G18 C19:N34 A5:B34 I6:N18 O6:P34 A35:P326 N6:N326 R2:XFD2 R3 T3:XFD3 R4:XFD326">
    <cfRule type="cellIs" dxfId="60" priority="17" operator="equal">
      <formula>0</formula>
    </cfRule>
  </conditionalFormatting>
  <conditionalFormatting sqref="E5:E34">
    <cfRule type="top10" dxfId="59" priority="11" bottom="1" rank="3"/>
    <cfRule type="top10" dxfId="58" priority="16" bottom="1" rank="5"/>
  </conditionalFormatting>
  <conditionalFormatting sqref="C5:C34">
    <cfRule type="cellIs" dxfId="57" priority="12" operator="equal">
      <formula>"SUPER SENIOR"</formula>
    </cfRule>
    <cfRule type="cellIs" dxfId="56" priority="13" operator="equal">
      <formula>"SENIOR"</formula>
    </cfRule>
    <cfRule type="cellIs" dxfId="55" priority="14" operator="equal">
      <formula>"JUNIOR"</formula>
    </cfRule>
    <cfRule type="cellIs" dxfId="54" priority="15" operator="equal">
      <formula>"SUB JUNIOR"</formula>
    </cfRule>
  </conditionalFormatting>
  <conditionalFormatting sqref="N5:N326">
    <cfRule type="top10" dxfId="53" priority="5" bottom="1" rank="3"/>
    <cfRule type="top10" dxfId="52" priority="10" bottom="1" rank="5"/>
  </conditionalFormatting>
  <conditionalFormatting sqref="L5:L326">
    <cfRule type="cellIs" dxfId="51" priority="6" operator="equal">
      <formula>"SUPER SENIOR"</formula>
    </cfRule>
    <cfRule type="cellIs" dxfId="50" priority="7" operator="equal">
      <formula>"SENIOR"</formula>
    </cfRule>
    <cfRule type="cellIs" dxfId="49" priority="8" operator="equal">
      <formula>"JUNIOR"</formula>
    </cfRule>
    <cfRule type="cellIs" dxfId="48" priority="9" operator="equal">
      <formula>"SUB JUNIOR"</formula>
    </cfRule>
  </conditionalFormatting>
  <conditionalFormatting sqref="E4">
    <cfRule type="cellIs" dxfId="47" priority="4" operator="equal">
      <formula>0</formula>
    </cfRule>
  </conditionalFormatting>
  <conditionalFormatting sqref="N4">
    <cfRule type="cellIs" dxfId="46" priority="3" operator="equal">
      <formula>0</formula>
    </cfRule>
  </conditionalFormatting>
  <conditionalFormatting sqref="B2">
    <cfRule type="cellIs" dxfId="45" priority="2" operator="equal">
      <formula>0</formula>
    </cfRule>
  </conditionalFormatting>
  <conditionalFormatting sqref="K2">
    <cfRule type="cellIs" dxfId="44" priority="1" operator="equal">
      <formula>0</formula>
    </cfRule>
  </conditionalFormatting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6718-DEC2-48D4-A094-27CB86630C2E}">
  <sheetPr>
    <pageSetUpPr fitToPage="1"/>
  </sheetPr>
  <dimension ref="B2:N648"/>
  <sheetViews>
    <sheetView topLeftCell="B1" workbookViewId="0">
      <selection activeCell="K42" sqref="K42"/>
    </sheetView>
  </sheetViews>
  <sheetFormatPr defaultRowHeight="19.5" customHeight="1" x14ac:dyDescent="0.45"/>
  <cols>
    <col min="1" max="1" width="2.59765625" style="1" customWidth="1"/>
    <col min="2" max="2" width="9.06640625" style="15"/>
    <col min="3" max="3" width="11.86328125" style="15" customWidth="1"/>
    <col min="4" max="4" width="8.265625" style="1" customWidth="1"/>
    <col min="5" max="5" width="17.6640625" style="1" customWidth="1"/>
    <col min="6" max="6" width="4.53125" style="1" customWidth="1"/>
    <col min="7" max="7" width="12.19921875" style="1" bestFit="1" customWidth="1"/>
    <col min="8" max="8" width="9.06640625" style="1"/>
    <col min="9" max="9" width="9.06640625" style="20"/>
    <col min="10" max="10" width="9.06640625" style="1"/>
    <col min="11" max="11" width="35.3984375" style="1" customWidth="1"/>
    <col min="12" max="12" width="10.19921875" style="1" bestFit="1" customWidth="1"/>
    <col min="13" max="13" width="12.86328125" style="1" bestFit="1" customWidth="1"/>
    <col min="14" max="14" width="10.53125" style="1" bestFit="1" customWidth="1"/>
    <col min="15" max="15" width="12.86328125" style="1" bestFit="1" customWidth="1"/>
    <col min="16" max="16384" width="9.06640625" style="1"/>
  </cols>
  <sheetData>
    <row r="2" spans="2:14" ht="9.4" customHeight="1" x14ac:dyDescent="0.45">
      <c r="F2" s="57" t="s">
        <v>346</v>
      </c>
      <c r="G2" s="57"/>
      <c r="H2" s="57"/>
      <c r="I2" s="57"/>
      <c r="J2" s="57"/>
      <c r="K2" s="57"/>
      <c r="L2" s="57"/>
      <c r="M2" s="57"/>
    </row>
    <row r="3" spans="2:14" s="12" customFormat="1" ht="32.25" customHeight="1" x14ac:dyDescent="0.75">
      <c r="F3" s="57"/>
      <c r="G3" s="57"/>
      <c r="H3" s="57"/>
      <c r="I3" s="57"/>
      <c r="J3" s="57"/>
      <c r="K3" s="57"/>
      <c r="L3" s="57"/>
      <c r="M3" s="57"/>
    </row>
    <row r="4" spans="2:14" ht="25.5" x14ac:dyDescent="0.75">
      <c r="B4" s="15" t="s">
        <v>348</v>
      </c>
      <c r="C4" s="25">
        <f>[1]BASIC!$V$8</f>
        <v>100</v>
      </c>
      <c r="D4" s="1" t="s">
        <v>347</v>
      </c>
      <c r="F4" s="7" t="s">
        <v>45</v>
      </c>
      <c r="G4" s="7" t="s">
        <v>5</v>
      </c>
      <c r="H4" s="7" t="s">
        <v>4</v>
      </c>
      <c r="I4" s="7" t="s">
        <v>6</v>
      </c>
      <c r="J4" s="13" t="s">
        <v>47</v>
      </c>
      <c r="K4" s="7" t="s">
        <v>3</v>
      </c>
      <c r="L4" s="4" t="s">
        <v>49</v>
      </c>
      <c r="M4" t="s">
        <v>345</v>
      </c>
      <c r="N4" t="s">
        <v>361</v>
      </c>
    </row>
    <row r="5" spans="2:14" s="10" customFormat="1" ht="14.25" x14ac:dyDescent="0.45">
      <c r="B5" s="16" t="s">
        <v>344</v>
      </c>
      <c r="C5" s="16" t="s">
        <v>343</v>
      </c>
      <c r="D5" s="19" t="s">
        <v>342</v>
      </c>
      <c r="E5" s="1"/>
      <c r="F5" s="14" cm="1">
        <f t="array" ref="F5:F37">_xlfn.SEQUENCE(COUNTA(L:L)-1)</f>
        <v>1</v>
      </c>
      <c r="G5" s="9" t="str">
        <f t="shared" ref="G5:G68" si="0">_xlfn.IFNA(VLOOKUP(L5,f_details_of_candidates,4,FALSE),"")</f>
        <v>SUPER SENIOR</v>
      </c>
      <c r="H5" s="9" t="str">
        <f t="shared" ref="H5:H68" si="1">_xlfn.IFNA(VLOOKUP(L5,f_details_of_candidates,3,FALSE),"")</f>
        <v>JARF</v>
      </c>
      <c r="I5" s="8">
        <f t="shared" ref="I5:I68" si="2">_xlfn.IFNA(VLOOKUP(L5,f_details_of_candidates,5,FALSE),"")</f>
        <v>10</v>
      </c>
      <c r="J5" s="9">
        <f>IF(L5&lt;&gt;0,RANK(M5,M$5:M$326,0),"")</f>
        <v>1</v>
      </c>
      <c r="K5" s="9" t="str">
        <f t="shared" ref="K5:K68" si="3">_xlfn.IFNA(VLOOKUP(L5,f_details_of_candidates,2,FALSE),"")</f>
        <v>AYAZ RAHMAN T</v>
      </c>
      <c r="L5" s="5" t="s">
        <v>336</v>
      </c>
      <c r="M5" s="8">
        <v>58</v>
      </c>
      <c r="N5" s="8">
        <v>10</v>
      </c>
    </row>
    <row r="6" spans="2:14" s="10" customFormat="1" ht="14.25" x14ac:dyDescent="0.45">
      <c r="B6" s="22">
        <v>1</v>
      </c>
      <c r="C6" s="22">
        <v>4</v>
      </c>
      <c r="D6" s="18">
        <f>COUNTIFS(M:M,"&gt;="&amp;B6,M:M,"&lt;"&amp;C6+1)</f>
        <v>5</v>
      </c>
      <c r="E6" s="1"/>
      <c r="F6" s="14">
        <v>2</v>
      </c>
      <c r="G6" s="9" t="str">
        <f t="shared" si="0"/>
        <v>SUPER SENIOR</v>
      </c>
      <c r="H6" s="9" t="str">
        <f t="shared" si="1"/>
        <v>FANT</v>
      </c>
      <c r="I6" s="8">
        <f t="shared" si="2"/>
        <v>10</v>
      </c>
      <c r="J6" s="9">
        <f t="shared" ref="J6:J69" si="4">IF(L6&lt;&gt;0,RANK(M6,M$5:M$326,0),"")</f>
        <v>2</v>
      </c>
      <c r="K6" s="9" t="str">
        <f t="shared" si="3"/>
        <v>SHAMEEM ABDULLA P.S</v>
      </c>
      <c r="L6" s="5" t="s">
        <v>320</v>
      </c>
      <c r="M6" s="8">
        <v>51</v>
      </c>
      <c r="N6" s="8">
        <v>10</v>
      </c>
    </row>
    <row r="7" spans="2:14" s="10" customFormat="1" ht="14.25" x14ac:dyDescent="0.45">
      <c r="B7" s="22">
        <v>5</v>
      </c>
      <c r="C7" s="22">
        <v>9</v>
      </c>
      <c r="D7" s="18">
        <f t="shared" ref="D7:D15" si="5">COUNTIFS(M:M,"&gt;="&amp;B7,M:M,"&lt;"&amp;C7+1)</f>
        <v>4</v>
      </c>
      <c r="E7" s="1"/>
      <c r="F7" s="14">
        <v>3</v>
      </c>
      <c r="G7" s="9" t="str">
        <f t="shared" si="0"/>
        <v>SUPER SENIOR</v>
      </c>
      <c r="H7" s="9" t="str">
        <f t="shared" si="1"/>
        <v>BADF</v>
      </c>
      <c r="I7" s="8">
        <f t="shared" si="2"/>
        <v>10</v>
      </c>
      <c r="J7" s="9">
        <f t="shared" si="4"/>
        <v>3</v>
      </c>
      <c r="K7" s="9" t="str">
        <f t="shared" si="3"/>
        <v>AHMED SWALAHUDHEEN PI</v>
      </c>
      <c r="L7" s="5" t="s">
        <v>337</v>
      </c>
      <c r="M7" s="8">
        <v>36</v>
      </c>
      <c r="N7" s="8">
        <v>10</v>
      </c>
    </row>
    <row r="8" spans="2:14" s="10" customFormat="1" ht="14.25" x14ac:dyDescent="0.45">
      <c r="B8" s="22">
        <v>10</v>
      </c>
      <c r="C8" s="22">
        <v>14</v>
      </c>
      <c r="D8" s="18">
        <f t="shared" si="5"/>
        <v>0</v>
      </c>
      <c r="E8" s="1"/>
      <c r="F8" s="14">
        <v>4</v>
      </c>
      <c r="G8" s="9" t="str">
        <f t="shared" si="0"/>
        <v>SUPER SENIOR</v>
      </c>
      <c r="H8" s="9" t="str">
        <f t="shared" si="1"/>
        <v>BADF</v>
      </c>
      <c r="I8" s="8">
        <f t="shared" si="2"/>
        <v>10</v>
      </c>
      <c r="J8" s="9">
        <f t="shared" si="4"/>
        <v>4</v>
      </c>
      <c r="K8" s="9" t="str">
        <f t="shared" si="3"/>
        <v>AHMED BK</v>
      </c>
      <c r="L8" s="5" t="s">
        <v>321</v>
      </c>
      <c r="M8" s="8">
        <v>31</v>
      </c>
      <c r="N8" s="8">
        <v>10</v>
      </c>
    </row>
    <row r="9" spans="2:14" s="10" customFormat="1" ht="14.25" x14ac:dyDescent="0.45">
      <c r="B9" s="22">
        <v>15</v>
      </c>
      <c r="C9" s="22">
        <v>24</v>
      </c>
      <c r="D9" s="18">
        <f>COUNTIFS(M:M,"&gt;="&amp;B9,M:M,"&lt;"&amp;C9+1)</f>
        <v>4</v>
      </c>
      <c r="E9" s="1"/>
      <c r="F9" s="14">
        <v>5</v>
      </c>
      <c r="G9" s="9" t="str">
        <f t="shared" si="0"/>
        <v>SUPER SENIOR</v>
      </c>
      <c r="H9" s="9" t="str">
        <f t="shared" si="1"/>
        <v>FANT</v>
      </c>
      <c r="I9" s="8">
        <f t="shared" si="2"/>
        <v>10</v>
      </c>
      <c r="J9" s="9">
        <f t="shared" si="4"/>
        <v>5</v>
      </c>
      <c r="K9" s="9" t="str">
        <f t="shared" si="3"/>
        <v>AKBAR P</v>
      </c>
      <c r="L9" s="5" t="s">
        <v>318</v>
      </c>
      <c r="M9" s="8">
        <v>18</v>
      </c>
      <c r="N9" s="8">
        <v>10</v>
      </c>
    </row>
    <row r="10" spans="2:14" s="10" customFormat="1" ht="14.25" x14ac:dyDescent="0.45">
      <c r="B10" s="22">
        <v>25</v>
      </c>
      <c r="C10" s="22">
        <v>34</v>
      </c>
      <c r="D10" s="18">
        <f t="shared" si="5"/>
        <v>1</v>
      </c>
      <c r="E10" s="1"/>
      <c r="F10" s="14">
        <v>6</v>
      </c>
      <c r="G10" s="9" t="str">
        <f t="shared" si="0"/>
        <v>SUPER SENIOR</v>
      </c>
      <c r="H10" s="9" t="str">
        <f t="shared" si="1"/>
        <v>DAHF</v>
      </c>
      <c r="I10" s="8">
        <f t="shared" si="2"/>
        <v>10</v>
      </c>
      <c r="J10" s="9">
        <f t="shared" si="4"/>
        <v>5</v>
      </c>
      <c r="K10" s="9" t="str">
        <f t="shared" si="3"/>
        <v>ABDUL VAJID K</v>
      </c>
      <c r="L10" s="5" t="s">
        <v>338</v>
      </c>
      <c r="M10" s="8">
        <v>18</v>
      </c>
      <c r="N10" s="8">
        <v>10</v>
      </c>
    </row>
    <row r="11" spans="2:14" s="10" customFormat="1" ht="14.25" x14ac:dyDescent="0.45">
      <c r="B11" s="22">
        <v>35</v>
      </c>
      <c r="C11" s="22">
        <v>49</v>
      </c>
      <c r="D11" s="18">
        <f t="shared" si="5"/>
        <v>1</v>
      </c>
      <c r="E11" s="1"/>
      <c r="F11" s="14">
        <v>7</v>
      </c>
      <c r="G11" s="9" t="str">
        <f t="shared" si="0"/>
        <v>SUPER SENIOR</v>
      </c>
      <c r="H11" s="9" t="str">
        <f t="shared" si="1"/>
        <v>JARF</v>
      </c>
      <c r="I11" s="8">
        <f t="shared" si="2"/>
        <v>10</v>
      </c>
      <c r="J11" s="9">
        <f t="shared" si="4"/>
        <v>5</v>
      </c>
      <c r="K11" s="9" t="str">
        <f t="shared" si="3"/>
        <v>AHMED ADIL B.K</v>
      </c>
      <c r="L11" s="5" t="s">
        <v>316</v>
      </c>
      <c r="M11" s="8">
        <v>18</v>
      </c>
      <c r="N11" s="8">
        <v>10</v>
      </c>
    </row>
    <row r="12" spans="2:14" s="10" customFormat="1" ht="14.25" x14ac:dyDescent="0.45">
      <c r="B12" s="22">
        <v>50</v>
      </c>
      <c r="C12" s="22">
        <v>69</v>
      </c>
      <c r="D12" s="18">
        <f t="shared" si="5"/>
        <v>2</v>
      </c>
      <c r="E12" s="1"/>
      <c r="F12" s="14">
        <v>8</v>
      </c>
      <c r="G12" s="9" t="str">
        <f t="shared" si="0"/>
        <v>SUPER SENIOR</v>
      </c>
      <c r="H12" s="9" t="str">
        <f t="shared" si="1"/>
        <v>DAHF</v>
      </c>
      <c r="I12" s="8">
        <f t="shared" si="2"/>
        <v>10</v>
      </c>
      <c r="J12" s="9">
        <f t="shared" si="4"/>
        <v>8</v>
      </c>
      <c r="K12" s="9" t="str">
        <f t="shared" si="3"/>
        <v>MOHAMMAD SWALIH K</v>
      </c>
      <c r="L12" s="5" t="s">
        <v>326</v>
      </c>
      <c r="M12" s="8">
        <v>16</v>
      </c>
      <c r="N12" s="8">
        <v>10</v>
      </c>
    </row>
    <row r="13" spans="2:14" s="10" customFormat="1" ht="14.25" x14ac:dyDescent="0.45">
      <c r="B13" s="22">
        <v>70</v>
      </c>
      <c r="C13" s="22">
        <v>99</v>
      </c>
      <c r="D13" s="18">
        <f t="shared" si="5"/>
        <v>0</v>
      </c>
      <c r="E13" s="1"/>
      <c r="F13" s="14">
        <v>9</v>
      </c>
      <c r="G13" s="9" t="str">
        <f t="shared" si="0"/>
        <v>SUPER SENIOR</v>
      </c>
      <c r="H13" s="9" t="str">
        <f t="shared" si="1"/>
        <v>FANT</v>
      </c>
      <c r="I13" s="8">
        <f t="shared" si="2"/>
        <v>10</v>
      </c>
      <c r="J13" s="9">
        <f t="shared" si="4"/>
        <v>9</v>
      </c>
      <c r="K13" s="9" t="str">
        <f t="shared" si="3"/>
        <v>SALAHUDDEEN AYYOOBI KM</v>
      </c>
      <c r="L13" s="5" t="s">
        <v>328</v>
      </c>
      <c r="M13" s="8">
        <v>8</v>
      </c>
      <c r="N13" s="8">
        <v>10</v>
      </c>
    </row>
    <row r="14" spans="2:14" s="10" customFormat="1" ht="14.25" x14ac:dyDescent="0.45">
      <c r="B14" s="22">
        <v>100</v>
      </c>
      <c r="C14" s="22">
        <v>119</v>
      </c>
      <c r="D14" s="18">
        <f t="shared" si="5"/>
        <v>0</v>
      </c>
      <c r="E14" s="1"/>
      <c r="F14" s="14">
        <v>10</v>
      </c>
      <c r="G14" s="9" t="str">
        <f t="shared" si="0"/>
        <v>SUPER SENIOR</v>
      </c>
      <c r="H14" s="9" t="str">
        <f t="shared" si="1"/>
        <v>FANT</v>
      </c>
      <c r="I14" s="8">
        <f t="shared" si="2"/>
        <v>10</v>
      </c>
      <c r="J14" s="9">
        <f t="shared" si="4"/>
        <v>10</v>
      </c>
      <c r="K14" s="9" t="str">
        <f t="shared" si="3"/>
        <v>MUHAMMED SAFWAN</v>
      </c>
      <c r="L14" s="5" t="s">
        <v>340</v>
      </c>
      <c r="M14" s="8">
        <v>7</v>
      </c>
      <c r="N14" s="8">
        <v>10</v>
      </c>
    </row>
    <row r="15" spans="2:14" s="10" customFormat="1" ht="14.25" x14ac:dyDescent="0.45">
      <c r="B15" s="23">
        <v>0</v>
      </c>
      <c r="C15" s="23">
        <v>0</v>
      </c>
      <c r="D15" s="24">
        <f t="shared" si="5"/>
        <v>16</v>
      </c>
      <c r="F15" s="14">
        <v>11</v>
      </c>
      <c r="G15" s="9" t="str">
        <f t="shared" si="0"/>
        <v>SUPER SENIOR</v>
      </c>
      <c r="H15" s="9" t="str">
        <f t="shared" si="1"/>
        <v>JARF</v>
      </c>
      <c r="I15" s="8">
        <f t="shared" si="2"/>
        <v>10</v>
      </c>
      <c r="J15" s="9">
        <f t="shared" si="4"/>
        <v>11</v>
      </c>
      <c r="K15" s="9" t="str">
        <f t="shared" si="3"/>
        <v>THAMJEED TM</v>
      </c>
      <c r="L15" s="5" t="s">
        <v>333</v>
      </c>
      <c r="M15" s="8">
        <v>6</v>
      </c>
      <c r="N15" s="8">
        <v>10</v>
      </c>
    </row>
    <row r="16" spans="2:14" s="10" customFormat="1" ht="14.25" x14ac:dyDescent="0.45">
      <c r="B16" s="17"/>
      <c r="C16" s="17"/>
      <c r="D16" s="21">
        <f>SUBTOTAL(109,Table1[Count])</f>
        <v>33</v>
      </c>
      <c r="F16" s="14">
        <v>12</v>
      </c>
      <c r="G16" s="9" t="str">
        <f t="shared" si="0"/>
        <v>SUPER SENIOR</v>
      </c>
      <c r="H16" s="9" t="str">
        <f t="shared" si="1"/>
        <v>BADF</v>
      </c>
      <c r="I16" s="8">
        <f t="shared" si="2"/>
        <v>10</v>
      </c>
      <c r="J16" s="9">
        <f t="shared" si="4"/>
        <v>12</v>
      </c>
      <c r="K16" s="9" t="str">
        <f t="shared" si="3"/>
        <v>ABOOBACKER SIDDIK</v>
      </c>
      <c r="L16" s="5" t="s">
        <v>317</v>
      </c>
      <c r="M16" s="8">
        <v>5</v>
      </c>
      <c r="N16" s="8">
        <v>10</v>
      </c>
    </row>
    <row r="17" spans="2:14" s="10" customFormat="1" ht="14.25" x14ac:dyDescent="0.45">
      <c r="B17" s="15"/>
      <c r="C17" s="15"/>
      <c r="F17" s="14">
        <v>13</v>
      </c>
      <c r="G17" s="9" t="str">
        <f t="shared" si="0"/>
        <v>SUPER SENIOR</v>
      </c>
      <c r="H17" s="9" t="str">
        <f t="shared" si="1"/>
        <v>BADF</v>
      </c>
      <c r="I17" s="8">
        <f t="shared" si="2"/>
        <v>10</v>
      </c>
      <c r="J17" s="9">
        <f t="shared" si="4"/>
        <v>13</v>
      </c>
      <c r="K17" s="9" t="str">
        <f t="shared" si="3"/>
        <v>ASGAR ALI</v>
      </c>
      <c r="L17" s="5" t="s">
        <v>331</v>
      </c>
      <c r="M17" s="8">
        <v>4</v>
      </c>
      <c r="N17" s="8">
        <v>10</v>
      </c>
    </row>
    <row r="18" spans="2:14" s="10" customFormat="1" ht="14.25" x14ac:dyDescent="0.45">
      <c r="B18" s="15"/>
      <c r="C18" s="15"/>
      <c r="E18" s="15"/>
      <c r="F18" s="14">
        <v>14</v>
      </c>
      <c r="G18" s="9" t="str">
        <f t="shared" si="0"/>
        <v>SUPER SENIOR</v>
      </c>
      <c r="H18" s="9" t="str">
        <f t="shared" si="1"/>
        <v>DAHF</v>
      </c>
      <c r="I18" s="8">
        <f t="shared" si="2"/>
        <v>10</v>
      </c>
      <c r="J18" s="9">
        <f t="shared" si="4"/>
        <v>14</v>
      </c>
      <c r="K18" s="9" t="str">
        <f t="shared" si="3"/>
        <v>MUHAMMED SIFARATH T A</v>
      </c>
      <c r="L18" s="5" t="s">
        <v>334</v>
      </c>
      <c r="M18" s="8">
        <v>3</v>
      </c>
      <c r="N18" s="8">
        <v>10</v>
      </c>
    </row>
    <row r="19" spans="2:14" s="10" customFormat="1" ht="14.25" x14ac:dyDescent="0.45">
      <c r="B19" s="15"/>
      <c r="F19" s="14">
        <v>15</v>
      </c>
      <c r="G19" s="9" t="str">
        <f t="shared" si="0"/>
        <v>SUPER SENIOR</v>
      </c>
      <c r="H19" s="9" t="str">
        <f t="shared" si="1"/>
        <v>FANT</v>
      </c>
      <c r="I19" s="8">
        <f t="shared" si="2"/>
        <v>10</v>
      </c>
      <c r="J19" s="9">
        <f t="shared" si="4"/>
        <v>15</v>
      </c>
      <c r="K19" s="9" t="str">
        <f t="shared" si="3"/>
        <v>MOHAMMED ANFAHUDEEN T.A</v>
      </c>
      <c r="L19" s="5" t="s">
        <v>41</v>
      </c>
      <c r="M19" s="8">
        <v>2</v>
      </c>
      <c r="N19" s="8">
        <v>10</v>
      </c>
    </row>
    <row r="20" spans="2:14" s="10" customFormat="1" ht="14.25" x14ac:dyDescent="0.45">
      <c r="B20" s="15"/>
      <c r="C20" s="15"/>
      <c r="F20" s="14">
        <v>16</v>
      </c>
      <c r="G20" s="9" t="str">
        <f t="shared" si="0"/>
        <v>SUPER SENIOR</v>
      </c>
      <c r="H20" s="9" t="str">
        <f t="shared" si="1"/>
        <v>DAHF</v>
      </c>
      <c r="I20" s="8">
        <f t="shared" si="2"/>
        <v>10</v>
      </c>
      <c r="J20" s="9">
        <f t="shared" si="4"/>
        <v>15</v>
      </c>
      <c r="K20" s="9" t="str">
        <f t="shared" si="3"/>
        <v>MUHAMMED MUFEED</v>
      </c>
      <c r="L20" s="5" t="s">
        <v>42</v>
      </c>
      <c r="M20" s="8">
        <v>2</v>
      </c>
      <c r="N20" s="8">
        <v>10</v>
      </c>
    </row>
    <row r="21" spans="2:14" s="10" customFormat="1" ht="14.25" x14ac:dyDescent="0.45">
      <c r="B21" s="15"/>
      <c r="C21" s="15"/>
      <c r="F21" s="14">
        <v>17</v>
      </c>
      <c r="G21" s="9" t="str">
        <f t="shared" si="0"/>
        <v>SUPER SENIOR</v>
      </c>
      <c r="H21" s="9" t="str">
        <f t="shared" si="1"/>
        <v>DAHF</v>
      </c>
      <c r="I21" s="8">
        <f t="shared" si="2"/>
        <v>10</v>
      </c>
      <c r="J21" s="9">
        <f t="shared" si="4"/>
        <v>17</v>
      </c>
      <c r="K21" s="9" t="str">
        <f t="shared" si="3"/>
        <v>MUHAMMED SAJJAD</v>
      </c>
      <c r="L21" s="5" t="s">
        <v>324</v>
      </c>
      <c r="M21" s="8">
        <v>1</v>
      </c>
      <c r="N21" s="8">
        <v>10</v>
      </c>
    </row>
    <row r="22" spans="2:14" s="10" customFormat="1" ht="14.25" x14ac:dyDescent="0.45">
      <c r="B22" s="15"/>
      <c r="C22" s="15"/>
      <c r="F22" s="14">
        <v>18</v>
      </c>
      <c r="G22" s="9" t="str">
        <f t="shared" si="0"/>
        <v>SUPER SENIOR</v>
      </c>
      <c r="H22" s="9" t="str">
        <f t="shared" si="1"/>
        <v>JARF</v>
      </c>
      <c r="I22" s="8">
        <f t="shared" si="2"/>
        <v>10</v>
      </c>
      <c r="J22" s="9">
        <f t="shared" si="4"/>
        <v>18</v>
      </c>
      <c r="K22" s="9" t="str">
        <f t="shared" si="3"/>
        <v>AHAMED ASIF M</v>
      </c>
      <c r="L22" s="5" t="s">
        <v>325</v>
      </c>
      <c r="M22" s="8">
        <v>0</v>
      </c>
      <c r="N22" s="8">
        <v>10</v>
      </c>
    </row>
    <row r="23" spans="2:14" s="10" customFormat="1" ht="14.25" x14ac:dyDescent="0.45">
      <c r="B23" s="15"/>
      <c r="C23" s="15"/>
      <c r="F23" s="14">
        <v>19</v>
      </c>
      <c r="G23" s="9" t="str">
        <f t="shared" si="0"/>
        <v>SUPER SENIOR</v>
      </c>
      <c r="H23" s="9" t="str">
        <f t="shared" si="1"/>
        <v>FANT</v>
      </c>
      <c r="I23" s="8">
        <f t="shared" si="2"/>
        <v>10</v>
      </c>
      <c r="J23" s="9">
        <f t="shared" si="4"/>
        <v>18</v>
      </c>
      <c r="K23" s="9" t="str">
        <f t="shared" si="3"/>
        <v>ATHIF ABDULKHADER</v>
      </c>
      <c r="L23" s="5" t="s">
        <v>323</v>
      </c>
      <c r="M23" s="8">
        <v>0</v>
      </c>
      <c r="N23" s="8">
        <v>10</v>
      </c>
    </row>
    <row r="24" spans="2:14" s="10" customFormat="1" ht="14.25" x14ac:dyDescent="0.45">
      <c r="B24" s="15"/>
      <c r="C24" s="15"/>
      <c r="F24" s="14">
        <v>20</v>
      </c>
      <c r="G24" s="9" t="str">
        <f t="shared" si="0"/>
        <v>SUPER SENIOR</v>
      </c>
      <c r="H24" s="9" t="str">
        <f t="shared" si="1"/>
        <v>FANT</v>
      </c>
      <c r="I24" s="8">
        <f t="shared" si="2"/>
        <v>10</v>
      </c>
      <c r="J24" s="9">
        <f t="shared" si="4"/>
        <v>18</v>
      </c>
      <c r="K24" s="9" t="str">
        <f t="shared" si="3"/>
        <v>AHMED MANHAL HUSSAIN</v>
      </c>
      <c r="L24" s="5" t="s">
        <v>330</v>
      </c>
      <c r="M24" s="8">
        <v>0</v>
      </c>
      <c r="N24" s="8">
        <v>10</v>
      </c>
    </row>
    <row r="25" spans="2:14" s="10" customFormat="1" ht="14.25" x14ac:dyDescent="0.45">
      <c r="B25" s="15"/>
      <c r="C25" s="15"/>
      <c r="F25" s="14">
        <v>21</v>
      </c>
      <c r="G25" s="9" t="str">
        <f t="shared" si="0"/>
        <v>SUPER SENIOR</v>
      </c>
      <c r="H25" s="9" t="str">
        <f t="shared" si="1"/>
        <v>JARF</v>
      </c>
      <c r="I25" s="8">
        <f t="shared" si="2"/>
        <v>10</v>
      </c>
      <c r="J25" s="9">
        <f t="shared" si="4"/>
        <v>18</v>
      </c>
      <c r="K25" s="9" t="str">
        <f t="shared" si="3"/>
        <v>MUHAMMED ABDUL GHANI M.A</v>
      </c>
      <c r="L25" s="5" t="s">
        <v>335</v>
      </c>
      <c r="M25" s="8">
        <v>0</v>
      </c>
      <c r="N25" s="8">
        <v>10</v>
      </c>
    </row>
    <row r="26" spans="2:14" s="10" customFormat="1" ht="14.25" x14ac:dyDescent="0.45">
      <c r="B26" s="15"/>
      <c r="C26" s="15"/>
      <c r="F26" s="14">
        <v>22</v>
      </c>
      <c r="G26" s="9" t="str">
        <f t="shared" si="0"/>
        <v>SUPER SENIOR</v>
      </c>
      <c r="H26" s="9" t="str">
        <f t="shared" si="1"/>
        <v>FANT</v>
      </c>
      <c r="I26" s="8">
        <f t="shared" si="2"/>
        <v>10</v>
      </c>
      <c r="J26" s="9">
        <f t="shared" si="4"/>
        <v>18</v>
      </c>
      <c r="K26" s="9" t="str">
        <f t="shared" si="3"/>
        <v>YASEEN</v>
      </c>
      <c r="L26" s="5" t="s">
        <v>44</v>
      </c>
      <c r="M26" s="8">
        <v>0</v>
      </c>
      <c r="N26" s="8">
        <v>10</v>
      </c>
    </row>
    <row r="27" spans="2:14" s="10" customFormat="1" ht="14.25" x14ac:dyDescent="0.45">
      <c r="B27" s="15"/>
      <c r="C27" s="15"/>
      <c r="F27" s="14">
        <v>23</v>
      </c>
      <c r="G27" s="9" t="str">
        <f t="shared" si="0"/>
        <v>SUPER SENIOR</v>
      </c>
      <c r="H27" s="9" t="str">
        <f t="shared" si="1"/>
        <v>BADF</v>
      </c>
      <c r="I27" s="8">
        <f t="shared" si="2"/>
        <v>10</v>
      </c>
      <c r="J27" s="9">
        <f t="shared" si="4"/>
        <v>18</v>
      </c>
      <c r="K27" s="9" t="str">
        <f t="shared" si="3"/>
        <v>MOHAMMED AMEEN B.A</v>
      </c>
      <c r="L27" s="5" t="s">
        <v>332</v>
      </c>
      <c r="M27" s="8">
        <v>0</v>
      </c>
      <c r="N27" s="8">
        <v>10</v>
      </c>
    </row>
    <row r="28" spans="2:14" s="10" customFormat="1" ht="14.25" x14ac:dyDescent="0.45">
      <c r="B28" s="15"/>
      <c r="C28" s="15"/>
      <c r="F28" s="14">
        <v>24</v>
      </c>
      <c r="G28" s="9" t="str">
        <f t="shared" si="0"/>
        <v>SUPER SENIOR</v>
      </c>
      <c r="H28" s="9" t="str">
        <f t="shared" si="1"/>
        <v>DAHF</v>
      </c>
      <c r="I28" s="8">
        <f t="shared" si="2"/>
        <v>10</v>
      </c>
      <c r="J28" s="9">
        <f t="shared" si="4"/>
        <v>18</v>
      </c>
      <c r="K28" s="9" t="str">
        <f t="shared" si="3"/>
        <v>MUHAMMED AKBAR NP</v>
      </c>
      <c r="L28" s="5" t="s">
        <v>322</v>
      </c>
      <c r="M28" s="8">
        <v>0</v>
      </c>
      <c r="N28" s="8">
        <v>10</v>
      </c>
    </row>
    <row r="29" spans="2:14" s="10" customFormat="1" ht="14.25" x14ac:dyDescent="0.45">
      <c r="B29" s="15"/>
      <c r="C29" s="15"/>
      <c r="F29" s="14">
        <v>25</v>
      </c>
      <c r="G29" s="9" t="str">
        <f t="shared" si="0"/>
        <v>SUPER SENIOR</v>
      </c>
      <c r="H29" s="9" t="str">
        <f t="shared" si="1"/>
        <v>JARF</v>
      </c>
      <c r="I29" s="8">
        <f t="shared" si="2"/>
        <v>10</v>
      </c>
      <c r="J29" s="9">
        <f t="shared" si="4"/>
        <v>18</v>
      </c>
      <c r="K29" s="9" t="str">
        <f t="shared" si="3"/>
        <v>AHMAD BINYAMUL ASHIQUE</v>
      </c>
      <c r="L29" s="5" t="s">
        <v>313</v>
      </c>
      <c r="M29" s="8">
        <v>0</v>
      </c>
      <c r="N29" s="8">
        <v>10</v>
      </c>
    </row>
    <row r="30" spans="2:14" s="10" customFormat="1" ht="14.25" x14ac:dyDescent="0.45">
      <c r="B30" s="15"/>
      <c r="C30" s="15"/>
      <c r="F30" s="14">
        <v>26</v>
      </c>
      <c r="G30" s="9" t="str">
        <f t="shared" si="0"/>
        <v>SUPER SENIOR</v>
      </c>
      <c r="H30" s="9" t="str">
        <f t="shared" si="1"/>
        <v>JARF</v>
      </c>
      <c r="I30" s="8">
        <f t="shared" si="2"/>
        <v>10</v>
      </c>
      <c r="J30" s="9">
        <f t="shared" si="4"/>
        <v>18</v>
      </c>
      <c r="K30" s="9" t="str">
        <f t="shared" si="3"/>
        <v>MOHAMMED NASFAR AFNAN H</v>
      </c>
      <c r="L30" s="5" t="s">
        <v>319</v>
      </c>
      <c r="M30" s="8">
        <v>0</v>
      </c>
      <c r="N30" s="8">
        <v>10</v>
      </c>
    </row>
    <row r="31" spans="2:14" s="10" customFormat="1" ht="14.25" x14ac:dyDescent="0.45">
      <c r="B31" s="15"/>
      <c r="C31" s="15"/>
      <c r="F31" s="14">
        <v>27</v>
      </c>
      <c r="G31" s="9" t="str">
        <f t="shared" si="0"/>
        <v>SUPER SENIOR</v>
      </c>
      <c r="H31" s="9" t="str">
        <f t="shared" si="1"/>
        <v>BADF</v>
      </c>
      <c r="I31" s="8">
        <f t="shared" si="2"/>
        <v>10</v>
      </c>
      <c r="J31" s="9">
        <f t="shared" si="4"/>
        <v>18</v>
      </c>
      <c r="K31" s="9" t="str">
        <f t="shared" si="3"/>
        <v>BADRUDHIN A</v>
      </c>
      <c r="L31" s="5" t="s">
        <v>43</v>
      </c>
      <c r="M31" s="8">
        <v>0</v>
      </c>
      <c r="N31" s="8">
        <v>10</v>
      </c>
    </row>
    <row r="32" spans="2:14" s="10" customFormat="1" ht="14.25" x14ac:dyDescent="0.45">
      <c r="B32" s="15"/>
      <c r="C32" s="15"/>
      <c r="F32" s="14">
        <v>28</v>
      </c>
      <c r="G32" s="9" t="str">
        <f t="shared" si="0"/>
        <v>SUPER SENIOR</v>
      </c>
      <c r="H32" s="9">
        <f t="shared" si="1"/>
        <v>0</v>
      </c>
      <c r="I32" s="8">
        <f t="shared" si="2"/>
        <v>10</v>
      </c>
      <c r="J32" s="9">
        <f t="shared" si="4"/>
        <v>18</v>
      </c>
      <c r="K32" s="9" t="str">
        <f t="shared" si="3"/>
        <v>MAHAMMED ASHIK</v>
      </c>
      <c r="L32" s="5" t="s">
        <v>327</v>
      </c>
      <c r="M32" s="8">
        <v>0</v>
      </c>
      <c r="N32" s="8">
        <v>10</v>
      </c>
    </row>
    <row r="33" spans="2:14" s="10" customFormat="1" ht="14.25" x14ac:dyDescent="0.45">
      <c r="B33" s="15"/>
      <c r="C33" s="15"/>
      <c r="F33" s="14">
        <v>29</v>
      </c>
      <c r="G33" s="9" t="str">
        <f t="shared" si="0"/>
        <v>SUPER SENIOR</v>
      </c>
      <c r="H33" s="9" t="str">
        <f t="shared" si="1"/>
        <v>FANT</v>
      </c>
      <c r="I33" s="8">
        <f t="shared" si="2"/>
        <v>10</v>
      </c>
      <c r="J33" s="9">
        <f t="shared" si="4"/>
        <v>18</v>
      </c>
      <c r="K33" s="9" t="str">
        <f t="shared" si="3"/>
        <v>MOHAMMED NAFIH KA</v>
      </c>
      <c r="L33" s="5" t="s">
        <v>314</v>
      </c>
      <c r="M33" s="8">
        <v>0</v>
      </c>
      <c r="N33" s="8">
        <v>10</v>
      </c>
    </row>
    <row r="34" spans="2:14" s="10" customFormat="1" ht="14.25" x14ac:dyDescent="0.45">
      <c r="B34" s="15"/>
      <c r="C34" s="15"/>
      <c r="F34" s="14">
        <v>30</v>
      </c>
      <c r="G34" s="9" t="str">
        <f t="shared" si="0"/>
        <v>SUPER SENIOR</v>
      </c>
      <c r="H34" s="9" t="str">
        <f t="shared" si="1"/>
        <v>DAHF</v>
      </c>
      <c r="I34" s="8">
        <f t="shared" si="2"/>
        <v>10</v>
      </c>
      <c r="J34" s="9">
        <f t="shared" si="4"/>
        <v>18</v>
      </c>
      <c r="K34" s="9" t="str">
        <f t="shared" si="3"/>
        <v>MUHAMMED ASHFAK K</v>
      </c>
      <c r="L34" s="5" t="s">
        <v>339</v>
      </c>
      <c r="M34" s="8">
        <v>0</v>
      </c>
      <c r="N34" s="8">
        <v>10</v>
      </c>
    </row>
    <row r="35" spans="2:14" ht="14.25" x14ac:dyDescent="0.45">
      <c r="D35" s="10"/>
      <c r="F35" s="14">
        <v>31</v>
      </c>
      <c r="G35" s="9" t="str">
        <f t="shared" si="0"/>
        <v>SUPER SENIOR</v>
      </c>
      <c r="H35" s="9" t="str">
        <f t="shared" si="1"/>
        <v>BADF</v>
      </c>
      <c r="I35" s="8">
        <f t="shared" si="2"/>
        <v>10</v>
      </c>
      <c r="J35" s="9">
        <f t="shared" si="4"/>
        <v>18</v>
      </c>
      <c r="K35" s="9" t="str">
        <f t="shared" si="3"/>
        <v>Simsarul Haq VPM</v>
      </c>
      <c r="L35" s="5" t="s">
        <v>341</v>
      </c>
      <c r="M35" s="8">
        <v>0</v>
      </c>
      <c r="N35" s="8">
        <v>10</v>
      </c>
    </row>
    <row r="36" spans="2:14" ht="14.25" x14ac:dyDescent="0.45">
      <c r="F36" s="14">
        <v>32</v>
      </c>
      <c r="G36" s="9" t="str">
        <f t="shared" si="0"/>
        <v>SUPER SENIOR</v>
      </c>
      <c r="H36" s="9" t="str">
        <f t="shared" si="1"/>
        <v>BADF</v>
      </c>
      <c r="I36" s="8">
        <f t="shared" si="2"/>
        <v>10</v>
      </c>
      <c r="J36" s="9">
        <f t="shared" si="4"/>
        <v>18</v>
      </c>
      <c r="K36" s="9" t="str">
        <f t="shared" si="3"/>
        <v>MUHAMMED AYIZ</v>
      </c>
      <c r="L36" s="5" t="s">
        <v>315</v>
      </c>
      <c r="M36" s="8">
        <v>0</v>
      </c>
      <c r="N36" s="8">
        <v>10</v>
      </c>
    </row>
    <row r="37" spans="2:14" ht="14.25" x14ac:dyDescent="0.45">
      <c r="F37" s="14">
        <v>33</v>
      </c>
      <c r="G37" s="9" t="str">
        <f t="shared" si="0"/>
        <v>SUPER SENIOR</v>
      </c>
      <c r="H37" s="9" t="str">
        <f t="shared" si="1"/>
        <v>DAHF</v>
      </c>
      <c r="I37" s="8">
        <f t="shared" si="2"/>
        <v>10</v>
      </c>
      <c r="J37" s="9">
        <f t="shared" si="4"/>
        <v>18</v>
      </c>
      <c r="K37" s="9" t="str">
        <f t="shared" si="3"/>
        <v>ABDUL RAHMAN</v>
      </c>
      <c r="L37" s="5" t="s">
        <v>329</v>
      </c>
      <c r="M37" s="8">
        <v>0</v>
      </c>
      <c r="N37" s="8">
        <v>10</v>
      </c>
    </row>
    <row r="38" spans="2:14" ht="14.25" x14ac:dyDescent="0.45">
      <c r="F38" s="14"/>
      <c r="G38" s="9">
        <f t="shared" si="0"/>
        <v>0</v>
      </c>
      <c r="H38" s="9">
        <f t="shared" si="1"/>
        <v>0</v>
      </c>
      <c r="I38" s="8">
        <f t="shared" si="2"/>
        <v>0</v>
      </c>
      <c r="J38" s="9" t="str">
        <f t="shared" si="4"/>
        <v/>
      </c>
      <c r="K38" s="9">
        <f t="shared" si="3"/>
        <v>0</v>
      </c>
      <c r="L38"/>
      <c r="M38"/>
      <c r="N38"/>
    </row>
    <row r="39" spans="2:14" ht="14.25" x14ac:dyDescent="0.45">
      <c r="F39" s="14"/>
      <c r="G39" s="9">
        <f t="shared" si="0"/>
        <v>0</v>
      </c>
      <c r="H39" s="9">
        <f t="shared" si="1"/>
        <v>0</v>
      </c>
      <c r="I39" s="8">
        <f t="shared" si="2"/>
        <v>0</v>
      </c>
      <c r="J39" s="9" t="str">
        <f t="shared" si="4"/>
        <v/>
      </c>
      <c r="K39" s="9">
        <f t="shared" si="3"/>
        <v>0</v>
      </c>
      <c r="L39"/>
      <c r="M39"/>
      <c r="N39"/>
    </row>
    <row r="40" spans="2:14" ht="14.25" x14ac:dyDescent="0.45">
      <c r="F40" s="14"/>
      <c r="G40" s="9">
        <f t="shared" si="0"/>
        <v>0</v>
      </c>
      <c r="H40" s="9">
        <f t="shared" si="1"/>
        <v>0</v>
      </c>
      <c r="I40" s="8">
        <f t="shared" si="2"/>
        <v>0</v>
      </c>
      <c r="J40" s="9" t="str">
        <f t="shared" si="4"/>
        <v/>
      </c>
      <c r="K40" s="9">
        <f t="shared" si="3"/>
        <v>0</v>
      </c>
      <c r="L40"/>
      <c r="M40"/>
      <c r="N40"/>
    </row>
    <row r="41" spans="2:14" ht="14.25" x14ac:dyDescent="0.45">
      <c r="F41" s="14"/>
      <c r="G41" s="9">
        <f t="shared" si="0"/>
        <v>0</v>
      </c>
      <c r="H41" s="9">
        <f t="shared" si="1"/>
        <v>0</v>
      </c>
      <c r="I41" s="8">
        <f t="shared" si="2"/>
        <v>0</v>
      </c>
      <c r="J41" s="9" t="str">
        <f t="shared" si="4"/>
        <v/>
      </c>
      <c r="K41" s="9">
        <f t="shared" si="3"/>
        <v>0</v>
      </c>
      <c r="L41"/>
      <c r="M41"/>
      <c r="N41"/>
    </row>
    <row r="42" spans="2:14" ht="14.25" x14ac:dyDescent="0.45">
      <c r="F42" s="14"/>
      <c r="G42" s="9">
        <f t="shared" si="0"/>
        <v>0</v>
      </c>
      <c r="H42" s="9">
        <f t="shared" si="1"/>
        <v>0</v>
      </c>
      <c r="I42" s="8">
        <f t="shared" si="2"/>
        <v>0</v>
      </c>
      <c r="J42" s="9" t="str">
        <f t="shared" si="4"/>
        <v/>
      </c>
      <c r="K42" s="9">
        <f t="shared" si="3"/>
        <v>0</v>
      </c>
      <c r="L42"/>
      <c r="M42"/>
      <c r="N42"/>
    </row>
    <row r="43" spans="2:14" ht="14.25" x14ac:dyDescent="0.45">
      <c r="F43" s="14"/>
      <c r="G43" s="9">
        <f t="shared" si="0"/>
        <v>0</v>
      </c>
      <c r="H43" s="9">
        <f t="shared" si="1"/>
        <v>0</v>
      </c>
      <c r="I43" s="8">
        <f t="shared" si="2"/>
        <v>0</v>
      </c>
      <c r="J43" s="9" t="str">
        <f t="shared" si="4"/>
        <v/>
      </c>
      <c r="K43" s="9">
        <f t="shared" si="3"/>
        <v>0</v>
      </c>
      <c r="L43"/>
      <c r="M43"/>
      <c r="N43"/>
    </row>
    <row r="44" spans="2:14" ht="14.25" x14ac:dyDescent="0.45">
      <c r="F44" s="14"/>
      <c r="G44" s="9">
        <f t="shared" si="0"/>
        <v>0</v>
      </c>
      <c r="H44" s="9">
        <f t="shared" si="1"/>
        <v>0</v>
      </c>
      <c r="I44" s="8">
        <f t="shared" si="2"/>
        <v>0</v>
      </c>
      <c r="J44" s="9" t="str">
        <f t="shared" si="4"/>
        <v/>
      </c>
      <c r="K44" s="9">
        <f t="shared" si="3"/>
        <v>0</v>
      </c>
      <c r="L44"/>
      <c r="M44"/>
      <c r="N44"/>
    </row>
    <row r="45" spans="2:14" ht="14.25" x14ac:dyDescent="0.45">
      <c r="F45" s="14"/>
      <c r="G45" s="9">
        <f t="shared" si="0"/>
        <v>0</v>
      </c>
      <c r="H45" s="9">
        <f t="shared" si="1"/>
        <v>0</v>
      </c>
      <c r="I45" s="8">
        <f t="shared" si="2"/>
        <v>0</v>
      </c>
      <c r="J45" s="9" t="str">
        <f t="shared" si="4"/>
        <v/>
      </c>
      <c r="K45" s="9">
        <f t="shared" si="3"/>
        <v>0</v>
      </c>
      <c r="L45"/>
      <c r="M45"/>
      <c r="N45"/>
    </row>
    <row r="46" spans="2:14" ht="14.25" x14ac:dyDescent="0.45">
      <c r="F46" s="14"/>
      <c r="G46" s="9">
        <f t="shared" si="0"/>
        <v>0</v>
      </c>
      <c r="H46" s="9">
        <f t="shared" si="1"/>
        <v>0</v>
      </c>
      <c r="I46" s="8">
        <f t="shared" si="2"/>
        <v>0</v>
      </c>
      <c r="J46" s="9" t="str">
        <f t="shared" si="4"/>
        <v/>
      </c>
      <c r="K46" s="9">
        <f t="shared" si="3"/>
        <v>0</v>
      </c>
      <c r="L46"/>
      <c r="M46"/>
      <c r="N46"/>
    </row>
    <row r="47" spans="2:14" ht="14.25" x14ac:dyDescent="0.45">
      <c r="F47" s="14"/>
      <c r="G47" s="9">
        <f t="shared" si="0"/>
        <v>0</v>
      </c>
      <c r="H47" s="9">
        <f t="shared" si="1"/>
        <v>0</v>
      </c>
      <c r="I47" s="8">
        <f t="shared" si="2"/>
        <v>0</v>
      </c>
      <c r="J47" s="9" t="str">
        <f t="shared" si="4"/>
        <v/>
      </c>
      <c r="K47" s="9">
        <f t="shared" si="3"/>
        <v>0</v>
      </c>
      <c r="L47"/>
      <c r="M47"/>
      <c r="N47"/>
    </row>
    <row r="48" spans="2:14" ht="14.25" x14ac:dyDescent="0.45">
      <c r="F48" s="14"/>
      <c r="G48" s="9">
        <f t="shared" si="0"/>
        <v>0</v>
      </c>
      <c r="H48" s="9">
        <f t="shared" si="1"/>
        <v>0</v>
      </c>
      <c r="I48" s="8">
        <f t="shared" si="2"/>
        <v>0</v>
      </c>
      <c r="J48" s="9" t="str">
        <f t="shared" si="4"/>
        <v/>
      </c>
      <c r="K48" s="9">
        <f t="shared" si="3"/>
        <v>0</v>
      </c>
      <c r="L48"/>
      <c r="M48"/>
      <c r="N48"/>
    </row>
    <row r="49" spans="6:14" ht="14.25" x14ac:dyDescent="0.45">
      <c r="F49" s="14"/>
      <c r="G49" s="9">
        <f t="shared" si="0"/>
        <v>0</v>
      </c>
      <c r="H49" s="9">
        <f t="shared" si="1"/>
        <v>0</v>
      </c>
      <c r="I49" s="8">
        <f t="shared" si="2"/>
        <v>0</v>
      </c>
      <c r="J49" s="9" t="str">
        <f t="shared" si="4"/>
        <v/>
      </c>
      <c r="K49" s="9">
        <f t="shared" si="3"/>
        <v>0</v>
      </c>
      <c r="L49"/>
      <c r="M49"/>
      <c r="N49"/>
    </row>
    <row r="50" spans="6:14" ht="14.25" x14ac:dyDescent="0.45">
      <c r="F50" s="14"/>
      <c r="G50" s="9">
        <f t="shared" si="0"/>
        <v>0</v>
      </c>
      <c r="H50" s="9">
        <f t="shared" si="1"/>
        <v>0</v>
      </c>
      <c r="I50" s="8">
        <f t="shared" si="2"/>
        <v>0</v>
      </c>
      <c r="J50" s="9" t="str">
        <f t="shared" si="4"/>
        <v/>
      </c>
      <c r="K50" s="9">
        <f t="shared" si="3"/>
        <v>0</v>
      </c>
      <c r="L50"/>
      <c r="M50"/>
      <c r="N50"/>
    </row>
    <row r="51" spans="6:14" ht="14.25" x14ac:dyDescent="0.45">
      <c r="F51" s="14"/>
      <c r="G51" s="9">
        <f t="shared" si="0"/>
        <v>0</v>
      </c>
      <c r="H51" s="9">
        <f t="shared" si="1"/>
        <v>0</v>
      </c>
      <c r="I51" s="8">
        <f t="shared" si="2"/>
        <v>0</v>
      </c>
      <c r="J51" s="9" t="str">
        <f t="shared" si="4"/>
        <v/>
      </c>
      <c r="K51" s="9">
        <f t="shared" si="3"/>
        <v>0</v>
      </c>
      <c r="L51"/>
      <c r="M51"/>
      <c r="N51"/>
    </row>
    <row r="52" spans="6:14" ht="14.25" x14ac:dyDescent="0.45">
      <c r="F52" s="14"/>
      <c r="G52" s="9">
        <f t="shared" si="0"/>
        <v>0</v>
      </c>
      <c r="H52" s="9">
        <f t="shared" si="1"/>
        <v>0</v>
      </c>
      <c r="I52" s="8">
        <f t="shared" si="2"/>
        <v>0</v>
      </c>
      <c r="J52" s="9" t="str">
        <f t="shared" si="4"/>
        <v/>
      </c>
      <c r="K52" s="9">
        <f t="shared" si="3"/>
        <v>0</v>
      </c>
      <c r="L52"/>
      <c r="M52"/>
      <c r="N52"/>
    </row>
    <row r="53" spans="6:14" ht="14.25" x14ac:dyDescent="0.45">
      <c r="F53" s="14"/>
      <c r="G53" s="9">
        <f t="shared" si="0"/>
        <v>0</v>
      </c>
      <c r="H53" s="9">
        <f t="shared" si="1"/>
        <v>0</v>
      </c>
      <c r="I53" s="8">
        <f t="shared" si="2"/>
        <v>0</v>
      </c>
      <c r="J53" s="9" t="str">
        <f t="shared" si="4"/>
        <v/>
      </c>
      <c r="K53" s="9">
        <f t="shared" si="3"/>
        <v>0</v>
      </c>
      <c r="L53"/>
      <c r="M53"/>
      <c r="N53"/>
    </row>
    <row r="54" spans="6:14" ht="14.25" x14ac:dyDescent="0.45">
      <c r="F54" s="14"/>
      <c r="G54" s="9">
        <f t="shared" si="0"/>
        <v>0</v>
      </c>
      <c r="H54" s="9">
        <f t="shared" si="1"/>
        <v>0</v>
      </c>
      <c r="I54" s="8">
        <f t="shared" si="2"/>
        <v>0</v>
      </c>
      <c r="J54" s="9" t="str">
        <f t="shared" si="4"/>
        <v/>
      </c>
      <c r="K54" s="9">
        <f t="shared" si="3"/>
        <v>0</v>
      </c>
      <c r="L54"/>
      <c r="M54"/>
      <c r="N54"/>
    </row>
    <row r="55" spans="6:14" ht="14.25" x14ac:dyDescent="0.45">
      <c r="F55" s="14"/>
      <c r="G55" s="9">
        <f t="shared" si="0"/>
        <v>0</v>
      </c>
      <c r="H55" s="9">
        <f t="shared" si="1"/>
        <v>0</v>
      </c>
      <c r="I55" s="8">
        <f t="shared" si="2"/>
        <v>0</v>
      </c>
      <c r="J55" s="9" t="str">
        <f t="shared" si="4"/>
        <v/>
      </c>
      <c r="K55" s="9">
        <f t="shared" si="3"/>
        <v>0</v>
      </c>
      <c r="L55"/>
      <c r="M55"/>
      <c r="N55"/>
    </row>
    <row r="56" spans="6:14" ht="14.25" x14ac:dyDescent="0.45">
      <c r="F56" s="14"/>
      <c r="G56" s="9">
        <f t="shared" si="0"/>
        <v>0</v>
      </c>
      <c r="H56" s="9">
        <f t="shared" si="1"/>
        <v>0</v>
      </c>
      <c r="I56" s="8">
        <f t="shared" si="2"/>
        <v>0</v>
      </c>
      <c r="J56" s="9" t="str">
        <f t="shared" si="4"/>
        <v/>
      </c>
      <c r="K56" s="9">
        <f t="shared" si="3"/>
        <v>0</v>
      </c>
      <c r="L56"/>
      <c r="M56"/>
      <c r="N56"/>
    </row>
    <row r="57" spans="6:14" ht="14.25" x14ac:dyDescent="0.45">
      <c r="F57" s="14"/>
      <c r="G57" s="9">
        <f t="shared" si="0"/>
        <v>0</v>
      </c>
      <c r="H57" s="9">
        <f t="shared" si="1"/>
        <v>0</v>
      </c>
      <c r="I57" s="8">
        <f t="shared" si="2"/>
        <v>0</v>
      </c>
      <c r="J57" s="9" t="str">
        <f t="shared" si="4"/>
        <v/>
      </c>
      <c r="K57" s="9">
        <f t="shared" si="3"/>
        <v>0</v>
      </c>
      <c r="L57"/>
      <c r="M57"/>
      <c r="N57"/>
    </row>
    <row r="58" spans="6:14" ht="14.25" x14ac:dyDescent="0.45">
      <c r="F58" s="14"/>
      <c r="G58" s="9">
        <f t="shared" si="0"/>
        <v>0</v>
      </c>
      <c r="H58" s="9">
        <f t="shared" si="1"/>
        <v>0</v>
      </c>
      <c r="I58" s="8">
        <f t="shared" si="2"/>
        <v>0</v>
      </c>
      <c r="J58" s="9" t="str">
        <f t="shared" si="4"/>
        <v/>
      </c>
      <c r="K58" s="9">
        <f t="shared" si="3"/>
        <v>0</v>
      </c>
      <c r="L58"/>
      <c r="M58"/>
      <c r="N58"/>
    </row>
    <row r="59" spans="6:14" ht="14.25" x14ac:dyDescent="0.45">
      <c r="F59" s="14"/>
      <c r="G59" s="9">
        <f t="shared" si="0"/>
        <v>0</v>
      </c>
      <c r="H59" s="9">
        <f t="shared" si="1"/>
        <v>0</v>
      </c>
      <c r="I59" s="8">
        <f t="shared" si="2"/>
        <v>0</v>
      </c>
      <c r="J59" s="9" t="str">
        <f t="shared" si="4"/>
        <v/>
      </c>
      <c r="K59" s="9">
        <f t="shared" si="3"/>
        <v>0</v>
      </c>
      <c r="L59"/>
      <c r="M59"/>
      <c r="N59"/>
    </row>
    <row r="60" spans="6:14" ht="14.25" x14ac:dyDescent="0.45">
      <c r="F60" s="14"/>
      <c r="G60" s="9">
        <f t="shared" si="0"/>
        <v>0</v>
      </c>
      <c r="H60" s="9">
        <f t="shared" si="1"/>
        <v>0</v>
      </c>
      <c r="I60" s="8">
        <f t="shared" si="2"/>
        <v>0</v>
      </c>
      <c r="J60" s="9" t="str">
        <f t="shared" si="4"/>
        <v/>
      </c>
      <c r="K60" s="9">
        <f t="shared" si="3"/>
        <v>0</v>
      </c>
      <c r="L60"/>
      <c r="M60"/>
      <c r="N60"/>
    </row>
    <row r="61" spans="6:14" ht="14.25" x14ac:dyDescent="0.45">
      <c r="F61" s="14"/>
      <c r="G61" s="9">
        <f t="shared" si="0"/>
        <v>0</v>
      </c>
      <c r="H61" s="9">
        <f t="shared" si="1"/>
        <v>0</v>
      </c>
      <c r="I61" s="8">
        <f t="shared" si="2"/>
        <v>0</v>
      </c>
      <c r="J61" s="9" t="str">
        <f t="shared" si="4"/>
        <v/>
      </c>
      <c r="K61" s="9">
        <f t="shared" si="3"/>
        <v>0</v>
      </c>
      <c r="L61"/>
      <c r="M61"/>
      <c r="N61"/>
    </row>
    <row r="62" spans="6:14" ht="14.25" x14ac:dyDescent="0.45">
      <c r="F62" s="14"/>
      <c r="G62" s="9">
        <f t="shared" si="0"/>
        <v>0</v>
      </c>
      <c r="H62" s="9">
        <f t="shared" si="1"/>
        <v>0</v>
      </c>
      <c r="I62" s="8">
        <f t="shared" si="2"/>
        <v>0</v>
      </c>
      <c r="J62" s="9" t="str">
        <f t="shared" si="4"/>
        <v/>
      </c>
      <c r="K62" s="9">
        <f t="shared" si="3"/>
        <v>0</v>
      </c>
      <c r="L62"/>
      <c r="M62"/>
      <c r="N62"/>
    </row>
    <row r="63" spans="6:14" ht="14.25" x14ac:dyDescent="0.45">
      <c r="F63" s="14"/>
      <c r="G63" s="9">
        <f t="shared" si="0"/>
        <v>0</v>
      </c>
      <c r="H63" s="9">
        <f t="shared" si="1"/>
        <v>0</v>
      </c>
      <c r="I63" s="8">
        <f t="shared" si="2"/>
        <v>0</v>
      </c>
      <c r="J63" s="9" t="str">
        <f t="shared" si="4"/>
        <v/>
      </c>
      <c r="K63" s="9">
        <f t="shared" si="3"/>
        <v>0</v>
      </c>
      <c r="L63"/>
      <c r="M63"/>
      <c r="N63"/>
    </row>
    <row r="64" spans="6:14" ht="14.25" x14ac:dyDescent="0.45">
      <c r="F64" s="14"/>
      <c r="G64" s="9">
        <f t="shared" si="0"/>
        <v>0</v>
      </c>
      <c r="H64" s="9">
        <f t="shared" si="1"/>
        <v>0</v>
      </c>
      <c r="I64" s="8">
        <f t="shared" si="2"/>
        <v>0</v>
      </c>
      <c r="J64" s="9" t="str">
        <f t="shared" si="4"/>
        <v/>
      </c>
      <c r="K64" s="9">
        <f t="shared" si="3"/>
        <v>0</v>
      </c>
      <c r="L64"/>
      <c r="M64"/>
      <c r="N64"/>
    </row>
    <row r="65" spans="6:14" ht="14.25" x14ac:dyDescent="0.45">
      <c r="F65" s="14"/>
      <c r="G65" s="9">
        <f t="shared" si="0"/>
        <v>0</v>
      </c>
      <c r="H65" s="9">
        <f t="shared" si="1"/>
        <v>0</v>
      </c>
      <c r="I65" s="8">
        <f t="shared" si="2"/>
        <v>0</v>
      </c>
      <c r="J65" s="9" t="str">
        <f t="shared" si="4"/>
        <v/>
      </c>
      <c r="K65" s="9">
        <f t="shared" si="3"/>
        <v>0</v>
      </c>
      <c r="L65"/>
      <c r="M65"/>
      <c r="N65"/>
    </row>
    <row r="66" spans="6:14" ht="14.25" x14ac:dyDescent="0.45">
      <c r="F66" s="14"/>
      <c r="G66" s="9">
        <f t="shared" si="0"/>
        <v>0</v>
      </c>
      <c r="H66" s="9">
        <f t="shared" si="1"/>
        <v>0</v>
      </c>
      <c r="I66" s="8">
        <f t="shared" si="2"/>
        <v>0</v>
      </c>
      <c r="J66" s="9" t="str">
        <f t="shared" si="4"/>
        <v/>
      </c>
      <c r="K66" s="9">
        <f t="shared" si="3"/>
        <v>0</v>
      </c>
      <c r="L66"/>
      <c r="M66"/>
      <c r="N66"/>
    </row>
    <row r="67" spans="6:14" ht="14.25" x14ac:dyDescent="0.45">
      <c r="F67" s="14"/>
      <c r="G67" s="9">
        <f t="shared" si="0"/>
        <v>0</v>
      </c>
      <c r="H67" s="9">
        <f t="shared" si="1"/>
        <v>0</v>
      </c>
      <c r="I67" s="8">
        <f t="shared" si="2"/>
        <v>0</v>
      </c>
      <c r="J67" s="9" t="str">
        <f t="shared" si="4"/>
        <v/>
      </c>
      <c r="K67" s="9">
        <f t="shared" si="3"/>
        <v>0</v>
      </c>
      <c r="L67"/>
      <c r="M67"/>
      <c r="N67"/>
    </row>
    <row r="68" spans="6:14" ht="14.25" x14ac:dyDescent="0.45">
      <c r="F68" s="14"/>
      <c r="G68" s="9">
        <f t="shared" si="0"/>
        <v>0</v>
      </c>
      <c r="H68" s="9">
        <f t="shared" si="1"/>
        <v>0</v>
      </c>
      <c r="I68" s="8">
        <f t="shared" si="2"/>
        <v>0</v>
      </c>
      <c r="J68" s="9" t="str">
        <f t="shared" si="4"/>
        <v/>
      </c>
      <c r="K68" s="9">
        <f t="shared" si="3"/>
        <v>0</v>
      </c>
      <c r="L68"/>
      <c r="M68"/>
      <c r="N68"/>
    </row>
    <row r="69" spans="6:14" ht="14.25" x14ac:dyDescent="0.45">
      <c r="F69" s="14"/>
      <c r="G69" s="9">
        <f t="shared" ref="G69:G132" si="6">_xlfn.IFNA(VLOOKUP(L69,f_details_of_candidates,4,FALSE),"")</f>
        <v>0</v>
      </c>
      <c r="H69" s="9">
        <f t="shared" ref="H69:H132" si="7">_xlfn.IFNA(VLOOKUP(L69,f_details_of_candidates,3,FALSE),"")</f>
        <v>0</v>
      </c>
      <c r="I69" s="8">
        <f t="shared" ref="I69:I132" si="8">_xlfn.IFNA(VLOOKUP(L69,f_details_of_candidates,5,FALSE),"")</f>
        <v>0</v>
      </c>
      <c r="J69" s="9" t="str">
        <f t="shared" si="4"/>
        <v/>
      </c>
      <c r="K69" s="9">
        <f t="shared" ref="K69:K132" si="9">_xlfn.IFNA(VLOOKUP(L69,f_details_of_candidates,2,FALSE),"")</f>
        <v>0</v>
      </c>
      <c r="L69"/>
      <c r="M69"/>
      <c r="N69"/>
    </row>
    <row r="70" spans="6:14" ht="14.25" x14ac:dyDescent="0.45">
      <c r="F70" s="14"/>
      <c r="G70" s="9">
        <f t="shared" si="6"/>
        <v>0</v>
      </c>
      <c r="H70" s="9">
        <f t="shared" si="7"/>
        <v>0</v>
      </c>
      <c r="I70" s="8">
        <f t="shared" si="8"/>
        <v>0</v>
      </c>
      <c r="J70" s="9" t="str">
        <f t="shared" ref="J70:J133" si="10">IF(L70&lt;&gt;0,RANK(M70,M$5:M$326,0),"")</f>
        <v/>
      </c>
      <c r="K70" s="9">
        <f t="shared" si="9"/>
        <v>0</v>
      </c>
      <c r="L70"/>
      <c r="M70"/>
      <c r="N70"/>
    </row>
    <row r="71" spans="6:14" ht="14.25" x14ac:dyDescent="0.45">
      <c r="F71" s="14"/>
      <c r="G71" s="9">
        <f t="shared" si="6"/>
        <v>0</v>
      </c>
      <c r="H71" s="9">
        <f t="shared" si="7"/>
        <v>0</v>
      </c>
      <c r="I71" s="8">
        <f t="shared" si="8"/>
        <v>0</v>
      </c>
      <c r="J71" s="9" t="str">
        <f t="shared" si="10"/>
        <v/>
      </c>
      <c r="K71" s="9">
        <f t="shared" si="9"/>
        <v>0</v>
      </c>
      <c r="L71"/>
      <c r="M71"/>
      <c r="N71"/>
    </row>
    <row r="72" spans="6:14" ht="14.25" x14ac:dyDescent="0.45">
      <c r="F72" s="14"/>
      <c r="G72" s="9">
        <f t="shared" si="6"/>
        <v>0</v>
      </c>
      <c r="H72" s="9">
        <f t="shared" si="7"/>
        <v>0</v>
      </c>
      <c r="I72" s="8">
        <f t="shared" si="8"/>
        <v>0</v>
      </c>
      <c r="J72" s="9" t="str">
        <f t="shared" si="10"/>
        <v/>
      </c>
      <c r="K72" s="9">
        <f t="shared" si="9"/>
        <v>0</v>
      </c>
      <c r="L72"/>
      <c r="M72"/>
      <c r="N72"/>
    </row>
    <row r="73" spans="6:14" ht="14.25" x14ac:dyDescent="0.45">
      <c r="F73" s="14"/>
      <c r="G73" s="9">
        <f t="shared" si="6"/>
        <v>0</v>
      </c>
      <c r="H73" s="9">
        <f t="shared" si="7"/>
        <v>0</v>
      </c>
      <c r="I73" s="8">
        <f t="shared" si="8"/>
        <v>0</v>
      </c>
      <c r="J73" s="9" t="str">
        <f t="shared" si="10"/>
        <v/>
      </c>
      <c r="K73" s="9">
        <f t="shared" si="9"/>
        <v>0</v>
      </c>
      <c r="L73"/>
      <c r="M73"/>
      <c r="N73"/>
    </row>
    <row r="74" spans="6:14" ht="14.25" x14ac:dyDescent="0.45">
      <c r="F74" s="14"/>
      <c r="G74" s="9">
        <f t="shared" si="6"/>
        <v>0</v>
      </c>
      <c r="H74" s="9">
        <f t="shared" si="7"/>
        <v>0</v>
      </c>
      <c r="I74" s="8">
        <f t="shared" si="8"/>
        <v>0</v>
      </c>
      <c r="J74" s="9" t="str">
        <f t="shared" si="10"/>
        <v/>
      </c>
      <c r="K74" s="9">
        <f t="shared" si="9"/>
        <v>0</v>
      </c>
      <c r="L74"/>
      <c r="M74"/>
      <c r="N74"/>
    </row>
    <row r="75" spans="6:14" ht="14.25" x14ac:dyDescent="0.45">
      <c r="F75" s="14"/>
      <c r="G75" s="9">
        <f t="shared" si="6"/>
        <v>0</v>
      </c>
      <c r="H75" s="9">
        <f t="shared" si="7"/>
        <v>0</v>
      </c>
      <c r="I75" s="8">
        <f t="shared" si="8"/>
        <v>0</v>
      </c>
      <c r="J75" s="9" t="str">
        <f t="shared" si="10"/>
        <v/>
      </c>
      <c r="K75" s="9">
        <f t="shared" si="9"/>
        <v>0</v>
      </c>
      <c r="L75"/>
      <c r="M75"/>
      <c r="N75"/>
    </row>
    <row r="76" spans="6:14" ht="14.25" x14ac:dyDescent="0.45">
      <c r="F76" s="14"/>
      <c r="G76" s="9">
        <f t="shared" si="6"/>
        <v>0</v>
      </c>
      <c r="H76" s="9">
        <f t="shared" si="7"/>
        <v>0</v>
      </c>
      <c r="I76" s="8">
        <f t="shared" si="8"/>
        <v>0</v>
      </c>
      <c r="J76" s="9" t="str">
        <f t="shared" si="10"/>
        <v/>
      </c>
      <c r="K76" s="9">
        <f t="shared" si="9"/>
        <v>0</v>
      </c>
      <c r="L76"/>
      <c r="M76"/>
      <c r="N76"/>
    </row>
    <row r="77" spans="6:14" ht="14.25" x14ac:dyDescent="0.45">
      <c r="F77" s="14"/>
      <c r="G77" s="9">
        <f t="shared" si="6"/>
        <v>0</v>
      </c>
      <c r="H77" s="9">
        <f t="shared" si="7"/>
        <v>0</v>
      </c>
      <c r="I77" s="8">
        <f t="shared" si="8"/>
        <v>0</v>
      </c>
      <c r="J77" s="9" t="str">
        <f t="shared" si="10"/>
        <v/>
      </c>
      <c r="K77" s="9">
        <f t="shared" si="9"/>
        <v>0</v>
      </c>
      <c r="L77"/>
      <c r="M77"/>
      <c r="N77"/>
    </row>
    <row r="78" spans="6:14" ht="14.25" x14ac:dyDescent="0.45">
      <c r="F78" s="14"/>
      <c r="G78" s="9">
        <f t="shared" si="6"/>
        <v>0</v>
      </c>
      <c r="H78" s="9">
        <f t="shared" si="7"/>
        <v>0</v>
      </c>
      <c r="I78" s="8">
        <f t="shared" si="8"/>
        <v>0</v>
      </c>
      <c r="J78" s="9" t="str">
        <f t="shared" si="10"/>
        <v/>
      </c>
      <c r="K78" s="9">
        <f t="shared" si="9"/>
        <v>0</v>
      </c>
      <c r="L78"/>
      <c r="M78"/>
      <c r="N78"/>
    </row>
    <row r="79" spans="6:14" ht="14.25" x14ac:dyDescent="0.45">
      <c r="F79" s="14"/>
      <c r="G79" s="9">
        <f t="shared" si="6"/>
        <v>0</v>
      </c>
      <c r="H79" s="9">
        <f t="shared" si="7"/>
        <v>0</v>
      </c>
      <c r="I79" s="8">
        <f t="shared" si="8"/>
        <v>0</v>
      </c>
      <c r="J79" s="9" t="str">
        <f t="shared" si="10"/>
        <v/>
      </c>
      <c r="K79" s="9">
        <f t="shared" si="9"/>
        <v>0</v>
      </c>
      <c r="L79"/>
      <c r="M79"/>
      <c r="N79"/>
    </row>
    <row r="80" spans="6:14" ht="14.25" x14ac:dyDescent="0.45">
      <c r="F80" s="14"/>
      <c r="G80" s="9">
        <f t="shared" si="6"/>
        <v>0</v>
      </c>
      <c r="H80" s="9">
        <f t="shared" si="7"/>
        <v>0</v>
      </c>
      <c r="I80" s="8">
        <f t="shared" si="8"/>
        <v>0</v>
      </c>
      <c r="J80" s="9" t="str">
        <f t="shared" si="10"/>
        <v/>
      </c>
      <c r="K80" s="9">
        <f t="shared" si="9"/>
        <v>0</v>
      </c>
      <c r="L80"/>
      <c r="M80"/>
      <c r="N80"/>
    </row>
    <row r="81" spans="6:14" ht="14.25" x14ac:dyDescent="0.45">
      <c r="F81" s="14"/>
      <c r="G81" s="9">
        <f t="shared" si="6"/>
        <v>0</v>
      </c>
      <c r="H81" s="9">
        <f t="shared" si="7"/>
        <v>0</v>
      </c>
      <c r="I81" s="8">
        <f t="shared" si="8"/>
        <v>0</v>
      </c>
      <c r="J81" s="9" t="str">
        <f t="shared" si="10"/>
        <v/>
      </c>
      <c r="K81" s="9">
        <f t="shared" si="9"/>
        <v>0</v>
      </c>
      <c r="L81"/>
      <c r="M81"/>
      <c r="N81"/>
    </row>
    <row r="82" spans="6:14" ht="14.25" x14ac:dyDescent="0.45">
      <c r="F82" s="14"/>
      <c r="G82" s="9">
        <f t="shared" si="6"/>
        <v>0</v>
      </c>
      <c r="H82" s="9">
        <f t="shared" si="7"/>
        <v>0</v>
      </c>
      <c r="I82" s="8">
        <f t="shared" si="8"/>
        <v>0</v>
      </c>
      <c r="J82" s="9" t="str">
        <f t="shared" si="10"/>
        <v/>
      </c>
      <c r="K82" s="9">
        <f t="shared" si="9"/>
        <v>0</v>
      </c>
      <c r="L82"/>
      <c r="M82"/>
      <c r="N82"/>
    </row>
    <row r="83" spans="6:14" ht="14.25" x14ac:dyDescent="0.45">
      <c r="F83" s="14"/>
      <c r="G83" s="9">
        <f t="shared" si="6"/>
        <v>0</v>
      </c>
      <c r="H83" s="9">
        <f t="shared" si="7"/>
        <v>0</v>
      </c>
      <c r="I83" s="8">
        <f t="shared" si="8"/>
        <v>0</v>
      </c>
      <c r="J83" s="9" t="str">
        <f t="shared" si="10"/>
        <v/>
      </c>
      <c r="K83" s="9">
        <f t="shared" si="9"/>
        <v>0</v>
      </c>
      <c r="L83"/>
      <c r="M83"/>
      <c r="N83"/>
    </row>
    <row r="84" spans="6:14" ht="14.25" x14ac:dyDescent="0.45">
      <c r="F84" s="14"/>
      <c r="G84" s="9">
        <f t="shared" si="6"/>
        <v>0</v>
      </c>
      <c r="H84" s="9">
        <f t="shared" si="7"/>
        <v>0</v>
      </c>
      <c r="I84" s="8">
        <f t="shared" si="8"/>
        <v>0</v>
      </c>
      <c r="J84" s="9" t="str">
        <f t="shared" si="10"/>
        <v/>
      </c>
      <c r="K84" s="9">
        <f t="shared" si="9"/>
        <v>0</v>
      </c>
      <c r="L84"/>
      <c r="M84"/>
      <c r="N84"/>
    </row>
    <row r="85" spans="6:14" ht="14.25" x14ac:dyDescent="0.45">
      <c r="F85" s="14"/>
      <c r="G85" s="9">
        <f t="shared" si="6"/>
        <v>0</v>
      </c>
      <c r="H85" s="9">
        <f t="shared" si="7"/>
        <v>0</v>
      </c>
      <c r="I85" s="8">
        <f t="shared" si="8"/>
        <v>0</v>
      </c>
      <c r="J85" s="9" t="str">
        <f t="shared" si="10"/>
        <v/>
      </c>
      <c r="K85" s="9">
        <f t="shared" si="9"/>
        <v>0</v>
      </c>
      <c r="L85"/>
      <c r="M85"/>
      <c r="N85"/>
    </row>
    <row r="86" spans="6:14" ht="14.25" x14ac:dyDescent="0.45">
      <c r="F86" s="14"/>
      <c r="G86" s="9">
        <f t="shared" si="6"/>
        <v>0</v>
      </c>
      <c r="H86" s="9">
        <f t="shared" si="7"/>
        <v>0</v>
      </c>
      <c r="I86" s="8">
        <f t="shared" si="8"/>
        <v>0</v>
      </c>
      <c r="J86" s="9" t="str">
        <f t="shared" si="10"/>
        <v/>
      </c>
      <c r="K86" s="9">
        <f t="shared" si="9"/>
        <v>0</v>
      </c>
      <c r="L86"/>
      <c r="M86"/>
      <c r="N86"/>
    </row>
    <row r="87" spans="6:14" ht="14.25" x14ac:dyDescent="0.45">
      <c r="F87" s="14"/>
      <c r="G87" s="9">
        <f t="shared" si="6"/>
        <v>0</v>
      </c>
      <c r="H87" s="9">
        <f t="shared" si="7"/>
        <v>0</v>
      </c>
      <c r="I87" s="8">
        <f t="shared" si="8"/>
        <v>0</v>
      </c>
      <c r="J87" s="9" t="str">
        <f t="shared" si="10"/>
        <v/>
      </c>
      <c r="K87" s="9">
        <f t="shared" si="9"/>
        <v>0</v>
      </c>
      <c r="L87"/>
      <c r="M87"/>
      <c r="N87"/>
    </row>
    <row r="88" spans="6:14" ht="14.25" x14ac:dyDescent="0.45">
      <c r="F88" s="14"/>
      <c r="G88" s="9">
        <f t="shared" si="6"/>
        <v>0</v>
      </c>
      <c r="H88" s="9">
        <f t="shared" si="7"/>
        <v>0</v>
      </c>
      <c r="I88" s="8">
        <f t="shared" si="8"/>
        <v>0</v>
      </c>
      <c r="J88" s="9" t="str">
        <f t="shared" si="10"/>
        <v/>
      </c>
      <c r="K88" s="9">
        <f t="shared" si="9"/>
        <v>0</v>
      </c>
      <c r="L88"/>
      <c r="M88"/>
      <c r="N88"/>
    </row>
    <row r="89" spans="6:14" ht="14.25" x14ac:dyDescent="0.45">
      <c r="F89" s="14"/>
      <c r="G89" s="9">
        <f t="shared" si="6"/>
        <v>0</v>
      </c>
      <c r="H89" s="9">
        <f t="shared" si="7"/>
        <v>0</v>
      </c>
      <c r="I89" s="8">
        <f t="shared" si="8"/>
        <v>0</v>
      </c>
      <c r="J89" s="9" t="str">
        <f t="shared" si="10"/>
        <v/>
      </c>
      <c r="K89" s="9">
        <f t="shared" si="9"/>
        <v>0</v>
      </c>
      <c r="L89"/>
      <c r="M89"/>
      <c r="N89"/>
    </row>
    <row r="90" spans="6:14" ht="14.25" x14ac:dyDescent="0.45">
      <c r="F90" s="14"/>
      <c r="G90" s="9">
        <f t="shared" si="6"/>
        <v>0</v>
      </c>
      <c r="H90" s="9">
        <f t="shared" si="7"/>
        <v>0</v>
      </c>
      <c r="I90" s="8">
        <f t="shared" si="8"/>
        <v>0</v>
      </c>
      <c r="J90" s="9" t="str">
        <f t="shared" si="10"/>
        <v/>
      </c>
      <c r="K90" s="9">
        <f t="shared" si="9"/>
        <v>0</v>
      </c>
      <c r="L90"/>
      <c r="M90"/>
      <c r="N90"/>
    </row>
    <row r="91" spans="6:14" ht="14.25" x14ac:dyDescent="0.45">
      <c r="F91" s="14"/>
      <c r="G91" s="9">
        <f t="shared" si="6"/>
        <v>0</v>
      </c>
      <c r="H91" s="9">
        <f t="shared" si="7"/>
        <v>0</v>
      </c>
      <c r="I91" s="8">
        <f t="shared" si="8"/>
        <v>0</v>
      </c>
      <c r="J91" s="9" t="str">
        <f t="shared" si="10"/>
        <v/>
      </c>
      <c r="K91" s="9">
        <f t="shared" si="9"/>
        <v>0</v>
      </c>
      <c r="L91"/>
      <c r="M91"/>
      <c r="N91"/>
    </row>
    <row r="92" spans="6:14" ht="14.25" x14ac:dyDescent="0.45">
      <c r="F92" s="14"/>
      <c r="G92" s="9">
        <f t="shared" si="6"/>
        <v>0</v>
      </c>
      <c r="H92" s="9">
        <f t="shared" si="7"/>
        <v>0</v>
      </c>
      <c r="I92" s="8">
        <f t="shared" si="8"/>
        <v>0</v>
      </c>
      <c r="J92" s="9" t="str">
        <f t="shared" si="10"/>
        <v/>
      </c>
      <c r="K92" s="9">
        <f t="shared" si="9"/>
        <v>0</v>
      </c>
      <c r="L92"/>
      <c r="M92"/>
      <c r="N92"/>
    </row>
    <row r="93" spans="6:14" ht="14.25" x14ac:dyDescent="0.45">
      <c r="F93" s="14"/>
      <c r="G93" s="9">
        <f t="shared" si="6"/>
        <v>0</v>
      </c>
      <c r="H93" s="9">
        <f t="shared" si="7"/>
        <v>0</v>
      </c>
      <c r="I93" s="8">
        <f t="shared" si="8"/>
        <v>0</v>
      </c>
      <c r="J93" s="9" t="str">
        <f t="shared" si="10"/>
        <v/>
      </c>
      <c r="K93" s="9">
        <f t="shared" si="9"/>
        <v>0</v>
      </c>
      <c r="L93"/>
      <c r="M93"/>
      <c r="N93"/>
    </row>
    <row r="94" spans="6:14" ht="14.25" x14ac:dyDescent="0.45">
      <c r="F94" s="14"/>
      <c r="G94" s="9">
        <f t="shared" si="6"/>
        <v>0</v>
      </c>
      <c r="H94" s="9">
        <f t="shared" si="7"/>
        <v>0</v>
      </c>
      <c r="I94" s="8">
        <f t="shared" si="8"/>
        <v>0</v>
      </c>
      <c r="J94" s="9" t="str">
        <f t="shared" si="10"/>
        <v/>
      </c>
      <c r="K94" s="9">
        <f t="shared" si="9"/>
        <v>0</v>
      </c>
      <c r="L94"/>
      <c r="M94"/>
      <c r="N94"/>
    </row>
    <row r="95" spans="6:14" ht="14.25" x14ac:dyDescent="0.45">
      <c r="F95" s="14"/>
      <c r="G95" s="9">
        <f t="shared" si="6"/>
        <v>0</v>
      </c>
      <c r="H95" s="9">
        <f t="shared" si="7"/>
        <v>0</v>
      </c>
      <c r="I95" s="8">
        <f t="shared" si="8"/>
        <v>0</v>
      </c>
      <c r="J95" s="9" t="str">
        <f t="shared" si="10"/>
        <v/>
      </c>
      <c r="K95" s="9">
        <f t="shared" si="9"/>
        <v>0</v>
      </c>
      <c r="L95"/>
      <c r="M95"/>
      <c r="N95"/>
    </row>
    <row r="96" spans="6:14" ht="14.25" x14ac:dyDescent="0.45">
      <c r="F96" s="14"/>
      <c r="G96" s="9">
        <f t="shared" si="6"/>
        <v>0</v>
      </c>
      <c r="H96" s="9">
        <f t="shared" si="7"/>
        <v>0</v>
      </c>
      <c r="I96" s="8">
        <f t="shared" si="8"/>
        <v>0</v>
      </c>
      <c r="J96" s="9" t="str">
        <f t="shared" si="10"/>
        <v/>
      </c>
      <c r="K96" s="9">
        <f t="shared" si="9"/>
        <v>0</v>
      </c>
      <c r="L96"/>
      <c r="M96"/>
      <c r="N96"/>
    </row>
    <row r="97" spans="6:14" ht="14.25" x14ac:dyDescent="0.45">
      <c r="F97" s="14"/>
      <c r="G97" s="9">
        <f t="shared" si="6"/>
        <v>0</v>
      </c>
      <c r="H97" s="9">
        <f t="shared" si="7"/>
        <v>0</v>
      </c>
      <c r="I97" s="8">
        <f t="shared" si="8"/>
        <v>0</v>
      </c>
      <c r="J97" s="9" t="str">
        <f t="shared" si="10"/>
        <v/>
      </c>
      <c r="K97" s="9">
        <f t="shared" si="9"/>
        <v>0</v>
      </c>
      <c r="L97"/>
      <c r="M97"/>
      <c r="N97"/>
    </row>
    <row r="98" spans="6:14" ht="14.25" x14ac:dyDescent="0.45">
      <c r="F98" s="14"/>
      <c r="G98" s="9">
        <f t="shared" si="6"/>
        <v>0</v>
      </c>
      <c r="H98" s="9">
        <f t="shared" si="7"/>
        <v>0</v>
      </c>
      <c r="I98" s="8">
        <f t="shared" si="8"/>
        <v>0</v>
      </c>
      <c r="J98" s="9" t="str">
        <f t="shared" si="10"/>
        <v/>
      </c>
      <c r="K98" s="9">
        <f t="shared" si="9"/>
        <v>0</v>
      </c>
      <c r="L98"/>
      <c r="M98"/>
      <c r="N98"/>
    </row>
    <row r="99" spans="6:14" ht="14.25" x14ac:dyDescent="0.45">
      <c r="F99" s="14"/>
      <c r="G99" s="9">
        <f t="shared" si="6"/>
        <v>0</v>
      </c>
      <c r="H99" s="9">
        <f t="shared" si="7"/>
        <v>0</v>
      </c>
      <c r="I99" s="8">
        <f t="shared" si="8"/>
        <v>0</v>
      </c>
      <c r="J99" s="9" t="str">
        <f t="shared" si="10"/>
        <v/>
      </c>
      <c r="K99" s="9">
        <f t="shared" si="9"/>
        <v>0</v>
      </c>
      <c r="L99"/>
      <c r="M99"/>
      <c r="N99"/>
    </row>
    <row r="100" spans="6:14" ht="14.25" x14ac:dyDescent="0.45">
      <c r="F100" s="14"/>
      <c r="G100" s="9">
        <f t="shared" si="6"/>
        <v>0</v>
      </c>
      <c r="H100" s="9">
        <f t="shared" si="7"/>
        <v>0</v>
      </c>
      <c r="I100" s="8">
        <f t="shared" si="8"/>
        <v>0</v>
      </c>
      <c r="J100" s="9" t="str">
        <f t="shared" si="10"/>
        <v/>
      </c>
      <c r="K100" s="9">
        <f t="shared" si="9"/>
        <v>0</v>
      </c>
      <c r="L100"/>
      <c r="M100"/>
      <c r="N100"/>
    </row>
    <row r="101" spans="6:14" ht="14.25" x14ac:dyDescent="0.45">
      <c r="F101" s="14"/>
      <c r="G101" s="9">
        <f t="shared" si="6"/>
        <v>0</v>
      </c>
      <c r="H101" s="9">
        <f t="shared" si="7"/>
        <v>0</v>
      </c>
      <c r="I101" s="8">
        <f t="shared" si="8"/>
        <v>0</v>
      </c>
      <c r="J101" s="9" t="str">
        <f t="shared" si="10"/>
        <v/>
      </c>
      <c r="K101" s="9">
        <f t="shared" si="9"/>
        <v>0</v>
      </c>
      <c r="L101"/>
      <c r="M101"/>
      <c r="N101"/>
    </row>
    <row r="102" spans="6:14" ht="14.25" x14ac:dyDescent="0.45">
      <c r="F102" s="14"/>
      <c r="G102" s="9">
        <f t="shared" si="6"/>
        <v>0</v>
      </c>
      <c r="H102" s="9">
        <f t="shared" si="7"/>
        <v>0</v>
      </c>
      <c r="I102" s="8">
        <f t="shared" si="8"/>
        <v>0</v>
      </c>
      <c r="J102" s="9" t="str">
        <f t="shared" si="10"/>
        <v/>
      </c>
      <c r="K102" s="9">
        <f t="shared" si="9"/>
        <v>0</v>
      </c>
      <c r="L102"/>
      <c r="M102"/>
      <c r="N102"/>
    </row>
    <row r="103" spans="6:14" ht="14.25" x14ac:dyDescent="0.45">
      <c r="F103" s="14"/>
      <c r="G103" s="9">
        <f t="shared" si="6"/>
        <v>0</v>
      </c>
      <c r="H103" s="9">
        <f t="shared" si="7"/>
        <v>0</v>
      </c>
      <c r="I103" s="8">
        <f t="shared" si="8"/>
        <v>0</v>
      </c>
      <c r="J103" s="9" t="str">
        <f t="shared" si="10"/>
        <v/>
      </c>
      <c r="K103" s="9">
        <f t="shared" si="9"/>
        <v>0</v>
      </c>
      <c r="L103"/>
      <c r="M103"/>
      <c r="N103"/>
    </row>
    <row r="104" spans="6:14" ht="14.25" x14ac:dyDescent="0.45">
      <c r="F104" s="14"/>
      <c r="G104" s="9">
        <f t="shared" si="6"/>
        <v>0</v>
      </c>
      <c r="H104" s="9">
        <f t="shared" si="7"/>
        <v>0</v>
      </c>
      <c r="I104" s="8">
        <f t="shared" si="8"/>
        <v>0</v>
      </c>
      <c r="J104" s="9" t="str">
        <f t="shared" si="10"/>
        <v/>
      </c>
      <c r="K104" s="9">
        <f t="shared" si="9"/>
        <v>0</v>
      </c>
      <c r="L104"/>
      <c r="M104"/>
      <c r="N104"/>
    </row>
    <row r="105" spans="6:14" ht="14.25" x14ac:dyDescent="0.45">
      <c r="F105" s="14"/>
      <c r="G105" s="9">
        <f t="shared" si="6"/>
        <v>0</v>
      </c>
      <c r="H105" s="9">
        <f t="shared" si="7"/>
        <v>0</v>
      </c>
      <c r="I105" s="8">
        <f t="shared" si="8"/>
        <v>0</v>
      </c>
      <c r="J105" s="9" t="str">
        <f t="shared" si="10"/>
        <v/>
      </c>
      <c r="K105" s="9">
        <f t="shared" si="9"/>
        <v>0</v>
      </c>
      <c r="L105"/>
      <c r="M105"/>
      <c r="N105"/>
    </row>
    <row r="106" spans="6:14" ht="14.25" x14ac:dyDescent="0.45">
      <c r="F106" s="14"/>
      <c r="G106" s="9">
        <f t="shared" si="6"/>
        <v>0</v>
      </c>
      <c r="H106" s="9">
        <f t="shared" si="7"/>
        <v>0</v>
      </c>
      <c r="I106" s="8">
        <f t="shared" si="8"/>
        <v>0</v>
      </c>
      <c r="J106" s="9" t="str">
        <f t="shared" si="10"/>
        <v/>
      </c>
      <c r="K106" s="9">
        <f t="shared" si="9"/>
        <v>0</v>
      </c>
      <c r="L106"/>
      <c r="M106"/>
      <c r="N106"/>
    </row>
    <row r="107" spans="6:14" ht="14.25" x14ac:dyDescent="0.45">
      <c r="F107" s="14"/>
      <c r="G107" s="9">
        <f t="shared" si="6"/>
        <v>0</v>
      </c>
      <c r="H107" s="9">
        <f t="shared" si="7"/>
        <v>0</v>
      </c>
      <c r="I107" s="8">
        <f t="shared" si="8"/>
        <v>0</v>
      </c>
      <c r="J107" s="9" t="str">
        <f t="shared" si="10"/>
        <v/>
      </c>
      <c r="K107" s="9">
        <f t="shared" si="9"/>
        <v>0</v>
      </c>
      <c r="L107"/>
      <c r="M107"/>
      <c r="N107"/>
    </row>
    <row r="108" spans="6:14" ht="14.25" x14ac:dyDescent="0.45">
      <c r="F108" s="14"/>
      <c r="G108" s="9">
        <f t="shared" si="6"/>
        <v>0</v>
      </c>
      <c r="H108" s="9">
        <f t="shared" si="7"/>
        <v>0</v>
      </c>
      <c r="I108" s="8">
        <f t="shared" si="8"/>
        <v>0</v>
      </c>
      <c r="J108" s="9" t="str">
        <f t="shared" si="10"/>
        <v/>
      </c>
      <c r="K108" s="9">
        <f t="shared" si="9"/>
        <v>0</v>
      </c>
      <c r="L108"/>
      <c r="M108"/>
      <c r="N108"/>
    </row>
    <row r="109" spans="6:14" ht="14.25" x14ac:dyDescent="0.45">
      <c r="F109" s="14"/>
      <c r="G109" s="9">
        <f t="shared" si="6"/>
        <v>0</v>
      </c>
      <c r="H109" s="9">
        <f t="shared" si="7"/>
        <v>0</v>
      </c>
      <c r="I109" s="8">
        <f t="shared" si="8"/>
        <v>0</v>
      </c>
      <c r="J109" s="9" t="str">
        <f t="shared" si="10"/>
        <v/>
      </c>
      <c r="K109" s="9">
        <f t="shared" si="9"/>
        <v>0</v>
      </c>
      <c r="L109"/>
      <c r="M109"/>
      <c r="N109"/>
    </row>
    <row r="110" spans="6:14" ht="14.25" x14ac:dyDescent="0.45">
      <c r="F110" s="14"/>
      <c r="G110" s="9">
        <f t="shared" si="6"/>
        <v>0</v>
      </c>
      <c r="H110" s="9">
        <f t="shared" si="7"/>
        <v>0</v>
      </c>
      <c r="I110" s="8">
        <f t="shared" si="8"/>
        <v>0</v>
      </c>
      <c r="J110" s="9" t="str">
        <f t="shared" si="10"/>
        <v/>
      </c>
      <c r="K110" s="9">
        <f t="shared" si="9"/>
        <v>0</v>
      </c>
      <c r="L110"/>
      <c r="M110"/>
      <c r="N110"/>
    </row>
    <row r="111" spans="6:14" ht="14.25" x14ac:dyDescent="0.45">
      <c r="F111" s="14"/>
      <c r="G111" s="9">
        <f t="shared" si="6"/>
        <v>0</v>
      </c>
      <c r="H111" s="9">
        <f t="shared" si="7"/>
        <v>0</v>
      </c>
      <c r="I111" s="8">
        <f t="shared" si="8"/>
        <v>0</v>
      </c>
      <c r="J111" s="9" t="str">
        <f t="shared" si="10"/>
        <v/>
      </c>
      <c r="K111" s="9">
        <f t="shared" si="9"/>
        <v>0</v>
      </c>
      <c r="L111"/>
      <c r="M111"/>
      <c r="N111"/>
    </row>
    <row r="112" spans="6:14" ht="14.25" x14ac:dyDescent="0.45">
      <c r="F112" s="14"/>
      <c r="G112" s="9">
        <f t="shared" si="6"/>
        <v>0</v>
      </c>
      <c r="H112" s="9">
        <f t="shared" si="7"/>
        <v>0</v>
      </c>
      <c r="I112" s="8">
        <f t="shared" si="8"/>
        <v>0</v>
      </c>
      <c r="J112" s="9" t="str">
        <f t="shared" si="10"/>
        <v/>
      </c>
      <c r="K112" s="9">
        <f t="shared" si="9"/>
        <v>0</v>
      </c>
      <c r="L112"/>
      <c r="M112"/>
      <c r="N112"/>
    </row>
    <row r="113" spans="6:14" ht="14.25" x14ac:dyDescent="0.45">
      <c r="F113" s="14"/>
      <c r="G113" s="9">
        <f t="shared" si="6"/>
        <v>0</v>
      </c>
      <c r="H113" s="9">
        <f t="shared" si="7"/>
        <v>0</v>
      </c>
      <c r="I113" s="8">
        <f t="shared" si="8"/>
        <v>0</v>
      </c>
      <c r="J113" s="9" t="str">
        <f t="shared" si="10"/>
        <v/>
      </c>
      <c r="K113" s="9">
        <f t="shared" si="9"/>
        <v>0</v>
      </c>
      <c r="L113"/>
      <c r="M113"/>
      <c r="N113"/>
    </row>
    <row r="114" spans="6:14" ht="14.25" x14ac:dyDescent="0.45">
      <c r="F114" s="14"/>
      <c r="G114" s="9">
        <f t="shared" si="6"/>
        <v>0</v>
      </c>
      <c r="H114" s="9">
        <f t="shared" si="7"/>
        <v>0</v>
      </c>
      <c r="I114" s="8">
        <f t="shared" si="8"/>
        <v>0</v>
      </c>
      <c r="J114" s="9" t="str">
        <f t="shared" si="10"/>
        <v/>
      </c>
      <c r="K114" s="9">
        <f t="shared" si="9"/>
        <v>0</v>
      </c>
      <c r="L114"/>
      <c r="M114"/>
      <c r="N114"/>
    </row>
    <row r="115" spans="6:14" ht="14.25" x14ac:dyDescent="0.45">
      <c r="F115" s="14"/>
      <c r="G115" s="9">
        <f t="shared" si="6"/>
        <v>0</v>
      </c>
      <c r="H115" s="9">
        <f t="shared" si="7"/>
        <v>0</v>
      </c>
      <c r="I115" s="8">
        <f t="shared" si="8"/>
        <v>0</v>
      </c>
      <c r="J115" s="9" t="str">
        <f t="shared" si="10"/>
        <v/>
      </c>
      <c r="K115" s="9">
        <f t="shared" si="9"/>
        <v>0</v>
      </c>
      <c r="L115"/>
      <c r="M115"/>
      <c r="N115"/>
    </row>
    <row r="116" spans="6:14" ht="14.25" x14ac:dyDescent="0.45">
      <c r="F116" s="14"/>
      <c r="G116" s="9">
        <f t="shared" si="6"/>
        <v>0</v>
      </c>
      <c r="H116" s="9">
        <f t="shared" si="7"/>
        <v>0</v>
      </c>
      <c r="I116" s="8">
        <f t="shared" si="8"/>
        <v>0</v>
      </c>
      <c r="J116" s="9" t="str">
        <f t="shared" si="10"/>
        <v/>
      </c>
      <c r="K116" s="9">
        <f t="shared" si="9"/>
        <v>0</v>
      </c>
      <c r="L116"/>
      <c r="M116"/>
      <c r="N116"/>
    </row>
    <row r="117" spans="6:14" ht="14.25" x14ac:dyDescent="0.45">
      <c r="F117" s="14"/>
      <c r="G117" s="9">
        <f t="shared" si="6"/>
        <v>0</v>
      </c>
      <c r="H117" s="9">
        <f t="shared" si="7"/>
        <v>0</v>
      </c>
      <c r="I117" s="8">
        <f t="shared" si="8"/>
        <v>0</v>
      </c>
      <c r="J117" s="9" t="str">
        <f t="shared" si="10"/>
        <v/>
      </c>
      <c r="K117" s="9">
        <f t="shared" si="9"/>
        <v>0</v>
      </c>
      <c r="L117"/>
      <c r="M117"/>
      <c r="N117"/>
    </row>
    <row r="118" spans="6:14" ht="14.25" x14ac:dyDescent="0.45">
      <c r="F118" s="14"/>
      <c r="G118" s="9">
        <f t="shared" si="6"/>
        <v>0</v>
      </c>
      <c r="H118" s="9">
        <f t="shared" si="7"/>
        <v>0</v>
      </c>
      <c r="I118" s="8">
        <f t="shared" si="8"/>
        <v>0</v>
      </c>
      <c r="J118" s="9" t="str">
        <f t="shared" si="10"/>
        <v/>
      </c>
      <c r="K118" s="9">
        <f t="shared" si="9"/>
        <v>0</v>
      </c>
      <c r="L118"/>
      <c r="M118"/>
      <c r="N118"/>
    </row>
    <row r="119" spans="6:14" ht="14.25" x14ac:dyDescent="0.45">
      <c r="F119" s="14"/>
      <c r="G119" s="9">
        <f t="shared" si="6"/>
        <v>0</v>
      </c>
      <c r="H119" s="9">
        <f t="shared" si="7"/>
        <v>0</v>
      </c>
      <c r="I119" s="8">
        <f t="shared" si="8"/>
        <v>0</v>
      </c>
      <c r="J119" s="9" t="str">
        <f t="shared" si="10"/>
        <v/>
      </c>
      <c r="K119" s="9">
        <f t="shared" si="9"/>
        <v>0</v>
      </c>
      <c r="L119"/>
      <c r="M119"/>
      <c r="N119"/>
    </row>
    <row r="120" spans="6:14" ht="14.25" x14ac:dyDescent="0.45">
      <c r="F120" s="14"/>
      <c r="G120" s="9">
        <f t="shared" si="6"/>
        <v>0</v>
      </c>
      <c r="H120" s="9">
        <f t="shared" si="7"/>
        <v>0</v>
      </c>
      <c r="I120" s="8">
        <f t="shared" si="8"/>
        <v>0</v>
      </c>
      <c r="J120" s="9" t="str">
        <f t="shared" si="10"/>
        <v/>
      </c>
      <c r="K120" s="9">
        <f t="shared" si="9"/>
        <v>0</v>
      </c>
      <c r="L120"/>
      <c r="M120"/>
      <c r="N120"/>
    </row>
    <row r="121" spans="6:14" ht="14.25" x14ac:dyDescent="0.45">
      <c r="F121" s="14"/>
      <c r="G121" s="9">
        <f t="shared" si="6"/>
        <v>0</v>
      </c>
      <c r="H121" s="9">
        <f t="shared" si="7"/>
        <v>0</v>
      </c>
      <c r="I121" s="8">
        <f t="shared" si="8"/>
        <v>0</v>
      </c>
      <c r="J121" s="9" t="str">
        <f t="shared" si="10"/>
        <v/>
      </c>
      <c r="K121" s="9">
        <f t="shared" si="9"/>
        <v>0</v>
      </c>
      <c r="L121"/>
      <c r="M121"/>
      <c r="N121"/>
    </row>
    <row r="122" spans="6:14" ht="14.25" x14ac:dyDescent="0.45">
      <c r="F122" s="14"/>
      <c r="G122" s="9">
        <f t="shared" si="6"/>
        <v>0</v>
      </c>
      <c r="H122" s="9">
        <f t="shared" si="7"/>
        <v>0</v>
      </c>
      <c r="I122" s="8">
        <f t="shared" si="8"/>
        <v>0</v>
      </c>
      <c r="J122" s="9" t="str">
        <f t="shared" si="10"/>
        <v/>
      </c>
      <c r="K122" s="9">
        <f t="shared" si="9"/>
        <v>0</v>
      </c>
      <c r="L122"/>
      <c r="M122"/>
      <c r="N122"/>
    </row>
    <row r="123" spans="6:14" ht="14.25" x14ac:dyDescent="0.45">
      <c r="F123" s="14"/>
      <c r="G123" s="9">
        <f t="shared" si="6"/>
        <v>0</v>
      </c>
      <c r="H123" s="9">
        <f t="shared" si="7"/>
        <v>0</v>
      </c>
      <c r="I123" s="8">
        <f t="shared" si="8"/>
        <v>0</v>
      </c>
      <c r="J123" s="9" t="str">
        <f t="shared" si="10"/>
        <v/>
      </c>
      <c r="K123" s="9">
        <f t="shared" si="9"/>
        <v>0</v>
      </c>
      <c r="L123"/>
      <c r="M123"/>
      <c r="N123"/>
    </row>
    <row r="124" spans="6:14" ht="14.25" x14ac:dyDescent="0.45">
      <c r="F124" s="14"/>
      <c r="G124" s="9">
        <f t="shared" si="6"/>
        <v>0</v>
      </c>
      <c r="H124" s="9">
        <f t="shared" si="7"/>
        <v>0</v>
      </c>
      <c r="I124" s="8">
        <f t="shared" si="8"/>
        <v>0</v>
      </c>
      <c r="J124" s="9" t="str">
        <f t="shared" si="10"/>
        <v/>
      </c>
      <c r="K124" s="9">
        <f t="shared" si="9"/>
        <v>0</v>
      </c>
      <c r="L124"/>
      <c r="M124"/>
      <c r="N124"/>
    </row>
    <row r="125" spans="6:14" ht="14.25" x14ac:dyDescent="0.45">
      <c r="F125" s="14"/>
      <c r="G125" s="9">
        <f t="shared" si="6"/>
        <v>0</v>
      </c>
      <c r="H125" s="9">
        <f t="shared" si="7"/>
        <v>0</v>
      </c>
      <c r="I125" s="8">
        <f t="shared" si="8"/>
        <v>0</v>
      </c>
      <c r="J125" s="9" t="str">
        <f t="shared" si="10"/>
        <v/>
      </c>
      <c r="K125" s="9">
        <f t="shared" si="9"/>
        <v>0</v>
      </c>
      <c r="L125"/>
      <c r="M125"/>
      <c r="N125"/>
    </row>
    <row r="126" spans="6:14" ht="14.25" x14ac:dyDescent="0.45">
      <c r="F126" s="14"/>
      <c r="G126" s="9">
        <f t="shared" si="6"/>
        <v>0</v>
      </c>
      <c r="H126" s="9">
        <f t="shared" si="7"/>
        <v>0</v>
      </c>
      <c r="I126" s="8">
        <f t="shared" si="8"/>
        <v>0</v>
      </c>
      <c r="J126" s="9" t="str">
        <f t="shared" si="10"/>
        <v/>
      </c>
      <c r="K126" s="9">
        <f t="shared" si="9"/>
        <v>0</v>
      </c>
      <c r="L126"/>
      <c r="M126"/>
      <c r="N126"/>
    </row>
    <row r="127" spans="6:14" ht="14.25" x14ac:dyDescent="0.45">
      <c r="F127" s="14"/>
      <c r="G127" s="9">
        <f t="shared" si="6"/>
        <v>0</v>
      </c>
      <c r="H127" s="9">
        <f t="shared" si="7"/>
        <v>0</v>
      </c>
      <c r="I127" s="8">
        <f t="shared" si="8"/>
        <v>0</v>
      </c>
      <c r="J127" s="9" t="str">
        <f t="shared" si="10"/>
        <v/>
      </c>
      <c r="K127" s="9">
        <f t="shared" si="9"/>
        <v>0</v>
      </c>
      <c r="L127"/>
      <c r="M127"/>
      <c r="N127"/>
    </row>
    <row r="128" spans="6:14" ht="14.25" x14ac:dyDescent="0.45">
      <c r="F128" s="14"/>
      <c r="G128" s="9">
        <f t="shared" si="6"/>
        <v>0</v>
      </c>
      <c r="H128" s="9">
        <f t="shared" si="7"/>
        <v>0</v>
      </c>
      <c r="I128" s="8">
        <f t="shared" si="8"/>
        <v>0</v>
      </c>
      <c r="J128" s="9" t="str">
        <f t="shared" si="10"/>
        <v/>
      </c>
      <c r="K128" s="9">
        <f t="shared" si="9"/>
        <v>0</v>
      </c>
      <c r="L128"/>
      <c r="M128"/>
      <c r="N128"/>
    </row>
    <row r="129" spans="6:14" ht="14.25" x14ac:dyDescent="0.45">
      <c r="F129" s="14"/>
      <c r="G129" s="9">
        <f t="shared" si="6"/>
        <v>0</v>
      </c>
      <c r="H129" s="9">
        <f t="shared" si="7"/>
        <v>0</v>
      </c>
      <c r="I129" s="8">
        <f t="shared" si="8"/>
        <v>0</v>
      </c>
      <c r="J129" s="9" t="str">
        <f t="shared" si="10"/>
        <v/>
      </c>
      <c r="K129" s="9">
        <f t="shared" si="9"/>
        <v>0</v>
      </c>
      <c r="L129"/>
      <c r="M129"/>
      <c r="N129"/>
    </row>
    <row r="130" spans="6:14" ht="14.25" x14ac:dyDescent="0.45">
      <c r="F130" s="14"/>
      <c r="G130" s="9">
        <f t="shared" si="6"/>
        <v>0</v>
      </c>
      <c r="H130" s="9">
        <f t="shared" si="7"/>
        <v>0</v>
      </c>
      <c r="I130" s="8">
        <f t="shared" si="8"/>
        <v>0</v>
      </c>
      <c r="J130" s="9" t="str">
        <f t="shared" si="10"/>
        <v/>
      </c>
      <c r="K130" s="9">
        <f t="shared" si="9"/>
        <v>0</v>
      </c>
      <c r="L130"/>
      <c r="M130"/>
      <c r="N130"/>
    </row>
    <row r="131" spans="6:14" ht="14.25" x14ac:dyDescent="0.45">
      <c r="F131" s="14"/>
      <c r="G131" s="9">
        <f t="shared" si="6"/>
        <v>0</v>
      </c>
      <c r="H131" s="9">
        <f t="shared" si="7"/>
        <v>0</v>
      </c>
      <c r="I131" s="8">
        <f t="shared" si="8"/>
        <v>0</v>
      </c>
      <c r="J131" s="9" t="str">
        <f t="shared" si="10"/>
        <v/>
      </c>
      <c r="K131" s="9">
        <f t="shared" si="9"/>
        <v>0</v>
      </c>
      <c r="L131"/>
      <c r="M131"/>
      <c r="N131"/>
    </row>
    <row r="132" spans="6:14" ht="14.25" x14ac:dyDescent="0.45">
      <c r="F132" s="14"/>
      <c r="G132" s="9">
        <f t="shared" si="6"/>
        <v>0</v>
      </c>
      <c r="H132" s="9">
        <f t="shared" si="7"/>
        <v>0</v>
      </c>
      <c r="I132" s="8">
        <f t="shared" si="8"/>
        <v>0</v>
      </c>
      <c r="J132" s="9" t="str">
        <f t="shared" si="10"/>
        <v/>
      </c>
      <c r="K132" s="9">
        <f t="shared" si="9"/>
        <v>0</v>
      </c>
      <c r="L132"/>
      <c r="M132"/>
      <c r="N132"/>
    </row>
    <row r="133" spans="6:14" ht="14.25" x14ac:dyDescent="0.45">
      <c r="F133" s="14"/>
      <c r="G133" s="9">
        <f t="shared" ref="G133:G196" si="11">_xlfn.IFNA(VLOOKUP(L133,f_details_of_candidates,4,FALSE),"")</f>
        <v>0</v>
      </c>
      <c r="H133" s="9">
        <f t="shared" ref="H133:H196" si="12">_xlfn.IFNA(VLOOKUP(L133,f_details_of_candidates,3,FALSE),"")</f>
        <v>0</v>
      </c>
      <c r="I133" s="8">
        <f t="shared" ref="I133:I196" si="13">_xlfn.IFNA(VLOOKUP(L133,f_details_of_candidates,5,FALSE),"")</f>
        <v>0</v>
      </c>
      <c r="J133" s="9" t="str">
        <f t="shared" si="10"/>
        <v/>
      </c>
      <c r="K133" s="9">
        <f t="shared" ref="K133:K196" si="14">_xlfn.IFNA(VLOOKUP(L133,f_details_of_candidates,2,FALSE),"")</f>
        <v>0</v>
      </c>
      <c r="L133"/>
      <c r="M133"/>
      <c r="N133"/>
    </row>
    <row r="134" spans="6:14" ht="14.25" x14ac:dyDescent="0.45">
      <c r="F134" s="14"/>
      <c r="G134" s="9">
        <f t="shared" si="11"/>
        <v>0</v>
      </c>
      <c r="H134" s="9">
        <f t="shared" si="12"/>
        <v>0</v>
      </c>
      <c r="I134" s="8">
        <f t="shared" si="13"/>
        <v>0</v>
      </c>
      <c r="J134" s="9" t="str">
        <f t="shared" ref="J134:J197" si="15">IF(L134&lt;&gt;0,RANK(M134,M$5:M$326,0),"")</f>
        <v/>
      </c>
      <c r="K134" s="9">
        <f t="shared" si="14"/>
        <v>0</v>
      </c>
      <c r="L134"/>
      <c r="M134"/>
      <c r="N134"/>
    </row>
    <row r="135" spans="6:14" ht="14.25" x14ac:dyDescent="0.45">
      <c r="F135" s="14"/>
      <c r="G135" s="9">
        <f t="shared" si="11"/>
        <v>0</v>
      </c>
      <c r="H135" s="9">
        <f t="shared" si="12"/>
        <v>0</v>
      </c>
      <c r="I135" s="8">
        <f t="shared" si="13"/>
        <v>0</v>
      </c>
      <c r="J135" s="9" t="str">
        <f t="shared" si="15"/>
        <v/>
      </c>
      <c r="K135" s="9">
        <f t="shared" si="14"/>
        <v>0</v>
      </c>
      <c r="L135"/>
      <c r="M135"/>
      <c r="N135"/>
    </row>
    <row r="136" spans="6:14" ht="14.25" x14ac:dyDescent="0.45">
      <c r="F136" s="14"/>
      <c r="G136" s="9">
        <f t="shared" si="11"/>
        <v>0</v>
      </c>
      <c r="H136" s="9">
        <f t="shared" si="12"/>
        <v>0</v>
      </c>
      <c r="I136" s="8">
        <f t="shared" si="13"/>
        <v>0</v>
      </c>
      <c r="J136" s="9" t="str">
        <f t="shared" si="15"/>
        <v/>
      </c>
      <c r="K136" s="9">
        <f t="shared" si="14"/>
        <v>0</v>
      </c>
      <c r="L136"/>
      <c r="M136"/>
      <c r="N136"/>
    </row>
    <row r="137" spans="6:14" ht="14.25" x14ac:dyDescent="0.45">
      <c r="F137" s="14"/>
      <c r="G137" s="9">
        <f t="shared" si="11"/>
        <v>0</v>
      </c>
      <c r="H137" s="9">
        <f t="shared" si="12"/>
        <v>0</v>
      </c>
      <c r="I137" s="8">
        <f t="shared" si="13"/>
        <v>0</v>
      </c>
      <c r="J137" s="9" t="str">
        <f t="shared" si="15"/>
        <v/>
      </c>
      <c r="K137" s="9">
        <f t="shared" si="14"/>
        <v>0</v>
      </c>
      <c r="L137"/>
      <c r="M137"/>
      <c r="N137"/>
    </row>
    <row r="138" spans="6:14" ht="14.25" x14ac:dyDescent="0.45">
      <c r="F138" s="14"/>
      <c r="G138" s="9">
        <f t="shared" si="11"/>
        <v>0</v>
      </c>
      <c r="H138" s="9">
        <f t="shared" si="12"/>
        <v>0</v>
      </c>
      <c r="I138" s="8">
        <f t="shared" si="13"/>
        <v>0</v>
      </c>
      <c r="J138" s="9" t="str">
        <f t="shared" si="15"/>
        <v/>
      </c>
      <c r="K138" s="9">
        <f t="shared" si="14"/>
        <v>0</v>
      </c>
      <c r="L138"/>
      <c r="M138"/>
      <c r="N138"/>
    </row>
    <row r="139" spans="6:14" ht="14.25" x14ac:dyDescent="0.45">
      <c r="F139" s="14"/>
      <c r="G139" s="9">
        <f t="shared" si="11"/>
        <v>0</v>
      </c>
      <c r="H139" s="9">
        <f t="shared" si="12"/>
        <v>0</v>
      </c>
      <c r="I139" s="8">
        <f t="shared" si="13"/>
        <v>0</v>
      </c>
      <c r="J139" s="9" t="str">
        <f t="shared" si="15"/>
        <v/>
      </c>
      <c r="K139" s="9">
        <f t="shared" si="14"/>
        <v>0</v>
      </c>
      <c r="L139"/>
      <c r="M139"/>
      <c r="N139"/>
    </row>
    <row r="140" spans="6:14" ht="14.25" x14ac:dyDescent="0.45">
      <c r="F140" s="14"/>
      <c r="G140" s="9">
        <f t="shared" si="11"/>
        <v>0</v>
      </c>
      <c r="H140" s="9">
        <f t="shared" si="12"/>
        <v>0</v>
      </c>
      <c r="I140" s="8">
        <f t="shared" si="13"/>
        <v>0</v>
      </c>
      <c r="J140" s="9" t="str">
        <f t="shared" si="15"/>
        <v/>
      </c>
      <c r="K140" s="9">
        <f t="shared" si="14"/>
        <v>0</v>
      </c>
      <c r="L140"/>
      <c r="M140"/>
      <c r="N140"/>
    </row>
    <row r="141" spans="6:14" ht="14.25" x14ac:dyDescent="0.45">
      <c r="F141" s="14"/>
      <c r="G141" s="9">
        <f t="shared" si="11"/>
        <v>0</v>
      </c>
      <c r="H141" s="9">
        <f t="shared" si="12"/>
        <v>0</v>
      </c>
      <c r="I141" s="8">
        <f t="shared" si="13"/>
        <v>0</v>
      </c>
      <c r="J141" s="9" t="str">
        <f t="shared" si="15"/>
        <v/>
      </c>
      <c r="K141" s="9">
        <f t="shared" si="14"/>
        <v>0</v>
      </c>
      <c r="L141"/>
      <c r="M141"/>
      <c r="N141"/>
    </row>
    <row r="142" spans="6:14" ht="14.25" x14ac:dyDescent="0.45">
      <c r="F142" s="14"/>
      <c r="G142" s="9">
        <f t="shared" si="11"/>
        <v>0</v>
      </c>
      <c r="H142" s="9">
        <f t="shared" si="12"/>
        <v>0</v>
      </c>
      <c r="I142" s="8">
        <f t="shared" si="13"/>
        <v>0</v>
      </c>
      <c r="J142" s="9" t="str">
        <f t="shared" si="15"/>
        <v/>
      </c>
      <c r="K142" s="9">
        <f t="shared" si="14"/>
        <v>0</v>
      </c>
      <c r="L142"/>
      <c r="M142"/>
      <c r="N142"/>
    </row>
    <row r="143" spans="6:14" ht="14.25" x14ac:dyDescent="0.45">
      <c r="F143" s="14"/>
      <c r="G143" s="9">
        <f t="shared" si="11"/>
        <v>0</v>
      </c>
      <c r="H143" s="9">
        <f t="shared" si="12"/>
        <v>0</v>
      </c>
      <c r="I143" s="8">
        <f t="shared" si="13"/>
        <v>0</v>
      </c>
      <c r="J143" s="9" t="str">
        <f t="shared" si="15"/>
        <v/>
      </c>
      <c r="K143" s="9">
        <f t="shared" si="14"/>
        <v>0</v>
      </c>
      <c r="L143"/>
      <c r="M143"/>
      <c r="N143"/>
    </row>
    <row r="144" spans="6:14" ht="14.25" x14ac:dyDescent="0.45">
      <c r="F144" s="14"/>
      <c r="G144" s="9">
        <f t="shared" si="11"/>
        <v>0</v>
      </c>
      <c r="H144" s="9">
        <f t="shared" si="12"/>
        <v>0</v>
      </c>
      <c r="I144" s="8">
        <f t="shared" si="13"/>
        <v>0</v>
      </c>
      <c r="J144" s="9" t="str">
        <f t="shared" si="15"/>
        <v/>
      </c>
      <c r="K144" s="9">
        <f t="shared" si="14"/>
        <v>0</v>
      </c>
      <c r="L144"/>
      <c r="M144"/>
      <c r="N144"/>
    </row>
    <row r="145" spans="6:14" ht="14.25" x14ac:dyDescent="0.45">
      <c r="F145" s="14"/>
      <c r="G145" s="9">
        <f t="shared" si="11"/>
        <v>0</v>
      </c>
      <c r="H145" s="9">
        <f t="shared" si="12"/>
        <v>0</v>
      </c>
      <c r="I145" s="8">
        <f t="shared" si="13"/>
        <v>0</v>
      </c>
      <c r="J145" s="9" t="str">
        <f t="shared" si="15"/>
        <v/>
      </c>
      <c r="K145" s="9">
        <f t="shared" si="14"/>
        <v>0</v>
      </c>
      <c r="L145"/>
      <c r="M145"/>
      <c r="N145"/>
    </row>
    <row r="146" spans="6:14" ht="14.25" x14ac:dyDescent="0.45">
      <c r="F146" s="14"/>
      <c r="G146" s="9">
        <f t="shared" si="11"/>
        <v>0</v>
      </c>
      <c r="H146" s="9">
        <f t="shared" si="12"/>
        <v>0</v>
      </c>
      <c r="I146" s="8">
        <f t="shared" si="13"/>
        <v>0</v>
      </c>
      <c r="J146" s="9" t="str">
        <f t="shared" si="15"/>
        <v/>
      </c>
      <c r="K146" s="9">
        <f t="shared" si="14"/>
        <v>0</v>
      </c>
      <c r="L146"/>
      <c r="M146"/>
      <c r="N146"/>
    </row>
    <row r="147" spans="6:14" ht="14.25" x14ac:dyDescent="0.45">
      <c r="F147" s="14"/>
      <c r="G147" s="9">
        <f t="shared" si="11"/>
        <v>0</v>
      </c>
      <c r="H147" s="9">
        <f t="shared" si="12"/>
        <v>0</v>
      </c>
      <c r="I147" s="8">
        <f t="shared" si="13"/>
        <v>0</v>
      </c>
      <c r="J147" s="9" t="str">
        <f t="shared" si="15"/>
        <v/>
      </c>
      <c r="K147" s="9">
        <f t="shared" si="14"/>
        <v>0</v>
      </c>
      <c r="L147"/>
      <c r="M147"/>
      <c r="N147"/>
    </row>
    <row r="148" spans="6:14" ht="14.25" x14ac:dyDescent="0.45">
      <c r="F148" s="14"/>
      <c r="G148" s="9">
        <f t="shared" si="11"/>
        <v>0</v>
      </c>
      <c r="H148" s="9">
        <f t="shared" si="12"/>
        <v>0</v>
      </c>
      <c r="I148" s="8">
        <f t="shared" si="13"/>
        <v>0</v>
      </c>
      <c r="J148" s="9" t="str">
        <f t="shared" si="15"/>
        <v/>
      </c>
      <c r="K148" s="9">
        <f t="shared" si="14"/>
        <v>0</v>
      </c>
      <c r="L148"/>
      <c r="M148"/>
      <c r="N148"/>
    </row>
    <row r="149" spans="6:14" ht="14.25" x14ac:dyDescent="0.45">
      <c r="F149" s="14"/>
      <c r="G149" s="9">
        <f t="shared" si="11"/>
        <v>0</v>
      </c>
      <c r="H149" s="9">
        <f t="shared" si="12"/>
        <v>0</v>
      </c>
      <c r="I149" s="8">
        <f t="shared" si="13"/>
        <v>0</v>
      </c>
      <c r="J149" s="9" t="str">
        <f t="shared" si="15"/>
        <v/>
      </c>
      <c r="K149" s="9">
        <f t="shared" si="14"/>
        <v>0</v>
      </c>
      <c r="L149"/>
      <c r="M149"/>
      <c r="N149"/>
    </row>
    <row r="150" spans="6:14" ht="14.25" x14ac:dyDescent="0.45">
      <c r="F150" s="14"/>
      <c r="G150" s="9">
        <f t="shared" si="11"/>
        <v>0</v>
      </c>
      <c r="H150" s="9">
        <f t="shared" si="12"/>
        <v>0</v>
      </c>
      <c r="I150" s="8">
        <f t="shared" si="13"/>
        <v>0</v>
      </c>
      <c r="J150" s="9" t="str">
        <f t="shared" si="15"/>
        <v/>
      </c>
      <c r="K150" s="9">
        <f t="shared" si="14"/>
        <v>0</v>
      </c>
      <c r="L150"/>
      <c r="M150"/>
      <c r="N150"/>
    </row>
    <row r="151" spans="6:14" ht="14.25" x14ac:dyDescent="0.45">
      <c r="F151" s="14"/>
      <c r="G151" s="9">
        <f t="shared" si="11"/>
        <v>0</v>
      </c>
      <c r="H151" s="9">
        <f t="shared" si="12"/>
        <v>0</v>
      </c>
      <c r="I151" s="8">
        <f t="shared" si="13"/>
        <v>0</v>
      </c>
      <c r="J151" s="9" t="str">
        <f t="shared" si="15"/>
        <v/>
      </c>
      <c r="K151" s="9">
        <f t="shared" si="14"/>
        <v>0</v>
      </c>
      <c r="L151"/>
      <c r="M151"/>
      <c r="N151"/>
    </row>
    <row r="152" spans="6:14" ht="14.25" x14ac:dyDescent="0.45">
      <c r="F152" s="14"/>
      <c r="G152" s="9">
        <f t="shared" si="11"/>
        <v>0</v>
      </c>
      <c r="H152" s="9">
        <f t="shared" si="12"/>
        <v>0</v>
      </c>
      <c r="I152" s="8">
        <f t="shared" si="13"/>
        <v>0</v>
      </c>
      <c r="J152" s="9" t="str">
        <f t="shared" si="15"/>
        <v/>
      </c>
      <c r="K152" s="9">
        <f t="shared" si="14"/>
        <v>0</v>
      </c>
      <c r="L152"/>
      <c r="M152"/>
      <c r="N152"/>
    </row>
    <row r="153" spans="6:14" ht="14.25" x14ac:dyDescent="0.45">
      <c r="F153" s="14"/>
      <c r="G153" s="9">
        <f t="shared" si="11"/>
        <v>0</v>
      </c>
      <c r="H153" s="9">
        <f t="shared" si="12"/>
        <v>0</v>
      </c>
      <c r="I153" s="8">
        <f t="shared" si="13"/>
        <v>0</v>
      </c>
      <c r="J153" s="9" t="str">
        <f t="shared" si="15"/>
        <v/>
      </c>
      <c r="K153" s="9">
        <f t="shared" si="14"/>
        <v>0</v>
      </c>
      <c r="L153"/>
      <c r="M153"/>
      <c r="N153"/>
    </row>
    <row r="154" spans="6:14" ht="14.25" x14ac:dyDescent="0.45">
      <c r="F154" s="14"/>
      <c r="G154" s="9">
        <f t="shared" si="11"/>
        <v>0</v>
      </c>
      <c r="H154" s="9">
        <f t="shared" si="12"/>
        <v>0</v>
      </c>
      <c r="I154" s="8">
        <f t="shared" si="13"/>
        <v>0</v>
      </c>
      <c r="J154" s="9" t="str">
        <f t="shared" si="15"/>
        <v/>
      </c>
      <c r="K154" s="9">
        <f t="shared" si="14"/>
        <v>0</v>
      </c>
      <c r="L154"/>
      <c r="M154"/>
      <c r="N154"/>
    </row>
    <row r="155" spans="6:14" ht="14.25" x14ac:dyDescent="0.45">
      <c r="F155" s="14"/>
      <c r="G155" s="9">
        <f t="shared" si="11"/>
        <v>0</v>
      </c>
      <c r="H155" s="9">
        <f t="shared" si="12"/>
        <v>0</v>
      </c>
      <c r="I155" s="8">
        <f t="shared" si="13"/>
        <v>0</v>
      </c>
      <c r="J155" s="9" t="str">
        <f t="shared" si="15"/>
        <v/>
      </c>
      <c r="K155" s="9">
        <f t="shared" si="14"/>
        <v>0</v>
      </c>
      <c r="L155"/>
      <c r="M155"/>
      <c r="N155"/>
    </row>
    <row r="156" spans="6:14" ht="14.25" x14ac:dyDescent="0.45">
      <c r="F156" s="14"/>
      <c r="G156" s="9">
        <f t="shared" si="11"/>
        <v>0</v>
      </c>
      <c r="H156" s="9">
        <f t="shared" si="12"/>
        <v>0</v>
      </c>
      <c r="I156" s="8">
        <f t="shared" si="13"/>
        <v>0</v>
      </c>
      <c r="J156" s="9" t="str">
        <f t="shared" si="15"/>
        <v/>
      </c>
      <c r="K156" s="9">
        <f t="shared" si="14"/>
        <v>0</v>
      </c>
      <c r="L156"/>
      <c r="M156"/>
      <c r="N156"/>
    </row>
    <row r="157" spans="6:14" ht="14.25" x14ac:dyDescent="0.45">
      <c r="F157" s="14"/>
      <c r="G157" s="9">
        <f t="shared" si="11"/>
        <v>0</v>
      </c>
      <c r="H157" s="9">
        <f t="shared" si="12"/>
        <v>0</v>
      </c>
      <c r="I157" s="8">
        <f t="shared" si="13"/>
        <v>0</v>
      </c>
      <c r="J157" s="9" t="str">
        <f t="shared" si="15"/>
        <v/>
      </c>
      <c r="K157" s="9">
        <f t="shared" si="14"/>
        <v>0</v>
      </c>
      <c r="L157"/>
      <c r="M157"/>
      <c r="N157"/>
    </row>
    <row r="158" spans="6:14" ht="14.25" x14ac:dyDescent="0.45">
      <c r="F158" s="14"/>
      <c r="G158" s="9">
        <f t="shared" si="11"/>
        <v>0</v>
      </c>
      <c r="H158" s="9">
        <f t="shared" si="12"/>
        <v>0</v>
      </c>
      <c r="I158" s="8">
        <f t="shared" si="13"/>
        <v>0</v>
      </c>
      <c r="J158" s="9" t="str">
        <f t="shared" si="15"/>
        <v/>
      </c>
      <c r="K158" s="9">
        <f t="shared" si="14"/>
        <v>0</v>
      </c>
      <c r="L158"/>
      <c r="M158"/>
      <c r="N158"/>
    </row>
    <row r="159" spans="6:14" ht="14.25" x14ac:dyDescent="0.45">
      <c r="F159" s="14"/>
      <c r="G159" s="9">
        <f t="shared" si="11"/>
        <v>0</v>
      </c>
      <c r="H159" s="9">
        <f t="shared" si="12"/>
        <v>0</v>
      </c>
      <c r="I159" s="8">
        <f t="shared" si="13"/>
        <v>0</v>
      </c>
      <c r="J159" s="9" t="str">
        <f t="shared" si="15"/>
        <v/>
      </c>
      <c r="K159" s="9">
        <f t="shared" si="14"/>
        <v>0</v>
      </c>
      <c r="L159"/>
      <c r="M159"/>
      <c r="N159"/>
    </row>
    <row r="160" spans="6:14" ht="14.25" x14ac:dyDescent="0.45">
      <c r="F160" s="14"/>
      <c r="G160" s="9">
        <f t="shared" si="11"/>
        <v>0</v>
      </c>
      <c r="H160" s="9">
        <f t="shared" si="12"/>
        <v>0</v>
      </c>
      <c r="I160" s="8">
        <f t="shared" si="13"/>
        <v>0</v>
      </c>
      <c r="J160" s="9" t="str">
        <f t="shared" si="15"/>
        <v/>
      </c>
      <c r="K160" s="9">
        <f t="shared" si="14"/>
        <v>0</v>
      </c>
      <c r="L160"/>
      <c r="M160"/>
      <c r="N160"/>
    </row>
    <row r="161" spans="6:14" ht="14.25" x14ac:dyDescent="0.45">
      <c r="F161" s="14"/>
      <c r="G161" s="9">
        <f t="shared" si="11"/>
        <v>0</v>
      </c>
      <c r="H161" s="9">
        <f t="shared" si="12"/>
        <v>0</v>
      </c>
      <c r="I161" s="8">
        <f t="shared" si="13"/>
        <v>0</v>
      </c>
      <c r="J161" s="9" t="str">
        <f t="shared" si="15"/>
        <v/>
      </c>
      <c r="K161" s="9">
        <f t="shared" si="14"/>
        <v>0</v>
      </c>
      <c r="L161"/>
      <c r="M161"/>
      <c r="N161"/>
    </row>
    <row r="162" spans="6:14" ht="14.25" x14ac:dyDescent="0.45">
      <c r="F162" s="14"/>
      <c r="G162" s="9">
        <f t="shared" si="11"/>
        <v>0</v>
      </c>
      <c r="H162" s="9">
        <f t="shared" si="12"/>
        <v>0</v>
      </c>
      <c r="I162" s="8">
        <f t="shared" si="13"/>
        <v>0</v>
      </c>
      <c r="J162" s="9" t="str">
        <f t="shared" si="15"/>
        <v/>
      </c>
      <c r="K162" s="9">
        <f t="shared" si="14"/>
        <v>0</v>
      </c>
      <c r="L162"/>
      <c r="M162"/>
      <c r="N162"/>
    </row>
    <row r="163" spans="6:14" ht="14.25" x14ac:dyDescent="0.45">
      <c r="F163" s="14"/>
      <c r="G163" s="9">
        <f t="shared" si="11"/>
        <v>0</v>
      </c>
      <c r="H163" s="9">
        <f t="shared" si="12"/>
        <v>0</v>
      </c>
      <c r="I163" s="8">
        <f t="shared" si="13"/>
        <v>0</v>
      </c>
      <c r="J163" s="9" t="str">
        <f t="shared" si="15"/>
        <v/>
      </c>
      <c r="K163" s="9">
        <f t="shared" si="14"/>
        <v>0</v>
      </c>
      <c r="L163"/>
      <c r="M163"/>
      <c r="N163"/>
    </row>
    <row r="164" spans="6:14" ht="14.25" x14ac:dyDescent="0.45">
      <c r="F164" s="14"/>
      <c r="G164" s="9">
        <f t="shared" si="11"/>
        <v>0</v>
      </c>
      <c r="H164" s="9">
        <f t="shared" si="12"/>
        <v>0</v>
      </c>
      <c r="I164" s="8">
        <f t="shared" si="13"/>
        <v>0</v>
      </c>
      <c r="J164" s="9" t="str">
        <f t="shared" si="15"/>
        <v/>
      </c>
      <c r="K164" s="9">
        <f t="shared" si="14"/>
        <v>0</v>
      </c>
      <c r="L164"/>
      <c r="M164"/>
      <c r="N164"/>
    </row>
    <row r="165" spans="6:14" ht="14.25" x14ac:dyDescent="0.45">
      <c r="F165" s="14"/>
      <c r="G165" s="9">
        <f t="shared" si="11"/>
        <v>0</v>
      </c>
      <c r="H165" s="9">
        <f t="shared" si="12"/>
        <v>0</v>
      </c>
      <c r="I165" s="8">
        <f t="shared" si="13"/>
        <v>0</v>
      </c>
      <c r="J165" s="9" t="str">
        <f t="shared" si="15"/>
        <v/>
      </c>
      <c r="K165" s="9">
        <f t="shared" si="14"/>
        <v>0</v>
      </c>
      <c r="L165"/>
      <c r="M165"/>
      <c r="N165"/>
    </row>
    <row r="166" spans="6:14" ht="14.25" x14ac:dyDescent="0.45">
      <c r="F166" s="14"/>
      <c r="G166" s="9">
        <f t="shared" si="11"/>
        <v>0</v>
      </c>
      <c r="H166" s="9">
        <f t="shared" si="12"/>
        <v>0</v>
      </c>
      <c r="I166" s="8">
        <f t="shared" si="13"/>
        <v>0</v>
      </c>
      <c r="J166" s="9" t="str">
        <f t="shared" si="15"/>
        <v/>
      </c>
      <c r="K166" s="9">
        <f t="shared" si="14"/>
        <v>0</v>
      </c>
      <c r="L166"/>
      <c r="M166"/>
      <c r="N166"/>
    </row>
    <row r="167" spans="6:14" ht="14.25" x14ac:dyDescent="0.45">
      <c r="F167" s="14"/>
      <c r="G167" s="9">
        <f t="shared" si="11"/>
        <v>0</v>
      </c>
      <c r="H167" s="9">
        <f t="shared" si="12"/>
        <v>0</v>
      </c>
      <c r="I167" s="8">
        <f t="shared" si="13"/>
        <v>0</v>
      </c>
      <c r="J167" s="9" t="str">
        <f t="shared" si="15"/>
        <v/>
      </c>
      <c r="K167" s="9">
        <f t="shared" si="14"/>
        <v>0</v>
      </c>
      <c r="L167"/>
      <c r="M167"/>
      <c r="N167"/>
    </row>
    <row r="168" spans="6:14" ht="14.25" x14ac:dyDescent="0.45">
      <c r="F168" s="14"/>
      <c r="G168" s="9">
        <f t="shared" si="11"/>
        <v>0</v>
      </c>
      <c r="H168" s="9">
        <f t="shared" si="12"/>
        <v>0</v>
      </c>
      <c r="I168" s="8">
        <f t="shared" si="13"/>
        <v>0</v>
      </c>
      <c r="J168" s="9" t="str">
        <f t="shared" si="15"/>
        <v/>
      </c>
      <c r="K168" s="9">
        <f t="shared" si="14"/>
        <v>0</v>
      </c>
      <c r="L168"/>
      <c r="M168"/>
      <c r="N168"/>
    </row>
    <row r="169" spans="6:14" ht="14.25" x14ac:dyDescent="0.45">
      <c r="F169" s="14"/>
      <c r="G169" s="9">
        <f t="shared" si="11"/>
        <v>0</v>
      </c>
      <c r="H169" s="9">
        <f t="shared" si="12"/>
        <v>0</v>
      </c>
      <c r="I169" s="8">
        <f t="shared" si="13"/>
        <v>0</v>
      </c>
      <c r="J169" s="9" t="str">
        <f t="shared" si="15"/>
        <v/>
      </c>
      <c r="K169" s="9">
        <f t="shared" si="14"/>
        <v>0</v>
      </c>
      <c r="L169"/>
      <c r="M169"/>
      <c r="N169"/>
    </row>
    <row r="170" spans="6:14" ht="14.25" x14ac:dyDescent="0.45">
      <c r="F170" s="14"/>
      <c r="G170" s="9">
        <f t="shared" si="11"/>
        <v>0</v>
      </c>
      <c r="H170" s="9">
        <f t="shared" si="12"/>
        <v>0</v>
      </c>
      <c r="I170" s="8">
        <f t="shared" si="13"/>
        <v>0</v>
      </c>
      <c r="J170" s="9" t="str">
        <f t="shared" si="15"/>
        <v/>
      </c>
      <c r="K170" s="9">
        <f t="shared" si="14"/>
        <v>0</v>
      </c>
      <c r="L170"/>
      <c r="M170"/>
      <c r="N170"/>
    </row>
    <row r="171" spans="6:14" ht="14.25" x14ac:dyDescent="0.45">
      <c r="F171" s="14"/>
      <c r="G171" s="9">
        <f t="shared" si="11"/>
        <v>0</v>
      </c>
      <c r="H171" s="9">
        <f t="shared" si="12"/>
        <v>0</v>
      </c>
      <c r="I171" s="8">
        <f t="shared" si="13"/>
        <v>0</v>
      </c>
      <c r="J171" s="9" t="str">
        <f t="shared" si="15"/>
        <v/>
      </c>
      <c r="K171" s="9">
        <f t="shared" si="14"/>
        <v>0</v>
      </c>
      <c r="L171"/>
      <c r="M171"/>
      <c r="N171"/>
    </row>
    <row r="172" spans="6:14" ht="14.25" x14ac:dyDescent="0.45">
      <c r="F172" s="14"/>
      <c r="G172" s="9">
        <f t="shared" si="11"/>
        <v>0</v>
      </c>
      <c r="H172" s="9">
        <f t="shared" si="12"/>
        <v>0</v>
      </c>
      <c r="I172" s="8">
        <f t="shared" si="13"/>
        <v>0</v>
      </c>
      <c r="J172" s="9" t="str">
        <f t="shared" si="15"/>
        <v/>
      </c>
      <c r="K172" s="9">
        <f t="shared" si="14"/>
        <v>0</v>
      </c>
      <c r="L172"/>
      <c r="M172"/>
      <c r="N172"/>
    </row>
    <row r="173" spans="6:14" ht="14.25" x14ac:dyDescent="0.45">
      <c r="F173" s="14"/>
      <c r="G173" s="9">
        <f t="shared" si="11"/>
        <v>0</v>
      </c>
      <c r="H173" s="9">
        <f t="shared" si="12"/>
        <v>0</v>
      </c>
      <c r="I173" s="8">
        <f t="shared" si="13"/>
        <v>0</v>
      </c>
      <c r="J173" s="9" t="str">
        <f t="shared" si="15"/>
        <v/>
      </c>
      <c r="K173" s="9">
        <f t="shared" si="14"/>
        <v>0</v>
      </c>
      <c r="L173"/>
      <c r="M173"/>
      <c r="N173"/>
    </row>
    <row r="174" spans="6:14" ht="14.25" x14ac:dyDescent="0.45">
      <c r="F174" s="14"/>
      <c r="G174" s="9">
        <f t="shared" si="11"/>
        <v>0</v>
      </c>
      <c r="H174" s="9">
        <f t="shared" si="12"/>
        <v>0</v>
      </c>
      <c r="I174" s="8">
        <f t="shared" si="13"/>
        <v>0</v>
      </c>
      <c r="J174" s="9" t="str">
        <f t="shared" si="15"/>
        <v/>
      </c>
      <c r="K174" s="9">
        <f t="shared" si="14"/>
        <v>0</v>
      </c>
      <c r="L174"/>
      <c r="M174"/>
      <c r="N174"/>
    </row>
    <row r="175" spans="6:14" ht="14.25" x14ac:dyDescent="0.45">
      <c r="F175" s="14"/>
      <c r="G175" s="9">
        <f t="shared" si="11"/>
        <v>0</v>
      </c>
      <c r="H175" s="9">
        <f t="shared" si="12"/>
        <v>0</v>
      </c>
      <c r="I175" s="8">
        <f t="shared" si="13"/>
        <v>0</v>
      </c>
      <c r="J175" s="9" t="str">
        <f t="shared" si="15"/>
        <v/>
      </c>
      <c r="K175" s="9">
        <f t="shared" si="14"/>
        <v>0</v>
      </c>
      <c r="L175"/>
      <c r="M175"/>
      <c r="N175"/>
    </row>
    <row r="176" spans="6:14" ht="14.25" x14ac:dyDescent="0.45">
      <c r="F176" s="14"/>
      <c r="G176" s="9">
        <f t="shared" si="11"/>
        <v>0</v>
      </c>
      <c r="H176" s="9">
        <f t="shared" si="12"/>
        <v>0</v>
      </c>
      <c r="I176" s="8">
        <f t="shared" si="13"/>
        <v>0</v>
      </c>
      <c r="J176" s="9" t="str">
        <f t="shared" si="15"/>
        <v/>
      </c>
      <c r="K176" s="9">
        <f t="shared" si="14"/>
        <v>0</v>
      </c>
      <c r="L176"/>
      <c r="M176"/>
      <c r="N176"/>
    </row>
    <row r="177" spans="6:14" ht="14.25" x14ac:dyDescent="0.45">
      <c r="F177" s="14"/>
      <c r="G177" s="9">
        <f t="shared" si="11"/>
        <v>0</v>
      </c>
      <c r="H177" s="9">
        <f t="shared" si="12"/>
        <v>0</v>
      </c>
      <c r="I177" s="8">
        <f t="shared" si="13"/>
        <v>0</v>
      </c>
      <c r="J177" s="9" t="str">
        <f t="shared" si="15"/>
        <v/>
      </c>
      <c r="K177" s="9">
        <f t="shared" si="14"/>
        <v>0</v>
      </c>
      <c r="L177"/>
      <c r="M177"/>
      <c r="N177"/>
    </row>
    <row r="178" spans="6:14" ht="14.25" x14ac:dyDescent="0.45">
      <c r="F178" s="14"/>
      <c r="G178" s="9">
        <f t="shared" si="11"/>
        <v>0</v>
      </c>
      <c r="H178" s="9">
        <f t="shared" si="12"/>
        <v>0</v>
      </c>
      <c r="I178" s="8">
        <f t="shared" si="13"/>
        <v>0</v>
      </c>
      <c r="J178" s="9" t="str">
        <f t="shared" si="15"/>
        <v/>
      </c>
      <c r="K178" s="9">
        <f t="shared" si="14"/>
        <v>0</v>
      </c>
      <c r="L178"/>
      <c r="M178"/>
      <c r="N178"/>
    </row>
    <row r="179" spans="6:14" ht="14.25" x14ac:dyDescent="0.45">
      <c r="F179" s="14"/>
      <c r="G179" s="9">
        <f t="shared" si="11"/>
        <v>0</v>
      </c>
      <c r="H179" s="9">
        <f t="shared" si="12"/>
        <v>0</v>
      </c>
      <c r="I179" s="8">
        <f t="shared" si="13"/>
        <v>0</v>
      </c>
      <c r="J179" s="9" t="str">
        <f t="shared" si="15"/>
        <v/>
      </c>
      <c r="K179" s="9">
        <f t="shared" si="14"/>
        <v>0</v>
      </c>
      <c r="L179"/>
      <c r="M179"/>
      <c r="N179"/>
    </row>
    <row r="180" spans="6:14" ht="14.25" x14ac:dyDescent="0.45">
      <c r="F180" s="14"/>
      <c r="G180" s="9">
        <f t="shared" si="11"/>
        <v>0</v>
      </c>
      <c r="H180" s="9">
        <f t="shared" si="12"/>
        <v>0</v>
      </c>
      <c r="I180" s="8">
        <f t="shared" si="13"/>
        <v>0</v>
      </c>
      <c r="J180" s="9" t="str">
        <f t="shared" si="15"/>
        <v/>
      </c>
      <c r="K180" s="9">
        <f t="shared" si="14"/>
        <v>0</v>
      </c>
      <c r="L180"/>
      <c r="M180"/>
      <c r="N180"/>
    </row>
    <row r="181" spans="6:14" ht="14.25" x14ac:dyDescent="0.45">
      <c r="F181" s="14"/>
      <c r="G181" s="9">
        <f t="shared" si="11"/>
        <v>0</v>
      </c>
      <c r="H181" s="9">
        <f t="shared" si="12"/>
        <v>0</v>
      </c>
      <c r="I181" s="8">
        <f t="shared" si="13"/>
        <v>0</v>
      </c>
      <c r="J181" s="9" t="str">
        <f t="shared" si="15"/>
        <v/>
      </c>
      <c r="K181" s="9">
        <f t="shared" si="14"/>
        <v>0</v>
      </c>
      <c r="L181"/>
      <c r="M181"/>
      <c r="N181"/>
    </row>
    <row r="182" spans="6:14" ht="14.25" x14ac:dyDescent="0.45">
      <c r="F182" s="14"/>
      <c r="G182" s="9">
        <f t="shared" si="11"/>
        <v>0</v>
      </c>
      <c r="H182" s="9">
        <f t="shared" si="12"/>
        <v>0</v>
      </c>
      <c r="I182" s="8">
        <f t="shared" si="13"/>
        <v>0</v>
      </c>
      <c r="J182" s="9" t="str">
        <f t="shared" si="15"/>
        <v/>
      </c>
      <c r="K182" s="9">
        <f t="shared" si="14"/>
        <v>0</v>
      </c>
      <c r="L182"/>
      <c r="M182"/>
      <c r="N182"/>
    </row>
    <row r="183" spans="6:14" ht="14.25" x14ac:dyDescent="0.45">
      <c r="F183" s="14"/>
      <c r="G183" s="9">
        <f t="shared" si="11"/>
        <v>0</v>
      </c>
      <c r="H183" s="9">
        <f t="shared" si="12"/>
        <v>0</v>
      </c>
      <c r="I183" s="8">
        <f t="shared" si="13"/>
        <v>0</v>
      </c>
      <c r="J183" s="9" t="str">
        <f t="shared" si="15"/>
        <v/>
      </c>
      <c r="K183" s="9">
        <f t="shared" si="14"/>
        <v>0</v>
      </c>
      <c r="L183"/>
      <c r="M183"/>
      <c r="N183"/>
    </row>
    <row r="184" spans="6:14" ht="14.25" x14ac:dyDescent="0.45">
      <c r="F184" s="14"/>
      <c r="G184" s="9">
        <f t="shared" si="11"/>
        <v>0</v>
      </c>
      <c r="H184" s="9">
        <f t="shared" si="12"/>
        <v>0</v>
      </c>
      <c r="I184" s="8">
        <f t="shared" si="13"/>
        <v>0</v>
      </c>
      <c r="J184" s="9" t="str">
        <f t="shared" si="15"/>
        <v/>
      </c>
      <c r="K184" s="9">
        <f t="shared" si="14"/>
        <v>0</v>
      </c>
      <c r="L184"/>
      <c r="M184"/>
      <c r="N184"/>
    </row>
    <row r="185" spans="6:14" ht="14.25" x14ac:dyDescent="0.45">
      <c r="F185" s="14"/>
      <c r="G185" s="9">
        <f t="shared" si="11"/>
        <v>0</v>
      </c>
      <c r="H185" s="9">
        <f t="shared" si="12"/>
        <v>0</v>
      </c>
      <c r="I185" s="8">
        <f t="shared" si="13"/>
        <v>0</v>
      </c>
      <c r="J185" s="9" t="str">
        <f t="shared" si="15"/>
        <v/>
      </c>
      <c r="K185" s="9">
        <f t="shared" si="14"/>
        <v>0</v>
      </c>
      <c r="L185"/>
      <c r="M185"/>
      <c r="N185"/>
    </row>
    <row r="186" spans="6:14" ht="14.25" x14ac:dyDescent="0.45">
      <c r="F186" s="14"/>
      <c r="G186" s="9">
        <f t="shared" si="11"/>
        <v>0</v>
      </c>
      <c r="H186" s="9">
        <f t="shared" si="12"/>
        <v>0</v>
      </c>
      <c r="I186" s="8">
        <f t="shared" si="13"/>
        <v>0</v>
      </c>
      <c r="J186" s="9" t="str">
        <f t="shared" si="15"/>
        <v/>
      </c>
      <c r="K186" s="9">
        <f t="shared" si="14"/>
        <v>0</v>
      </c>
      <c r="L186"/>
      <c r="M186"/>
      <c r="N186"/>
    </row>
    <row r="187" spans="6:14" ht="14.25" x14ac:dyDescent="0.45">
      <c r="F187" s="14"/>
      <c r="G187" s="9">
        <f t="shared" si="11"/>
        <v>0</v>
      </c>
      <c r="H187" s="9">
        <f t="shared" si="12"/>
        <v>0</v>
      </c>
      <c r="I187" s="8">
        <f t="shared" si="13"/>
        <v>0</v>
      </c>
      <c r="J187" s="9" t="str">
        <f t="shared" si="15"/>
        <v/>
      </c>
      <c r="K187" s="9">
        <f t="shared" si="14"/>
        <v>0</v>
      </c>
      <c r="L187"/>
      <c r="M187"/>
      <c r="N187"/>
    </row>
    <row r="188" spans="6:14" ht="14.25" x14ac:dyDescent="0.45">
      <c r="F188" s="14"/>
      <c r="G188" s="9">
        <f t="shared" si="11"/>
        <v>0</v>
      </c>
      <c r="H188" s="9">
        <f t="shared" si="12"/>
        <v>0</v>
      </c>
      <c r="I188" s="8">
        <f t="shared" si="13"/>
        <v>0</v>
      </c>
      <c r="J188" s="9" t="str">
        <f t="shared" si="15"/>
        <v/>
      </c>
      <c r="K188" s="9">
        <f t="shared" si="14"/>
        <v>0</v>
      </c>
      <c r="L188"/>
      <c r="M188"/>
      <c r="N188"/>
    </row>
    <row r="189" spans="6:14" ht="14.25" x14ac:dyDescent="0.45">
      <c r="F189" s="14"/>
      <c r="G189" s="9">
        <f t="shared" si="11"/>
        <v>0</v>
      </c>
      <c r="H189" s="9">
        <f t="shared" si="12"/>
        <v>0</v>
      </c>
      <c r="I189" s="8">
        <f t="shared" si="13"/>
        <v>0</v>
      </c>
      <c r="J189" s="9" t="str">
        <f t="shared" si="15"/>
        <v/>
      </c>
      <c r="K189" s="9">
        <f t="shared" si="14"/>
        <v>0</v>
      </c>
      <c r="L189"/>
      <c r="M189"/>
      <c r="N189"/>
    </row>
    <row r="190" spans="6:14" ht="14.25" x14ac:dyDescent="0.45">
      <c r="F190" s="14"/>
      <c r="G190" s="9">
        <f t="shared" si="11"/>
        <v>0</v>
      </c>
      <c r="H190" s="9">
        <f t="shared" si="12"/>
        <v>0</v>
      </c>
      <c r="I190" s="8">
        <f t="shared" si="13"/>
        <v>0</v>
      </c>
      <c r="J190" s="9" t="str">
        <f t="shared" si="15"/>
        <v/>
      </c>
      <c r="K190" s="9">
        <f t="shared" si="14"/>
        <v>0</v>
      </c>
      <c r="L190"/>
      <c r="M190"/>
      <c r="N190"/>
    </row>
    <row r="191" spans="6:14" ht="14.25" x14ac:dyDescent="0.45">
      <c r="F191" s="14"/>
      <c r="G191" s="9">
        <f t="shared" si="11"/>
        <v>0</v>
      </c>
      <c r="H191" s="9">
        <f t="shared" si="12"/>
        <v>0</v>
      </c>
      <c r="I191" s="8">
        <f t="shared" si="13"/>
        <v>0</v>
      </c>
      <c r="J191" s="9" t="str">
        <f t="shared" si="15"/>
        <v/>
      </c>
      <c r="K191" s="9">
        <f t="shared" si="14"/>
        <v>0</v>
      </c>
      <c r="L191"/>
      <c r="M191"/>
      <c r="N191"/>
    </row>
    <row r="192" spans="6:14" ht="14.25" x14ac:dyDescent="0.45">
      <c r="F192" s="14"/>
      <c r="G192" s="9">
        <f t="shared" si="11"/>
        <v>0</v>
      </c>
      <c r="H192" s="9">
        <f t="shared" si="12"/>
        <v>0</v>
      </c>
      <c r="I192" s="8">
        <f t="shared" si="13"/>
        <v>0</v>
      </c>
      <c r="J192" s="9" t="str">
        <f t="shared" si="15"/>
        <v/>
      </c>
      <c r="K192" s="9">
        <f t="shared" si="14"/>
        <v>0</v>
      </c>
      <c r="L192"/>
      <c r="M192"/>
      <c r="N192"/>
    </row>
    <row r="193" spans="6:14" ht="14.25" x14ac:dyDescent="0.45">
      <c r="F193" s="14"/>
      <c r="G193" s="9">
        <f t="shared" si="11"/>
        <v>0</v>
      </c>
      <c r="H193" s="9">
        <f t="shared" si="12"/>
        <v>0</v>
      </c>
      <c r="I193" s="8">
        <f t="shared" si="13"/>
        <v>0</v>
      </c>
      <c r="J193" s="9" t="str">
        <f t="shared" si="15"/>
        <v/>
      </c>
      <c r="K193" s="9">
        <f t="shared" si="14"/>
        <v>0</v>
      </c>
      <c r="L193"/>
      <c r="M193"/>
      <c r="N193"/>
    </row>
    <row r="194" spans="6:14" ht="14.25" x14ac:dyDescent="0.45">
      <c r="F194" s="14"/>
      <c r="G194" s="9">
        <f t="shared" si="11"/>
        <v>0</v>
      </c>
      <c r="H194" s="9">
        <f t="shared" si="12"/>
        <v>0</v>
      </c>
      <c r="I194" s="8">
        <f t="shared" si="13"/>
        <v>0</v>
      </c>
      <c r="J194" s="9" t="str">
        <f t="shared" si="15"/>
        <v/>
      </c>
      <c r="K194" s="9">
        <f t="shared" si="14"/>
        <v>0</v>
      </c>
      <c r="L194"/>
      <c r="M194"/>
      <c r="N194"/>
    </row>
    <row r="195" spans="6:14" ht="14.25" x14ac:dyDescent="0.45">
      <c r="F195" s="14"/>
      <c r="G195" s="9">
        <f t="shared" si="11"/>
        <v>0</v>
      </c>
      <c r="H195" s="9">
        <f t="shared" si="12"/>
        <v>0</v>
      </c>
      <c r="I195" s="8">
        <f t="shared" si="13"/>
        <v>0</v>
      </c>
      <c r="J195" s="9" t="str">
        <f t="shared" si="15"/>
        <v/>
      </c>
      <c r="K195" s="9">
        <f t="shared" si="14"/>
        <v>0</v>
      </c>
      <c r="L195"/>
      <c r="M195"/>
      <c r="N195"/>
    </row>
    <row r="196" spans="6:14" ht="14.25" x14ac:dyDescent="0.45">
      <c r="F196" s="14"/>
      <c r="G196" s="9">
        <f t="shared" si="11"/>
        <v>0</v>
      </c>
      <c r="H196" s="9">
        <f t="shared" si="12"/>
        <v>0</v>
      </c>
      <c r="I196" s="8">
        <f t="shared" si="13"/>
        <v>0</v>
      </c>
      <c r="J196" s="9" t="str">
        <f t="shared" si="15"/>
        <v/>
      </c>
      <c r="K196" s="9">
        <f t="shared" si="14"/>
        <v>0</v>
      </c>
      <c r="L196"/>
      <c r="M196"/>
      <c r="N196"/>
    </row>
    <row r="197" spans="6:14" ht="14.25" x14ac:dyDescent="0.45">
      <c r="F197" s="14"/>
      <c r="G197" s="9">
        <f t="shared" ref="G197:G260" si="16">_xlfn.IFNA(VLOOKUP(L197,f_details_of_candidates,4,FALSE),"")</f>
        <v>0</v>
      </c>
      <c r="H197" s="9">
        <f t="shared" ref="H197:H260" si="17">_xlfn.IFNA(VLOOKUP(L197,f_details_of_candidates,3,FALSE),"")</f>
        <v>0</v>
      </c>
      <c r="I197" s="8">
        <f t="shared" ref="I197:I260" si="18">_xlfn.IFNA(VLOOKUP(L197,f_details_of_candidates,5,FALSE),"")</f>
        <v>0</v>
      </c>
      <c r="J197" s="9" t="str">
        <f t="shared" si="15"/>
        <v/>
      </c>
      <c r="K197" s="9">
        <f t="shared" ref="K197:K260" si="19">_xlfn.IFNA(VLOOKUP(L197,f_details_of_candidates,2,FALSE),"")</f>
        <v>0</v>
      </c>
      <c r="L197"/>
      <c r="M197"/>
      <c r="N197"/>
    </row>
    <row r="198" spans="6:14" ht="14.25" x14ac:dyDescent="0.45">
      <c r="F198" s="14"/>
      <c r="G198" s="9">
        <f t="shared" si="16"/>
        <v>0</v>
      </c>
      <c r="H198" s="9">
        <f t="shared" si="17"/>
        <v>0</v>
      </c>
      <c r="I198" s="8">
        <f t="shared" si="18"/>
        <v>0</v>
      </c>
      <c r="J198" s="9" t="str">
        <f t="shared" ref="J198:J261" si="20">IF(L198&lt;&gt;0,RANK(M198,M$5:M$326,0),"")</f>
        <v/>
      </c>
      <c r="K198" s="9">
        <f t="shared" si="19"/>
        <v>0</v>
      </c>
      <c r="L198"/>
      <c r="M198"/>
      <c r="N198"/>
    </row>
    <row r="199" spans="6:14" ht="14.25" x14ac:dyDescent="0.45">
      <c r="F199" s="14"/>
      <c r="G199" s="9">
        <f t="shared" si="16"/>
        <v>0</v>
      </c>
      <c r="H199" s="9">
        <f t="shared" si="17"/>
        <v>0</v>
      </c>
      <c r="I199" s="8">
        <f t="shared" si="18"/>
        <v>0</v>
      </c>
      <c r="J199" s="9" t="str">
        <f t="shared" si="20"/>
        <v/>
      </c>
      <c r="K199" s="9">
        <f t="shared" si="19"/>
        <v>0</v>
      </c>
      <c r="L199"/>
      <c r="M199"/>
      <c r="N199"/>
    </row>
    <row r="200" spans="6:14" ht="14.25" x14ac:dyDescent="0.45">
      <c r="F200" s="14"/>
      <c r="G200" s="9">
        <f t="shared" si="16"/>
        <v>0</v>
      </c>
      <c r="H200" s="9">
        <f t="shared" si="17"/>
        <v>0</v>
      </c>
      <c r="I200" s="8">
        <f t="shared" si="18"/>
        <v>0</v>
      </c>
      <c r="J200" s="9" t="str">
        <f t="shared" si="20"/>
        <v/>
      </c>
      <c r="K200" s="9">
        <f t="shared" si="19"/>
        <v>0</v>
      </c>
      <c r="L200"/>
      <c r="M200"/>
      <c r="N200"/>
    </row>
    <row r="201" spans="6:14" ht="14.25" x14ac:dyDescent="0.45">
      <c r="F201" s="14"/>
      <c r="G201" s="9">
        <f t="shared" si="16"/>
        <v>0</v>
      </c>
      <c r="H201" s="9">
        <f t="shared" si="17"/>
        <v>0</v>
      </c>
      <c r="I201" s="8">
        <f t="shared" si="18"/>
        <v>0</v>
      </c>
      <c r="J201" s="9" t="str">
        <f t="shared" si="20"/>
        <v/>
      </c>
      <c r="K201" s="9">
        <f t="shared" si="19"/>
        <v>0</v>
      </c>
      <c r="L201"/>
      <c r="M201"/>
      <c r="N201"/>
    </row>
    <row r="202" spans="6:14" ht="14.25" x14ac:dyDescent="0.45">
      <c r="F202" s="14"/>
      <c r="G202" s="9">
        <f t="shared" si="16"/>
        <v>0</v>
      </c>
      <c r="H202" s="9">
        <f t="shared" si="17"/>
        <v>0</v>
      </c>
      <c r="I202" s="8">
        <f t="shared" si="18"/>
        <v>0</v>
      </c>
      <c r="J202" s="9" t="str">
        <f t="shared" si="20"/>
        <v/>
      </c>
      <c r="K202" s="9">
        <f t="shared" si="19"/>
        <v>0</v>
      </c>
      <c r="L202"/>
      <c r="M202"/>
      <c r="N202"/>
    </row>
    <row r="203" spans="6:14" ht="14.25" x14ac:dyDescent="0.45">
      <c r="F203" s="14"/>
      <c r="G203" s="9">
        <f t="shared" si="16"/>
        <v>0</v>
      </c>
      <c r="H203" s="9">
        <f t="shared" si="17"/>
        <v>0</v>
      </c>
      <c r="I203" s="8">
        <f t="shared" si="18"/>
        <v>0</v>
      </c>
      <c r="J203" s="9" t="str">
        <f t="shared" si="20"/>
        <v/>
      </c>
      <c r="K203" s="9">
        <f t="shared" si="19"/>
        <v>0</v>
      </c>
      <c r="L203"/>
      <c r="M203"/>
      <c r="N203"/>
    </row>
    <row r="204" spans="6:14" ht="14.25" x14ac:dyDescent="0.45">
      <c r="F204" s="14"/>
      <c r="G204" s="9">
        <f t="shared" si="16"/>
        <v>0</v>
      </c>
      <c r="H204" s="9">
        <f t="shared" si="17"/>
        <v>0</v>
      </c>
      <c r="I204" s="8">
        <f t="shared" si="18"/>
        <v>0</v>
      </c>
      <c r="J204" s="9" t="str">
        <f t="shared" si="20"/>
        <v/>
      </c>
      <c r="K204" s="9">
        <f t="shared" si="19"/>
        <v>0</v>
      </c>
      <c r="L204"/>
      <c r="M204"/>
      <c r="N204"/>
    </row>
    <row r="205" spans="6:14" ht="14.25" x14ac:dyDescent="0.45">
      <c r="F205" s="14"/>
      <c r="G205" s="9">
        <f t="shared" si="16"/>
        <v>0</v>
      </c>
      <c r="H205" s="9">
        <f t="shared" si="17"/>
        <v>0</v>
      </c>
      <c r="I205" s="8">
        <f t="shared" si="18"/>
        <v>0</v>
      </c>
      <c r="J205" s="9" t="str">
        <f t="shared" si="20"/>
        <v/>
      </c>
      <c r="K205" s="9">
        <f t="shared" si="19"/>
        <v>0</v>
      </c>
      <c r="L205"/>
      <c r="M205"/>
      <c r="N205"/>
    </row>
    <row r="206" spans="6:14" ht="14.25" x14ac:dyDescent="0.45">
      <c r="F206" s="14"/>
      <c r="G206" s="9">
        <f t="shared" si="16"/>
        <v>0</v>
      </c>
      <c r="H206" s="9">
        <f t="shared" si="17"/>
        <v>0</v>
      </c>
      <c r="I206" s="8">
        <f t="shared" si="18"/>
        <v>0</v>
      </c>
      <c r="J206" s="9" t="str">
        <f t="shared" si="20"/>
        <v/>
      </c>
      <c r="K206" s="9">
        <f t="shared" si="19"/>
        <v>0</v>
      </c>
      <c r="L206"/>
      <c r="M206"/>
      <c r="N206"/>
    </row>
    <row r="207" spans="6:14" ht="14.25" x14ac:dyDescent="0.45">
      <c r="F207" s="14"/>
      <c r="G207" s="9">
        <f t="shared" si="16"/>
        <v>0</v>
      </c>
      <c r="H207" s="9">
        <f t="shared" si="17"/>
        <v>0</v>
      </c>
      <c r="I207" s="8">
        <f t="shared" si="18"/>
        <v>0</v>
      </c>
      <c r="J207" s="9" t="str">
        <f t="shared" si="20"/>
        <v/>
      </c>
      <c r="K207" s="9">
        <f t="shared" si="19"/>
        <v>0</v>
      </c>
      <c r="L207"/>
      <c r="M207"/>
      <c r="N207"/>
    </row>
    <row r="208" spans="6:14" ht="14.25" x14ac:dyDescent="0.45">
      <c r="F208" s="14"/>
      <c r="G208" s="9">
        <f t="shared" si="16"/>
        <v>0</v>
      </c>
      <c r="H208" s="9">
        <f t="shared" si="17"/>
        <v>0</v>
      </c>
      <c r="I208" s="8">
        <f t="shared" si="18"/>
        <v>0</v>
      </c>
      <c r="J208" s="9" t="str">
        <f t="shared" si="20"/>
        <v/>
      </c>
      <c r="K208" s="9">
        <f t="shared" si="19"/>
        <v>0</v>
      </c>
      <c r="L208"/>
      <c r="M208"/>
      <c r="N208"/>
    </row>
    <row r="209" spans="6:14" ht="14.25" x14ac:dyDescent="0.45">
      <c r="F209" s="14"/>
      <c r="G209" s="9">
        <f t="shared" si="16"/>
        <v>0</v>
      </c>
      <c r="H209" s="9">
        <f t="shared" si="17"/>
        <v>0</v>
      </c>
      <c r="I209" s="8">
        <f t="shared" si="18"/>
        <v>0</v>
      </c>
      <c r="J209" s="9" t="str">
        <f t="shared" si="20"/>
        <v/>
      </c>
      <c r="K209" s="9">
        <f t="shared" si="19"/>
        <v>0</v>
      </c>
      <c r="L209"/>
      <c r="M209"/>
      <c r="N209"/>
    </row>
    <row r="210" spans="6:14" ht="14.25" x14ac:dyDescent="0.45">
      <c r="F210" s="14"/>
      <c r="G210" s="9">
        <f t="shared" si="16"/>
        <v>0</v>
      </c>
      <c r="H210" s="9">
        <f t="shared" si="17"/>
        <v>0</v>
      </c>
      <c r="I210" s="8">
        <f t="shared" si="18"/>
        <v>0</v>
      </c>
      <c r="J210" s="9" t="str">
        <f t="shared" si="20"/>
        <v/>
      </c>
      <c r="K210" s="9">
        <f t="shared" si="19"/>
        <v>0</v>
      </c>
      <c r="L210"/>
      <c r="M210"/>
      <c r="N210"/>
    </row>
    <row r="211" spans="6:14" ht="14.25" x14ac:dyDescent="0.45">
      <c r="F211" s="14"/>
      <c r="G211" s="9">
        <f t="shared" si="16"/>
        <v>0</v>
      </c>
      <c r="H211" s="9">
        <f t="shared" si="17"/>
        <v>0</v>
      </c>
      <c r="I211" s="8">
        <f t="shared" si="18"/>
        <v>0</v>
      </c>
      <c r="J211" s="9" t="str">
        <f t="shared" si="20"/>
        <v/>
      </c>
      <c r="K211" s="9">
        <f t="shared" si="19"/>
        <v>0</v>
      </c>
      <c r="L211"/>
      <c r="M211"/>
      <c r="N211"/>
    </row>
    <row r="212" spans="6:14" ht="14.25" x14ac:dyDescent="0.45">
      <c r="F212" s="14"/>
      <c r="G212" s="9">
        <f t="shared" si="16"/>
        <v>0</v>
      </c>
      <c r="H212" s="9">
        <f t="shared" si="17"/>
        <v>0</v>
      </c>
      <c r="I212" s="8">
        <f t="shared" si="18"/>
        <v>0</v>
      </c>
      <c r="J212" s="9" t="str">
        <f t="shared" si="20"/>
        <v/>
      </c>
      <c r="K212" s="9">
        <f t="shared" si="19"/>
        <v>0</v>
      </c>
      <c r="L212"/>
      <c r="M212"/>
      <c r="N212"/>
    </row>
    <row r="213" spans="6:14" ht="14.25" x14ac:dyDescent="0.45">
      <c r="F213" s="14"/>
      <c r="G213" s="9">
        <f t="shared" si="16"/>
        <v>0</v>
      </c>
      <c r="H213" s="9">
        <f t="shared" si="17"/>
        <v>0</v>
      </c>
      <c r="I213" s="8">
        <f t="shared" si="18"/>
        <v>0</v>
      </c>
      <c r="J213" s="9" t="str">
        <f t="shared" si="20"/>
        <v/>
      </c>
      <c r="K213" s="9">
        <f t="shared" si="19"/>
        <v>0</v>
      </c>
      <c r="L213"/>
      <c r="M213"/>
      <c r="N213"/>
    </row>
    <row r="214" spans="6:14" ht="14.25" x14ac:dyDescent="0.45">
      <c r="F214" s="14"/>
      <c r="G214" s="9">
        <f t="shared" si="16"/>
        <v>0</v>
      </c>
      <c r="H214" s="9">
        <f t="shared" si="17"/>
        <v>0</v>
      </c>
      <c r="I214" s="8">
        <f t="shared" si="18"/>
        <v>0</v>
      </c>
      <c r="J214" s="9" t="str">
        <f t="shared" si="20"/>
        <v/>
      </c>
      <c r="K214" s="9">
        <f t="shared" si="19"/>
        <v>0</v>
      </c>
      <c r="L214"/>
      <c r="M214"/>
      <c r="N214"/>
    </row>
    <row r="215" spans="6:14" ht="14.25" x14ac:dyDescent="0.45">
      <c r="F215" s="14"/>
      <c r="G215" s="9">
        <f t="shared" si="16"/>
        <v>0</v>
      </c>
      <c r="H215" s="9">
        <f t="shared" si="17"/>
        <v>0</v>
      </c>
      <c r="I215" s="8">
        <f t="shared" si="18"/>
        <v>0</v>
      </c>
      <c r="J215" s="9" t="str">
        <f t="shared" si="20"/>
        <v/>
      </c>
      <c r="K215" s="9">
        <f t="shared" si="19"/>
        <v>0</v>
      </c>
      <c r="L215"/>
      <c r="M215"/>
      <c r="N215"/>
    </row>
    <row r="216" spans="6:14" ht="14.25" x14ac:dyDescent="0.45">
      <c r="F216" s="14"/>
      <c r="G216" s="9">
        <f t="shared" si="16"/>
        <v>0</v>
      </c>
      <c r="H216" s="9">
        <f t="shared" si="17"/>
        <v>0</v>
      </c>
      <c r="I216" s="8">
        <f t="shared" si="18"/>
        <v>0</v>
      </c>
      <c r="J216" s="9" t="str">
        <f t="shared" si="20"/>
        <v/>
      </c>
      <c r="K216" s="9">
        <f t="shared" si="19"/>
        <v>0</v>
      </c>
      <c r="L216"/>
      <c r="M216"/>
      <c r="N216"/>
    </row>
    <row r="217" spans="6:14" ht="14.25" x14ac:dyDescent="0.45">
      <c r="F217" s="14"/>
      <c r="G217" s="9">
        <f t="shared" si="16"/>
        <v>0</v>
      </c>
      <c r="H217" s="9">
        <f t="shared" si="17"/>
        <v>0</v>
      </c>
      <c r="I217" s="8">
        <f t="shared" si="18"/>
        <v>0</v>
      </c>
      <c r="J217" s="9" t="str">
        <f t="shared" si="20"/>
        <v/>
      </c>
      <c r="K217" s="9">
        <f t="shared" si="19"/>
        <v>0</v>
      </c>
      <c r="L217"/>
      <c r="M217"/>
      <c r="N217"/>
    </row>
    <row r="218" spans="6:14" ht="14.25" x14ac:dyDescent="0.45">
      <c r="F218" s="14"/>
      <c r="G218" s="9">
        <f t="shared" si="16"/>
        <v>0</v>
      </c>
      <c r="H218" s="9">
        <f t="shared" si="17"/>
        <v>0</v>
      </c>
      <c r="I218" s="8">
        <f t="shared" si="18"/>
        <v>0</v>
      </c>
      <c r="J218" s="9" t="str">
        <f t="shared" si="20"/>
        <v/>
      </c>
      <c r="K218" s="9">
        <f t="shared" si="19"/>
        <v>0</v>
      </c>
      <c r="L218"/>
      <c r="M218"/>
      <c r="N218"/>
    </row>
    <row r="219" spans="6:14" ht="14.25" x14ac:dyDescent="0.45">
      <c r="F219" s="14"/>
      <c r="G219" s="9">
        <f t="shared" si="16"/>
        <v>0</v>
      </c>
      <c r="H219" s="9">
        <f t="shared" si="17"/>
        <v>0</v>
      </c>
      <c r="I219" s="8">
        <f t="shared" si="18"/>
        <v>0</v>
      </c>
      <c r="J219" s="9" t="str">
        <f t="shared" si="20"/>
        <v/>
      </c>
      <c r="K219" s="9">
        <f t="shared" si="19"/>
        <v>0</v>
      </c>
      <c r="L219"/>
      <c r="M219"/>
      <c r="N219"/>
    </row>
    <row r="220" spans="6:14" ht="14.25" x14ac:dyDescent="0.45">
      <c r="F220" s="14"/>
      <c r="G220" s="9">
        <f t="shared" si="16"/>
        <v>0</v>
      </c>
      <c r="H220" s="9">
        <f t="shared" si="17"/>
        <v>0</v>
      </c>
      <c r="I220" s="8">
        <f t="shared" si="18"/>
        <v>0</v>
      </c>
      <c r="J220" s="9" t="str">
        <f t="shared" si="20"/>
        <v/>
      </c>
      <c r="K220" s="9">
        <f t="shared" si="19"/>
        <v>0</v>
      </c>
      <c r="L220"/>
      <c r="M220"/>
      <c r="N220"/>
    </row>
    <row r="221" spans="6:14" ht="14.25" x14ac:dyDescent="0.45">
      <c r="F221" s="14"/>
      <c r="G221" s="9">
        <f t="shared" si="16"/>
        <v>0</v>
      </c>
      <c r="H221" s="9">
        <f t="shared" si="17"/>
        <v>0</v>
      </c>
      <c r="I221" s="8">
        <f t="shared" si="18"/>
        <v>0</v>
      </c>
      <c r="J221" s="9" t="str">
        <f t="shared" si="20"/>
        <v/>
      </c>
      <c r="K221" s="9">
        <f t="shared" si="19"/>
        <v>0</v>
      </c>
      <c r="L221"/>
      <c r="M221"/>
      <c r="N221"/>
    </row>
    <row r="222" spans="6:14" ht="14.25" x14ac:dyDescent="0.45">
      <c r="F222" s="14"/>
      <c r="G222" s="9">
        <f t="shared" si="16"/>
        <v>0</v>
      </c>
      <c r="H222" s="9">
        <f t="shared" si="17"/>
        <v>0</v>
      </c>
      <c r="I222" s="8">
        <f t="shared" si="18"/>
        <v>0</v>
      </c>
      <c r="J222" s="9" t="str">
        <f t="shared" si="20"/>
        <v/>
      </c>
      <c r="K222" s="9">
        <f t="shared" si="19"/>
        <v>0</v>
      </c>
      <c r="L222"/>
      <c r="M222"/>
      <c r="N222"/>
    </row>
    <row r="223" spans="6:14" ht="14.25" x14ac:dyDescent="0.45">
      <c r="F223" s="14"/>
      <c r="G223" s="9">
        <f t="shared" si="16"/>
        <v>0</v>
      </c>
      <c r="H223" s="9">
        <f t="shared" si="17"/>
        <v>0</v>
      </c>
      <c r="I223" s="8">
        <f t="shared" si="18"/>
        <v>0</v>
      </c>
      <c r="J223" s="9" t="str">
        <f t="shared" si="20"/>
        <v/>
      </c>
      <c r="K223" s="9">
        <f t="shared" si="19"/>
        <v>0</v>
      </c>
      <c r="L223"/>
      <c r="M223"/>
      <c r="N223"/>
    </row>
    <row r="224" spans="6:14" ht="14.25" x14ac:dyDescent="0.45">
      <c r="F224" s="14"/>
      <c r="G224" s="9">
        <f t="shared" si="16"/>
        <v>0</v>
      </c>
      <c r="H224" s="9">
        <f t="shared" si="17"/>
        <v>0</v>
      </c>
      <c r="I224" s="8">
        <f t="shared" si="18"/>
        <v>0</v>
      </c>
      <c r="J224" s="9" t="str">
        <f t="shared" si="20"/>
        <v/>
      </c>
      <c r="K224" s="9">
        <f t="shared" si="19"/>
        <v>0</v>
      </c>
      <c r="L224"/>
      <c r="M224"/>
      <c r="N224"/>
    </row>
    <row r="225" spans="6:14" ht="14.25" x14ac:dyDescent="0.45">
      <c r="F225" s="14"/>
      <c r="G225" s="9">
        <f t="shared" si="16"/>
        <v>0</v>
      </c>
      <c r="H225" s="9">
        <f t="shared" si="17"/>
        <v>0</v>
      </c>
      <c r="I225" s="8">
        <f t="shared" si="18"/>
        <v>0</v>
      </c>
      <c r="J225" s="9" t="str">
        <f t="shared" si="20"/>
        <v/>
      </c>
      <c r="K225" s="9">
        <f t="shared" si="19"/>
        <v>0</v>
      </c>
      <c r="L225"/>
      <c r="M225"/>
      <c r="N225"/>
    </row>
    <row r="226" spans="6:14" ht="14.25" x14ac:dyDescent="0.45">
      <c r="F226" s="14"/>
      <c r="G226" s="9">
        <f t="shared" si="16"/>
        <v>0</v>
      </c>
      <c r="H226" s="9">
        <f t="shared" si="17"/>
        <v>0</v>
      </c>
      <c r="I226" s="8">
        <f t="shared" si="18"/>
        <v>0</v>
      </c>
      <c r="J226" s="9" t="str">
        <f t="shared" si="20"/>
        <v/>
      </c>
      <c r="K226" s="9">
        <f t="shared" si="19"/>
        <v>0</v>
      </c>
      <c r="L226"/>
      <c r="M226"/>
      <c r="N226"/>
    </row>
    <row r="227" spans="6:14" ht="14.25" x14ac:dyDescent="0.45">
      <c r="F227" s="14"/>
      <c r="G227" s="9">
        <f t="shared" si="16"/>
        <v>0</v>
      </c>
      <c r="H227" s="9">
        <f t="shared" si="17"/>
        <v>0</v>
      </c>
      <c r="I227" s="8">
        <f t="shared" si="18"/>
        <v>0</v>
      </c>
      <c r="J227" s="9" t="str">
        <f t="shared" si="20"/>
        <v/>
      </c>
      <c r="K227" s="9">
        <f t="shared" si="19"/>
        <v>0</v>
      </c>
      <c r="L227"/>
      <c r="M227"/>
      <c r="N227"/>
    </row>
    <row r="228" spans="6:14" ht="14.25" x14ac:dyDescent="0.45">
      <c r="F228" s="14"/>
      <c r="G228" s="9">
        <f t="shared" si="16"/>
        <v>0</v>
      </c>
      <c r="H228" s="9">
        <f t="shared" si="17"/>
        <v>0</v>
      </c>
      <c r="I228" s="8">
        <f t="shared" si="18"/>
        <v>0</v>
      </c>
      <c r="J228" s="9" t="str">
        <f t="shared" si="20"/>
        <v/>
      </c>
      <c r="K228" s="9">
        <f t="shared" si="19"/>
        <v>0</v>
      </c>
      <c r="L228"/>
      <c r="M228"/>
      <c r="N228"/>
    </row>
    <row r="229" spans="6:14" ht="14.25" x14ac:dyDescent="0.45">
      <c r="F229" s="14"/>
      <c r="G229" s="9">
        <f t="shared" si="16"/>
        <v>0</v>
      </c>
      <c r="H229" s="9">
        <f t="shared" si="17"/>
        <v>0</v>
      </c>
      <c r="I229" s="8">
        <f t="shared" si="18"/>
        <v>0</v>
      </c>
      <c r="J229" s="9" t="str">
        <f t="shared" si="20"/>
        <v/>
      </c>
      <c r="K229" s="9">
        <f t="shared" si="19"/>
        <v>0</v>
      </c>
      <c r="L229"/>
      <c r="M229"/>
      <c r="N229"/>
    </row>
    <row r="230" spans="6:14" ht="14.25" x14ac:dyDescent="0.45">
      <c r="F230" s="14"/>
      <c r="G230" s="9">
        <f t="shared" si="16"/>
        <v>0</v>
      </c>
      <c r="H230" s="9">
        <f t="shared" si="17"/>
        <v>0</v>
      </c>
      <c r="I230" s="8">
        <f t="shared" si="18"/>
        <v>0</v>
      </c>
      <c r="J230" s="9" t="str">
        <f t="shared" si="20"/>
        <v/>
      </c>
      <c r="K230" s="9">
        <f t="shared" si="19"/>
        <v>0</v>
      </c>
      <c r="L230"/>
      <c r="M230"/>
      <c r="N230"/>
    </row>
    <row r="231" spans="6:14" ht="14.25" x14ac:dyDescent="0.45">
      <c r="F231" s="14"/>
      <c r="G231" s="9">
        <f t="shared" si="16"/>
        <v>0</v>
      </c>
      <c r="H231" s="9">
        <f t="shared" si="17"/>
        <v>0</v>
      </c>
      <c r="I231" s="8">
        <f t="shared" si="18"/>
        <v>0</v>
      </c>
      <c r="J231" s="9" t="str">
        <f t="shared" si="20"/>
        <v/>
      </c>
      <c r="K231" s="9">
        <f t="shared" si="19"/>
        <v>0</v>
      </c>
      <c r="L231"/>
      <c r="M231"/>
      <c r="N231"/>
    </row>
    <row r="232" spans="6:14" ht="14.25" x14ac:dyDescent="0.45">
      <c r="F232" s="14"/>
      <c r="G232" s="9">
        <f t="shared" si="16"/>
        <v>0</v>
      </c>
      <c r="H232" s="9">
        <f t="shared" si="17"/>
        <v>0</v>
      </c>
      <c r="I232" s="8">
        <f t="shared" si="18"/>
        <v>0</v>
      </c>
      <c r="J232" s="9" t="str">
        <f t="shared" si="20"/>
        <v/>
      </c>
      <c r="K232" s="9">
        <f t="shared" si="19"/>
        <v>0</v>
      </c>
      <c r="L232"/>
      <c r="M232"/>
      <c r="N232"/>
    </row>
    <row r="233" spans="6:14" ht="14.25" x14ac:dyDescent="0.45">
      <c r="F233" s="14"/>
      <c r="G233" s="9">
        <f t="shared" si="16"/>
        <v>0</v>
      </c>
      <c r="H233" s="9">
        <f t="shared" si="17"/>
        <v>0</v>
      </c>
      <c r="I233" s="8">
        <f t="shared" si="18"/>
        <v>0</v>
      </c>
      <c r="J233" s="9" t="str">
        <f t="shared" si="20"/>
        <v/>
      </c>
      <c r="K233" s="9">
        <f t="shared" si="19"/>
        <v>0</v>
      </c>
      <c r="L233"/>
      <c r="M233"/>
      <c r="N233"/>
    </row>
    <row r="234" spans="6:14" ht="14.25" x14ac:dyDescent="0.45">
      <c r="F234" s="14"/>
      <c r="G234" s="9">
        <f t="shared" si="16"/>
        <v>0</v>
      </c>
      <c r="H234" s="9">
        <f t="shared" si="17"/>
        <v>0</v>
      </c>
      <c r="I234" s="8">
        <f t="shared" si="18"/>
        <v>0</v>
      </c>
      <c r="J234" s="9" t="str">
        <f t="shared" si="20"/>
        <v/>
      </c>
      <c r="K234" s="9">
        <f t="shared" si="19"/>
        <v>0</v>
      </c>
      <c r="L234"/>
      <c r="M234"/>
      <c r="N234"/>
    </row>
    <row r="235" spans="6:14" ht="14.25" x14ac:dyDescent="0.45">
      <c r="F235" s="14"/>
      <c r="G235" s="9">
        <f t="shared" si="16"/>
        <v>0</v>
      </c>
      <c r="H235" s="9">
        <f t="shared" si="17"/>
        <v>0</v>
      </c>
      <c r="I235" s="8">
        <f t="shared" si="18"/>
        <v>0</v>
      </c>
      <c r="J235" s="9" t="str">
        <f t="shared" si="20"/>
        <v/>
      </c>
      <c r="K235" s="9">
        <f t="shared" si="19"/>
        <v>0</v>
      </c>
      <c r="L235"/>
      <c r="M235"/>
      <c r="N235"/>
    </row>
    <row r="236" spans="6:14" ht="14.25" x14ac:dyDescent="0.45">
      <c r="F236" s="14"/>
      <c r="G236" s="9">
        <f t="shared" si="16"/>
        <v>0</v>
      </c>
      <c r="H236" s="9">
        <f t="shared" si="17"/>
        <v>0</v>
      </c>
      <c r="I236" s="8">
        <f t="shared" si="18"/>
        <v>0</v>
      </c>
      <c r="J236" s="9" t="str">
        <f t="shared" si="20"/>
        <v/>
      </c>
      <c r="K236" s="9">
        <f t="shared" si="19"/>
        <v>0</v>
      </c>
      <c r="L236"/>
      <c r="M236"/>
      <c r="N236"/>
    </row>
    <row r="237" spans="6:14" ht="14.25" x14ac:dyDescent="0.45">
      <c r="F237" s="14"/>
      <c r="G237" s="9">
        <f t="shared" si="16"/>
        <v>0</v>
      </c>
      <c r="H237" s="9">
        <f t="shared" si="17"/>
        <v>0</v>
      </c>
      <c r="I237" s="8">
        <f t="shared" si="18"/>
        <v>0</v>
      </c>
      <c r="J237" s="9" t="str">
        <f t="shared" si="20"/>
        <v/>
      </c>
      <c r="K237" s="9">
        <f t="shared" si="19"/>
        <v>0</v>
      </c>
      <c r="L237"/>
      <c r="M237"/>
      <c r="N237"/>
    </row>
    <row r="238" spans="6:14" ht="14.25" x14ac:dyDescent="0.45">
      <c r="F238" s="14"/>
      <c r="G238" s="9">
        <f t="shared" si="16"/>
        <v>0</v>
      </c>
      <c r="H238" s="9">
        <f t="shared" si="17"/>
        <v>0</v>
      </c>
      <c r="I238" s="8">
        <f t="shared" si="18"/>
        <v>0</v>
      </c>
      <c r="J238" s="9" t="str">
        <f t="shared" si="20"/>
        <v/>
      </c>
      <c r="K238" s="9">
        <f t="shared" si="19"/>
        <v>0</v>
      </c>
      <c r="L238"/>
      <c r="M238"/>
      <c r="N238"/>
    </row>
    <row r="239" spans="6:14" ht="14.25" x14ac:dyDescent="0.45">
      <c r="F239" s="14"/>
      <c r="G239" s="9">
        <f t="shared" si="16"/>
        <v>0</v>
      </c>
      <c r="H239" s="9">
        <f t="shared" si="17"/>
        <v>0</v>
      </c>
      <c r="I239" s="8">
        <f t="shared" si="18"/>
        <v>0</v>
      </c>
      <c r="J239" s="9" t="str">
        <f t="shared" si="20"/>
        <v/>
      </c>
      <c r="K239" s="9">
        <f t="shared" si="19"/>
        <v>0</v>
      </c>
      <c r="L239"/>
      <c r="M239"/>
      <c r="N239"/>
    </row>
    <row r="240" spans="6:14" ht="14.25" x14ac:dyDescent="0.45">
      <c r="F240" s="14"/>
      <c r="G240" s="9">
        <f t="shared" si="16"/>
        <v>0</v>
      </c>
      <c r="H240" s="9">
        <f t="shared" si="17"/>
        <v>0</v>
      </c>
      <c r="I240" s="8">
        <f t="shared" si="18"/>
        <v>0</v>
      </c>
      <c r="J240" s="9" t="str">
        <f t="shared" si="20"/>
        <v/>
      </c>
      <c r="K240" s="9">
        <f t="shared" si="19"/>
        <v>0</v>
      </c>
      <c r="L240"/>
      <c r="M240"/>
      <c r="N240"/>
    </row>
    <row r="241" spans="6:14" ht="14.25" x14ac:dyDescent="0.45">
      <c r="F241" s="14"/>
      <c r="G241" s="9">
        <f t="shared" si="16"/>
        <v>0</v>
      </c>
      <c r="H241" s="9">
        <f t="shared" si="17"/>
        <v>0</v>
      </c>
      <c r="I241" s="8">
        <f t="shared" si="18"/>
        <v>0</v>
      </c>
      <c r="J241" s="9" t="str">
        <f t="shared" si="20"/>
        <v/>
      </c>
      <c r="K241" s="9">
        <f t="shared" si="19"/>
        <v>0</v>
      </c>
      <c r="L241"/>
      <c r="M241"/>
      <c r="N241"/>
    </row>
    <row r="242" spans="6:14" ht="14.25" x14ac:dyDescent="0.45">
      <c r="F242" s="14"/>
      <c r="G242" s="9">
        <f t="shared" si="16"/>
        <v>0</v>
      </c>
      <c r="H242" s="9">
        <f t="shared" si="17"/>
        <v>0</v>
      </c>
      <c r="I242" s="8">
        <f t="shared" si="18"/>
        <v>0</v>
      </c>
      <c r="J242" s="9" t="str">
        <f t="shared" si="20"/>
        <v/>
      </c>
      <c r="K242" s="9">
        <f t="shared" si="19"/>
        <v>0</v>
      </c>
      <c r="L242"/>
      <c r="M242"/>
      <c r="N242"/>
    </row>
    <row r="243" spans="6:14" ht="14.25" x14ac:dyDescent="0.45">
      <c r="F243" s="14"/>
      <c r="G243" s="9">
        <f t="shared" si="16"/>
        <v>0</v>
      </c>
      <c r="H243" s="9">
        <f t="shared" si="17"/>
        <v>0</v>
      </c>
      <c r="I243" s="8">
        <f t="shared" si="18"/>
        <v>0</v>
      </c>
      <c r="J243" s="9" t="str">
        <f t="shared" si="20"/>
        <v/>
      </c>
      <c r="K243" s="9">
        <f t="shared" si="19"/>
        <v>0</v>
      </c>
      <c r="L243"/>
      <c r="M243"/>
      <c r="N243"/>
    </row>
    <row r="244" spans="6:14" ht="14.25" x14ac:dyDescent="0.45">
      <c r="F244" s="14"/>
      <c r="G244" s="9">
        <f t="shared" si="16"/>
        <v>0</v>
      </c>
      <c r="H244" s="9">
        <f t="shared" si="17"/>
        <v>0</v>
      </c>
      <c r="I244" s="8">
        <f t="shared" si="18"/>
        <v>0</v>
      </c>
      <c r="J244" s="9" t="str">
        <f t="shared" si="20"/>
        <v/>
      </c>
      <c r="K244" s="9">
        <f t="shared" si="19"/>
        <v>0</v>
      </c>
      <c r="L244"/>
      <c r="M244"/>
      <c r="N244"/>
    </row>
    <row r="245" spans="6:14" ht="14.25" x14ac:dyDescent="0.45">
      <c r="F245" s="14"/>
      <c r="G245" s="9">
        <f t="shared" si="16"/>
        <v>0</v>
      </c>
      <c r="H245" s="9">
        <f t="shared" si="17"/>
        <v>0</v>
      </c>
      <c r="I245" s="8">
        <f t="shared" si="18"/>
        <v>0</v>
      </c>
      <c r="J245" s="9" t="str">
        <f t="shared" si="20"/>
        <v/>
      </c>
      <c r="K245" s="9">
        <f t="shared" si="19"/>
        <v>0</v>
      </c>
      <c r="L245"/>
      <c r="M245"/>
      <c r="N245"/>
    </row>
    <row r="246" spans="6:14" ht="14.25" x14ac:dyDescent="0.45">
      <c r="F246" s="14"/>
      <c r="G246" s="9">
        <f t="shared" si="16"/>
        <v>0</v>
      </c>
      <c r="H246" s="9">
        <f t="shared" si="17"/>
        <v>0</v>
      </c>
      <c r="I246" s="8">
        <f t="shared" si="18"/>
        <v>0</v>
      </c>
      <c r="J246" s="9" t="str">
        <f t="shared" si="20"/>
        <v/>
      </c>
      <c r="K246" s="9">
        <f t="shared" si="19"/>
        <v>0</v>
      </c>
      <c r="L246"/>
      <c r="M246"/>
      <c r="N246"/>
    </row>
    <row r="247" spans="6:14" ht="14.25" x14ac:dyDescent="0.45">
      <c r="F247" s="14"/>
      <c r="G247" s="9">
        <f t="shared" si="16"/>
        <v>0</v>
      </c>
      <c r="H247" s="9">
        <f t="shared" si="17"/>
        <v>0</v>
      </c>
      <c r="I247" s="8">
        <f t="shared" si="18"/>
        <v>0</v>
      </c>
      <c r="J247" s="9" t="str">
        <f t="shared" si="20"/>
        <v/>
      </c>
      <c r="K247" s="9">
        <f t="shared" si="19"/>
        <v>0</v>
      </c>
      <c r="L247"/>
      <c r="M247"/>
      <c r="N247"/>
    </row>
    <row r="248" spans="6:14" ht="14.25" x14ac:dyDescent="0.45">
      <c r="F248" s="14"/>
      <c r="G248" s="9">
        <f t="shared" si="16"/>
        <v>0</v>
      </c>
      <c r="H248" s="9">
        <f t="shared" si="17"/>
        <v>0</v>
      </c>
      <c r="I248" s="8">
        <f t="shared" si="18"/>
        <v>0</v>
      </c>
      <c r="J248" s="9" t="str">
        <f t="shared" si="20"/>
        <v/>
      </c>
      <c r="K248" s="9">
        <f t="shared" si="19"/>
        <v>0</v>
      </c>
      <c r="L248"/>
      <c r="M248"/>
      <c r="N248"/>
    </row>
    <row r="249" spans="6:14" ht="14.25" x14ac:dyDescent="0.45">
      <c r="F249" s="14"/>
      <c r="G249" s="9">
        <f t="shared" si="16"/>
        <v>0</v>
      </c>
      <c r="H249" s="9">
        <f t="shared" si="17"/>
        <v>0</v>
      </c>
      <c r="I249" s="8">
        <f t="shared" si="18"/>
        <v>0</v>
      </c>
      <c r="J249" s="9" t="str">
        <f t="shared" si="20"/>
        <v/>
      </c>
      <c r="K249" s="9">
        <f t="shared" si="19"/>
        <v>0</v>
      </c>
      <c r="L249"/>
      <c r="M249"/>
      <c r="N249"/>
    </row>
    <row r="250" spans="6:14" ht="14.25" x14ac:dyDescent="0.45">
      <c r="F250" s="14"/>
      <c r="G250" s="9">
        <f t="shared" si="16"/>
        <v>0</v>
      </c>
      <c r="H250" s="9">
        <f t="shared" si="17"/>
        <v>0</v>
      </c>
      <c r="I250" s="8">
        <f t="shared" si="18"/>
        <v>0</v>
      </c>
      <c r="J250" s="9" t="str">
        <f t="shared" si="20"/>
        <v/>
      </c>
      <c r="K250" s="9">
        <f t="shared" si="19"/>
        <v>0</v>
      </c>
      <c r="L250"/>
      <c r="M250"/>
      <c r="N250"/>
    </row>
    <row r="251" spans="6:14" ht="14.25" x14ac:dyDescent="0.45">
      <c r="F251" s="14"/>
      <c r="G251" s="9">
        <f t="shared" si="16"/>
        <v>0</v>
      </c>
      <c r="H251" s="9">
        <f t="shared" si="17"/>
        <v>0</v>
      </c>
      <c r="I251" s="8">
        <f t="shared" si="18"/>
        <v>0</v>
      </c>
      <c r="J251" s="9" t="str">
        <f t="shared" si="20"/>
        <v/>
      </c>
      <c r="K251" s="9">
        <f t="shared" si="19"/>
        <v>0</v>
      </c>
      <c r="L251"/>
      <c r="M251"/>
      <c r="N251"/>
    </row>
    <row r="252" spans="6:14" ht="14.25" x14ac:dyDescent="0.45">
      <c r="F252" s="14"/>
      <c r="G252" s="9">
        <f t="shared" si="16"/>
        <v>0</v>
      </c>
      <c r="H252" s="9">
        <f t="shared" si="17"/>
        <v>0</v>
      </c>
      <c r="I252" s="8">
        <f t="shared" si="18"/>
        <v>0</v>
      </c>
      <c r="J252" s="9" t="str">
        <f t="shared" si="20"/>
        <v/>
      </c>
      <c r="K252" s="9">
        <f t="shared" si="19"/>
        <v>0</v>
      </c>
      <c r="L252"/>
      <c r="M252"/>
      <c r="N252"/>
    </row>
    <row r="253" spans="6:14" ht="14.25" x14ac:dyDescent="0.45">
      <c r="F253" s="14"/>
      <c r="G253" s="9">
        <f t="shared" si="16"/>
        <v>0</v>
      </c>
      <c r="H253" s="9">
        <f t="shared" si="17"/>
        <v>0</v>
      </c>
      <c r="I253" s="8">
        <f t="shared" si="18"/>
        <v>0</v>
      </c>
      <c r="J253" s="9" t="str">
        <f t="shared" si="20"/>
        <v/>
      </c>
      <c r="K253" s="9">
        <f t="shared" si="19"/>
        <v>0</v>
      </c>
      <c r="L253"/>
      <c r="M253"/>
      <c r="N253"/>
    </row>
    <row r="254" spans="6:14" ht="14.25" x14ac:dyDescent="0.45">
      <c r="F254" s="14"/>
      <c r="G254" s="9">
        <f t="shared" si="16"/>
        <v>0</v>
      </c>
      <c r="H254" s="9">
        <f t="shared" si="17"/>
        <v>0</v>
      </c>
      <c r="I254" s="8">
        <f t="shared" si="18"/>
        <v>0</v>
      </c>
      <c r="J254" s="9" t="str">
        <f t="shared" si="20"/>
        <v/>
      </c>
      <c r="K254" s="9">
        <f t="shared" si="19"/>
        <v>0</v>
      </c>
      <c r="L254"/>
      <c r="M254"/>
      <c r="N254"/>
    </row>
    <row r="255" spans="6:14" ht="14.25" x14ac:dyDescent="0.45">
      <c r="F255" s="14"/>
      <c r="G255" s="9">
        <f t="shared" si="16"/>
        <v>0</v>
      </c>
      <c r="H255" s="9">
        <f t="shared" si="17"/>
        <v>0</v>
      </c>
      <c r="I255" s="8">
        <f t="shared" si="18"/>
        <v>0</v>
      </c>
      <c r="J255" s="9" t="str">
        <f t="shared" si="20"/>
        <v/>
      </c>
      <c r="K255" s="9">
        <f t="shared" si="19"/>
        <v>0</v>
      </c>
      <c r="L255"/>
      <c r="M255"/>
      <c r="N255"/>
    </row>
    <row r="256" spans="6:14" ht="14.25" x14ac:dyDescent="0.45">
      <c r="F256" s="14"/>
      <c r="G256" s="9">
        <f t="shared" si="16"/>
        <v>0</v>
      </c>
      <c r="H256" s="9">
        <f t="shared" si="17"/>
        <v>0</v>
      </c>
      <c r="I256" s="8">
        <f t="shared" si="18"/>
        <v>0</v>
      </c>
      <c r="J256" s="9" t="str">
        <f t="shared" si="20"/>
        <v/>
      </c>
      <c r="K256" s="9">
        <f t="shared" si="19"/>
        <v>0</v>
      </c>
      <c r="L256"/>
      <c r="M256"/>
      <c r="N256"/>
    </row>
    <row r="257" spans="6:14" ht="14.25" x14ac:dyDescent="0.45">
      <c r="F257" s="14"/>
      <c r="G257" s="9">
        <f t="shared" si="16"/>
        <v>0</v>
      </c>
      <c r="H257" s="9">
        <f t="shared" si="17"/>
        <v>0</v>
      </c>
      <c r="I257" s="8">
        <f t="shared" si="18"/>
        <v>0</v>
      </c>
      <c r="J257" s="9" t="str">
        <f t="shared" si="20"/>
        <v/>
      </c>
      <c r="K257" s="9">
        <f t="shared" si="19"/>
        <v>0</v>
      </c>
      <c r="L257"/>
      <c r="M257"/>
      <c r="N257"/>
    </row>
    <row r="258" spans="6:14" ht="14.25" x14ac:dyDescent="0.45">
      <c r="F258" s="14"/>
      <c r="G258" s="9">
        <f t="shared" si="16"/>
        <v>0</v>
      </c>
      <c r="H258" s="9">
        <f t="shared" si="17"/>
        <v>0</v>
      </c>
      <c r="I258" s="8">
        <f t="shared" si="18"/>
        <v>0</v>
      </c>
      <c r="J258" s="9" t="str">
        <f t="shared" si="20"/>
        <v/>
      </c>
      <c r="K258" s="9">
        <f t="shared" si="19"/>
        <v>0</v>
      </c>
      <c r="L258"/>
      <c r="M258"/>
      <c r="N258"/>
    </row>
    <row r="259" spans="6:14" ht="14.25" x14ac:dyDescent="0.45">
      <c r="F259" s="14"/>
      <c r="G259" s="9">
        <f t="shared" si="16"/>
        <v>0</v>
      </c>
      <c r="H259" s="9">
        <f t="shared" si="17"/>
        <v>0</v>
      </c>
      <c r="I259" s="8">
        <f t="shared" si="18"/>
        <v>0</v>
      </c>
      <c r="J259" s="9" t="str">
        <f t="shared" si="20"/>
        <v/>
      </c>
      <c r="K259" s="9">
        <f t="shared" si="19"/>
        <v>0</v>
      </c>
      <c r="L259"/>
      <c r="M259"/>
      <c r="N259"/>
    </row>
    <row r="260" spans="6:14" ht="14.25" x14ac:dyDescent="0.45">
      <c r="F260" s="14"/>
      <c r="G260" s="9">
        <f t="shared" si="16"/>
        <v>0</v>
      </c>
      <c r="H260" s="9">
        <f t="shared" si="17"/>
        <v>0</v>
      </c>
      <c r="I260" s="8">
        <f t="shared" si="18"/>
        <v>0</v>
      </c>
      <c r="J260" s="9" t="str">
        <f t="shared" si="20"/>
        <v/>
      </c>
      <c r="K260" s="9">
        <f t="shared" si="19"/>
        <v>0</v>
      </c>
      <c r="L260"/>
      <c r="M260"/>
      <c r="N260"/>
    </row>
    <row r="261" spans="6:14" ht="14.25" x14ac:dyDescent="0.45">
      <c r="F261" s="14"/>
      <c r="G261" s="9">
        <f t="shared" ref="G261:G324" si="21">_xlfn.IFNA(VLOOKUP(L261,f_details_of_candidates,4,FALSE),"")</f>
        <v>0</v>
      </c>
      <c r="H261" s="9">
        <f t="shared" ref="H261:H324" si="22">_xlfn.IFNA(VLOOKUP(L261,f_details_of_candidates,3,FALSE),"")</f>
        <v>0</v>
      </c>
      <c r="I261" s="8">
        <f t="shared" ref="I261:I326" si="23">_xlfn.IFNA(VLOOKUP(L261,f_details_of_candidates,5,FALSE),"")</f>
        <v>0</v>
      </c>
      <c r="J261" s="9" t="str">
        <f t="shared" si="20"/>
        <v/>
      </c>
      <c r="K261" s="9">
        <f t="shared" ref="K261:K324" si="24">_xlfn.IFNA(VLOOKUP(L261,f_details_of_candidates,2,FALSE),"")</f>
        <v>0</v>
      </c>
      <c r="L261"/>
      <c r="M261"/>
      <c r="N261"/>
    </row>
    <row r="262" spans="6:14" ht="14.25" x14ac:dyDescent="0.45">
      <c r="F262" s="14"/>
      <c r="G262" s="9">
        <f t="shared" si="21"/>
        <v>0</v>
      </c>
      <c r="H262" s="9">
        <f t="shared" si="22"/>
        <v>0</v>
      </c>
      <c r="I262" s="8">
        <f t="shared" si="23"/>
        <v>0</v>
      </c>
      <c r="J262" s="9" t="str">
        <f t="shared" ref="J262:J325" si="25">IF(L262&lt;&gt;0,RANK(M262,M$5:M$326,0),"")</f>
        <v/>
      </c>
      <c r="K262" s="9">
        <f t="shared" si="24"/>
        <v>0</v>
      </c>
      <c r="L262"/>
      <c r="M262"/>
      <c r="N262"/>
    </row>
    <row r="263" spans="6:14" ht="14.25" x14ac:dyDescent="0.45">
      <c r="F263" s="14"/>
      <c r="G263" s="9">
        <f t="shared" si="21"/>
        <v>0</v>
      </c>
      <c r="H263" s="9">
        <f t="shared" si="22"/>
        <v>0</v>
      </c>
      <c r="I263" s="8">
        <f t="shared" si="23"/>
        <v>0</v>
      </c>
      <c r="J263" s="9" t="str">
        <f t="shared" si="25"/>
        <v/>
      </c>
      <c r="K263" s="9">
        <f t="shared" si="24"/>
        <v>0</v>
      </c>
      <c r="L263"/>
      <c r="M263"/>
      <c r="N263"/>
    </row>
    <row r="264" spans="6:14" ht="14.25" x14ac:dyDescent="0.45">
      <c r="F264" s="14"/>
      <c r="G264" s="9">
        <f t="shared" si="21"/>
        <v>0</v>
      </c>
      <c r="H264" s="9">
        <f t="shared" si="22"/>
        <v>0</v>
      </c>
      <c r="I264" s="8">
        <f t="shared" si="23"/>
        <v>0</v>
      </c>
      <c r="J264" s="9" t="str">
        <f t="shared" si="25"/>
        <v/>
      </c>
      <c r="K264" s="9">
        <f t="shared" si="24"/>
        <v>0</v>
      </c>
      <c r="L264"/>
      <c r="M264"/>
      <c r="N264"/>
    </row>
    <row r="265" spans="6:14" ht="14.25" x14ac:dyDescent="0.45">
      <c r="F265" s="14"/>
      <c r="G265" s="9">
        <f t="shared" si="21"/>
        <v>0</v>
      </c>
      <c r="H265" s="9">
        <f t="shared" si="22"/>
        <v>0</v>
      </c>
      <c r="I265" s="8">
        <f t="shared" si="23"/>
        <v>0</v>
      </c>
      <c r="J265" s="9" t="str">
        <f t="shared" si="25"/>
        <v/>
      </c>
      <c r="K265" s="9">
        <f t="shared" si="24"/>
        <v>0</v>
      </c>
      <c r="L265"/>
      <c r="M265"/>
      <c r="N265"/>
    </row>
    <row r="266" spans="6:14" ht="14.25" x14ac:dyDescent="0.45">
      <c r="F266" s="14"/>
      <c r="G266" s="9">
        <f t="shared" si="21"/>
        <v>0</v>
      </c>
      <c r="H266" s="9">
        <f t="shared" si="22"/>
        <v>0</v>
      </c>
      <c r="I266" s="8">
        <f t="shared" si="23"/>
        <v>0</v>
      </c>
      <c r="J266" s="9" t="str">
        <f t="shared" si="25"/>
        <v/>
      </c>
      <c r="K266" s="9">
        <f t="shared" si="24"/>
        <v>0</v>
      </c>
      <c r="L266"/>
      <c r="M266"/>
      <c r="N266"/>
    </row>
    <row r="267" spans="6:14" ht="14.25" x14ac:dyDescent="0.45">
      <c r="F267" s="14"/>
      <c r="G267" s="9">
        <f t="shared" si="21"/>
        <v>0</v>
      </c>
      <c r="H267" s="9">
        <f t="shared" si="22"/>
        <v>0</v>
      </c>
      <c r="I267" s="8">
        <f t="shared" si="23"/>
        <v>0</v>
      </c>
      <c r="J267" s="9" t="str">
        <f t="shared" si="25"/>
        <v/>
      </c>
      <c r="K267" s="9">
        <f t="shared" si="24"/>
        <v>0</v>
      </c>
      <c r="L267"/>
      <c r="M267"/>
      <c r="N267"/>
    </row>
    <row r="268" spans="6:14" ht="14.25" x14ac:dyDescent="0.45">
      <c r="F268" s="14"/>
      <c r="G268" s="9">
        <f t="shared" si="21"/>
        <v>0</v>
      </c>
      <c r="H268" s="9">
        <f t="shared" si="22"/>
        <v>0</v>
      </c>
      <c r="I268" s="8">
        <f t="shared" si="23"/>
        <v>0</v>
      </c>
      <c r="J268" s="9" t="str">
        <f t="shared" si="25"/>
        <v/>
      </c>
      <c r="K268" s="9">
        <f t="shared" si="24"/>
        <v>0</v>
      </c>
      <c r="L268"/>
      <c r="M268"/>
      <c r="N268"/>
    </row>
    <row r="269" spans="6:14" ht="14.25" x14ac:dyDescent="0.45">
      <c r="F269" s="14"/>
      <c r="G269" s="9">
        <f t="shared" si="21"/>
        <v>0</v>
      </c>
      <c r="H269" s="9">
        <f t="shared" si="22"/>
        <v>0</v>
      </c>
      <c r="I269" s="8">
        <f t="shared" si="23"/>
        <v>0</v>
      </c>
      <c r="J269" s="9" t="str">
        <f t="shared" si="25"/>
        <v/>
      </c>
      <c r="K269" s="9">
        <f t="shared" si="24"/>
        <v>0</v>
      </c>
      <c r="L269"/>
      <c r="M269"/>
      <c r="N269"/>
    </row>
    <row r="270" spans="6:14" ht="14.25" x14ac:dyDescent="0.45">
      <c r="F270" s="14"/>
      <c r="G270" s="9">
        <f t="shared" si="21"/>
        <v>0</v>
      </c>
      <c r="H270" s="9">
        <f t="shared" si="22"/>
        <v>0</v>
      </c>
      <c r="I270" s="8">
        <f t="shared" si="23"/>
        <v>0</v>
      </c>
      <c r="J270" s="9" t="str">
        <f t="shared" si="25"/>
        <v/>
      </c>
      <c r="K270" s="9">
        <f t="shared" si="24"/>
        <v>0</v>
      </c>
      <c r="L270"/>
      <c r="M270"/>
      <c r="N270"/>
    </row>
    <row r="271" spans="6:14" ht="14.25" x14ac:dyDescent="0.45">
      <c r="F271" s="14"/>
      <c r="G271" s="9">
        <f t="shared" si="21"/>
        <v>0</v>
      </c>
      <c r="H271" s="9">
        <f t="shared" si="22"/>
        <v>0</v>
      </c>
      <c r="I271" s="8">
        <f t="shared" si="23"/>
        <v>0</v>
      </c>
      <c r="J271" s="9" t="str">
        <f t="shared" si="25"/>
        <v/>
      </c>
      <c r="K271" s="9">
        <f t="shared" si="24"/>
        <v>0</v>
      </c>
      <c r="L271"/>
      <c r="M271"/>
      <c r="N271"/>
    </row>
    <row r="272" spans="6:14" ht="14.25" x14ac:dyDescent="0.45">
      <c r="F272" s="14"/>
      <c r="G272" s="9">
        <f t="shared" si="21"/>
        <v>0</v>
      </c>
      <c r="H272" s="9">
        <f t="shared" si="22"/>
        <v>0</v>
      </c>
      <c r="I272" s="8">
        <f t="shared" si="23"/>
        <v>0</v>
      </c>
      <c r="J272" s="9" t="str">
        <f t="shared" si="25"/>
        <v/>
      </c>
      <c r="K272" s="9">
        <f t="shared" si="24"/>
        <v>0</v>
      </c>
      <c r="L272"/>
      <c r="M272"/>
      <c r="N272"/>
    </row>
    <row r="273" spans="6:14" ht="14.25" x14ac:dyDescent="0.45">
      <c r="F273" s="14"/>
      <c r="G273" s="9">
        <f t="shared" si="21"/>
        <v>0</v>
      </c>
      <c r="H273" s="9">
        <f t="shared" si="22"/>
        <v>0</v>
      </c>
      <c r="I273" s="8">
        <f t="shared" si="23"/>
        <v>0</v>
      </c>
      <c r="J273" s="9" t="str">
        <f t="shared" si="25"/>
        <v/>
      </c>
      <c r="K273" s="9">
        <f t="shared" si="24"/>
        <v>0</v>
      </c>
      <c r="L273"/>
      <c r="M273"/>
      <c r="N273"/>
    </row>
    <row r="274" spans="6:14" ht="14.25" x14ac:dyDescent="0.45">
      <c r="F274" s="14"/>
      <c r="G274" s="9">
        <f t="shared" si="21"/>
        <v>0</v>
      </c>
      <c r="H274" s="9">
        <f t="shared" si="22"/>
        <v>0</v>
      </c>
      <c r="I274" s="8">
        <f t="shared" si="23"/>
        <v>0</v>
      </c>
      <c r="J274" s="9" t="str">
        <f t="shared" si="25"/>
        <v/>
      </c>
      <c r="K274" s="9">
        <f t="shared" si="24"/>
        <v>0</v>
      </c>
      <c r="L274"/>
      <c r="M274"/>
      <c r="N274"/>
    </row>
    <row r="275" spans="6:14" ht="14.25" x14ac:dyDescent="0.45">
      <c r="F275" s="14"/>
      <c r="G275" s="9">
        <f t="shared" si="21"/>
        <v>0</v>
      </c>
      <c r="H275" s="9">
        <f t="shared" si="22"/>
        <v>0</v>
      </c>
      <c r="I275" s="8">
        <f t="shared" si="23"/>
        <v>0</v>
      </c>
      <c r="J275" s="9" t="str">
        <f t="shared" si="25"/>
        <v/>
      </c>
      <c r="K275" s="9">
        <f t="shared" si="24"/>
        <v>0</v>
      </c>
      <c r="L275"/>
      <c r="M275"/>
      <c r="N275"/>
    </row>
    <row r="276" spans="6:14" ht="14.25" x14ac:dyDescent="0.45">
      <c r="F276" s="14"/>
      <c r="G276" s="9">
        <f t="shared" si="21"/>
        <v>0</v>
      </c>
      <c r="H276" s="9">
        <f t="shared" si="22"/>
        <v>0</v>
      </c>
      <c r="I276" s="8">
        <f t="shared" si="23"/>
        <v>0</v>
      </c>
      <c r="J276" s="9" t="str">
        <f t="shared" si="25"/>
        <v/>
      </c>
      <c r="K276" s="9">
        <f t="shared" si="24"/>
        <v>0</v>
      </c>
      <c r="L276"/>
      <c r="M276"/>
      <c r="N276"/>
    </row>
    <row r="277" spans="6:14" ht="14.25" x14ac:dyDescent="0.45">
      <c r="F277" s="14"/>
      <c r="G277" s="9">
        <f t="shared" si="21"/>
        <v>0</v>
      </c>
      <c r="H277" s="9">
        <f t="shared" si="22"/>
        <v>0</v>
      </c>
      <c r="I277" s="8">
        <f t="shared" si="23"/>
        <v>0</v>
      </c>
      <c r="J277" s="9" t="str">
        <f t="shared" si="25"/>
        <v/>
      </c>
      <c r="K277" s="9">
        <f t="shared" si="24"/>
        <v>0</v>
      </c>
      <c r="L277"/>
      <c r="M277"/>
      <c r="N277"/>
    </row>
    <row r="278" spans="6:14" ht="14.25" x14ac:dyDescent="0.45">
      <c r="F278" s="14"/>
      <c r="G278" s="9">
        <f t="shared" si="21"/>
        <v>0</v>
      </c>
      <c r="H278" s="9">
        <f t="shared" si="22"/>
        <v>0</v>
      </c>
      <c r="I278" s="8">
        <f t="shared" si="23"/>
        <v>0</v>
      </c>
      <c r="J278" s="9" t="str">
        <f t="shared" si="25"/>
        <v/>
      </c>
      <c r="K278" s="9">
        <f t="shared" si="24"/>
        <v>0</v>
      </c>
      <c r="L278"/>
      <c r="M278"/>
      <c r="N278"/>
    </row>
    <row r="279" spans="6:14" ht="14.25" x14ac:dyDescent="0.45">
      <c r="F279" s="14"/>
      <c r="G279" s="9">
        <f t="shared" si="21"/>
        <v>0</v>
      </c>
      <c r="H279" s="9">
        <f t="shared" si="22"/>
        <v>0</v>
      </c>
      <c r="I279" s="8">
        <f t="shared" si="23"/>
        <v>0</v>
      </c>
      <c r="J279" s="9" t="str">
        <f t="shared" si="25"/>
        <v/>
      </c>
      <c r="K279" s="9">
        <f t="shared" si="24"/>
        <v>0</v>
      </c>
      <c r="L279"/>
      <c r="M279"/>
      <c r="N279"/>
    </row>
    <row r="280" spans="6:14" ht="14.25" x14ac:dyDescent="0.45">
      <c r="F280" s="14"/>
      <c r="G280" s="9">
        <f t="shared" si="21"/>
        <v>0</v>
      </c>
      <c r="H280" s="9">
        <f t="shared" si="22"/>
        <v>0</v>
      </c>
      <c r="I280" s="8">
        <f t="shared" si="23"/>
        <v>0</v>
      </c>
      <c r="J280" s="9" t="str">
        <f t="shared" si="25"/>
        <v/>
      </c>
      <c r="K280" s="9">
        <f t="shared" si="24"/>
        <v>0</v>
      </c>
      <c r="L280"/>
      <c r="M280"/>
      <c r="N280"/>
    </row>
    <row r="281" spans="6:14" ht="14.25" x14ac:dyDescent="0.45">
      <c r="F281" s="14"/>
      <c r="G281" s="9">
        <f t="shared" si="21"/>
        <v>0</v>
      </c>
      <c r="H281" s="9">
        <f t="shared" si="22"/>
        <v>0</v>
      </c>
      <c r="I281" s="8">
        <f t="shared" si="23"/>
        <v>0</v>
      </c>
      <c r="J281" s="9" t="str">
        <f t="shared" si="25"/>
        <v/>
      </c>
      <c r="K281" s="9">
        <f t="shared" si="24"/>
        <v>0</v>
      </c>
      <c r="L281"/>
      <c r="M281"/>
      <c r="N281"/>
    </row>
    <row r="282" spans="6:14" ht="14.25" x14ac:dyDescent="0.45">
      <c r="F282" s="14"/>
      <c r="G282" s="9">
        <f t="shared" si="21"/>
        <v>0</v>
      </c>
      <c r="H282" s="9">
        <f t="shared" si="22"/>
        <v>0</v>
      </c>
      <c r="I282" s="8">
        <f t="shared" si="23"/>
        <v>0</v>
      </c>
      <c r="J282" s="9" t="str">
        <f t="shared" si="25"/>
        <v/>
      </c>
      <c r="K282" s="9">
        <f t="shared" si="24"/>
        <v>0</v>
      </c>
      <c r="L282"/>
      <c r="M282"/>
      <c r="N282"/>
    </row>
    <row r="283" spans="6:14" ht="14.25" x14ac:dyDescent="0.45">
      <c r="F283" s="14"/>
      <c r="G283" s="9">
        <f t="shared" si="21"/>
        <v>0</v>
      </c>
      <c r="H283" s="9">
        <f t="shared" si="22"/>
        <v>0</v>
      </c>
      <c r="I283" s="8">
        <f t="shared" si="23"/>
        <v>0</v>
      </c>
      <c r="J283" s="9" t="str">
        <f t="shared" si="25"/>
        <v/>
      </c>
      <c r="K283" s="9">
        <f t="shared" si="24"/>
        <v>0</v>
      </c>
      <c r="L283"/>
      <c r="M283"/>
      <c r="N283"/>
    </row>
    <row r="284" spans="6:14" ht="14.25" x14ac:dyDescent="0.45">
      <c r="F284" s="14"/>
      <c r="G284" s="9">
        <f t="shared" si="21"/>
        <v>0</v>
      </c>
      <c r="H284" s="9">
        <f t="shared" si="22"/>
        <v>0</v>
      </c>
      <c r="I284" s="8">
        <f t="shared" si="23"/>
        <v>0</v>
      </c>
      <c r="J284" s="9" t="str">
        <f t="shared" si="25"/>
        <v/>
      </c>
      <c r="K284" s="9">
        <f t="shared" si="24"/>
        <v>0</v>
      </c>
      <c r="L284"/>
      <c r="M284"/>
      <c r="N284"/>
    </row>
    <row r="285" spans="6:14" ht="14.25" x14ac:dyDescent="0.45">
      <c r="F285" s="14"/>
      <c r="G285" s="9">
        <f t="shared" si="21"/>
        <v>0</v>
      </c>
      <c r="H285" s="9">
        <f t="shared" si="22"/>
        <v>0</v>
      </c>
      <c r="I285" s="8">
        <f t="shared" si="23"/>
        <v>0</v>
      </c>
      <c r="J285" s="9" t="str">
        <f t="shared" si="25"/>
        <v/>
      </c>
      <c r="K285" s="9">
        <f t="shared" si="24"/>
        <v>0</v>
      </c>
      <c r="L285"/>
      <c r="M285"/>
      <c r="N285"/>
    </row>
    <row r="286" spans="6:14" ht="14.25" x14ac:dyDescent="0.45">
      <c r="F286" s="14"/>
      <c r="G286" s="9">
        <f t="shared" si="21"/>
        <v>0</v>
      </c>
      <c r="H286" s="9">
        <f t="shared" si="22"/>
        <v>0</v>
      </c>
      <c r="I286" s="8">
        <f t="shared" si="23"/>
        <v>0</v>
      </c>
      <c r="J286" s="9" t="str">
        <f t="shared" si="25"/>
        <v/>
      </c>
      <c r="K286" s="9">
        <f t="shared" si="24"/>
        <v>0</v>
      </c>
      <c r="L286"/>
      <c r="M286"/>
      <c r="N286"/>
    </row>
    <row r="287" spans="6:14" ht="14.25" x14ac:dyDescent="0.45">
      <c r="F287" s="14"/>
      <c r="G287" s="9">
        <f t="shared" si="21"/>
        <v>0</v>
      </c>
      <c r="H287" s="9">
        <f t="shared" si="22"/>
        <v>0</v>
      </c>
      <c r="I287" s="8">
        <f t="shared" si="23"/>
        <v>0</v>
      </c>
      <c r="J287" s="9" t="str">
        <f t="shared" si="25"/>
        <v/>
      </c>
      <c r="K287" s="9">
        <f t="shared" si="24"/>
        <v>0</v>
      </c>
      <c r="L287"/>
      <c r="M287"/>
      <c r="N287"/>
    </row>
    <row r="288" spans="6:14" ht="14.25" x14ac:dyDescent="0.45">
      <c r="F288" s="14"/>
      <c r="G288" s="9">
        <f t="shared" si="21"/>
        <v>0</v>
      </c>
      <c r="H288" s="9">
        <f t="shared" si="22"/>
        <v>0</v>
      </c>
      <c r="I288" s="8">
        <f t="shared" si="23"/>
        <v>0</v>
      </c>
      <c r="J288" s="9" t="str">
        <f t="shared" si="25"/>
        <v/>
      </c>
      <c r="K288" s="9">
        <f t="shared" si="24"/>
        <v>0</v>
      </c>
      <c r="L288"/>
      <c r="M288"/>
      <c r="N288"/>
    </row>
    <row r="289" spans="6:14" ht="14.25" x14ac:dyDescent="0.45">
      <c r="F289" s="14"/>
      <c r="G289" s="9">
        <f t="shared" si="21"/>
        <v>0</v>
      </c>
      <c r="H289" s="9">
        <f t="shared" si="22"/>
        <v>0</v>
      </c>
      <c r="I289" s="8">
        <f t="shared" si="23"/>
        <v>0</v>
      </c>
      <c r="J289" s="9" t="str">
        <f t="shared" si="25"/>
        <v/>
      </c>
      <c r="K289" s="9">
        <f t="shared" si="24"/>
        <v>0</v>
      </c>
      <c r="L289"/>
      <c r="M289"/>
      <c r="N289"/>
    </row>
    <row r="290" spans="6:14" ht="14.25" x14ac:dyDescent="0.45">
      <c r="F290" s="14"/>
      <c r="G290" s="9">
        <f t="shared" si="21"/>
        <v>0</v>
      </c>
      <c r="H290" s="9">
        <f t="shared" si="22"/>
        <v>0</v>
      </c>
      <c r="I290" s="8">
        <f t="shared" si="23"/>
        <v>0</v>
      </c>
      <c r="J290" s="9" t="str">
        <f t="shared" si="25"/>
        <v/>
      </c>
      <c r="K290" s="9">
        <f t="shared" si="24"/>
        <v>0</v>
      </c>
      <c r="L290"/>
      <c r="M290"/>
      <c r="N290"/>
    </row>
    <row r="291" spans="6:14" ht="14.25" x14ac:dyDescent="0.45">
      <c r="F291" s="14"/>
      <c r="G291" s="9">
        <f t="shared" si="21"/>
        <v>0</v>
      </c>
      <c r="H291" s="9">
        <f t="shared" si="22"/>
        <v>0</v>
      </c>
      <c r="I291" s="8">
        <f t="shared" si="23"/>
        <v>0</v>
      </c>
      <c r="J291" s="9" t="str">
        <f t="shared" si="25"/>
        <v/>
      </c>
      <c r="K291" s="9">
        <f t="shared" si="24"/>
        <v>0</v>
      </c>
      <c r="L291"/>
      <c r="M291"/>
      <c r="N291"/>
    </row>
    <row r="292" spans="6:14" ht="14.25" x14ac:dyDescent="0.45">
      <c r="F292" s="14"/>
      <c r="G292" s="9">
        <f t="shared" si="21"/>
        <v>0</v>
      </c>
      <c r="H292" s="9">
        <f t="shared" si="22"/>
        <v>0</v>
      </c>
      <c r="I292" s="8">
        <f t="shared" si="23"/>
        <v>0</v>
      </c>
      <c r="J292" s="9" t="str">
        <f t="shared" si="25"/>
        <v/>
      </c>
      <c r="K292" s="9">
        <f t="shared" si="24"/>
        <v>0</v>
      </c>
      <c r="L292"/>
      <c r="M292"/>
      <c r="N292"/>
    </row>
    <row r="293" spans="6:14" ht="14.25" x14ac:dyDescent="0.45">
      <c r="F293" s="14"/>
      <c r="G293" s="9">
        <f t="shared" si="21"/>
        <v>0</v>
      </c>
      <c r="H293" s="9">
        <f t="shared" si="22"/>
        <v>0</v>
      </c>
      <c r="I293" s="8">
        <f t="shared" si="23"/>
        <v>0</v>
      </c>
      <c r="J293" s="9" t="str">
        <f t="shared" si="25"/>
        <v/>
      </c>
      <c r="K293" s="9">
        <f t="shared" si="24"/>
        <v>0</v>
      </c>
      <c r="L293"/>
      <c r="M293"/>
      <c r="N293"/>
    </row>
    <row r="294" spans="6:14" ht="14.25" x14ac:dyDescent="0.45">
      <c r="F294" s="14"/>
      <c r="G294" s="9">
        <f t="shared" si="21"/>
        <v>0</v>
      </c>
      <c r="H294" s="9">
        <f t="shared" si="22"/>
        <v>0</v>
      </c>
      <c r="I294" s="8">
        <f t="shared" si="23"/>
        <v>0</v>
      </c>
      <c r="J294" s="9" t="str">
        <f t="shared" si="25"/>
        <v/>
      </c>
      <c r="K294" s="9">
        <f t="shared" si="24"/>
        <v>0</v>
      </c>
      <c r="L294"/>
      <c r="M294"/>
      <c r="N294"/>
    </row>
    <row r="295" spans="6:14" ht="14.25" x14ac:dyDescent="0.45">
      <c r="F295" s="14"/>
      <c r="G295" s="9">
        <f t="shared" si="21"/>
        <v>0</v>
      </c>
      <c r="H295" s="9">
        <f t="shared" si="22"/>
        <v>0</v>
      </c>
      <c r="I295" s="8">
        <f t="shared" si="23"/>
        <v>0</v>
      </c>
      <c r="J295" s="9" t="str">
        <f t="shared" si="25"/>
        <v/>
      </c>
      <c r="K295" s="9">
        <f t="shared" si="24"/>
        <v>0</v>
      </c>
      <c r="L295"/>
      <c r="M295"/>
      <c r="N295"/>
    </row>
    <row r="296" spans="6:14" ht="14.25" x14ac:dyDescent="0.45">
      <c r="F296" s="14"/>
      <c r="G296" s="9">
        <f t="shared" si="21"/>
        <v>0</v>
      </c>
      <c r="H296" s="9">
        <f t="shared" si="22"/>
        <v>0</v>
      </c>
      <c r="I296" s="8">
        <f t="shared" si="23"/>
        <v>0</v>
      </c>
      <c r="J296" s="9" t="str">
        <f t="shared" si="25"/>
        <v/>
      </c>
      <c r="K296" s="9">
        <f t="shared" si="24"/>
        <v>0</v>
      </c>
      <c r="L296"/>
      <c r="M296"/>
      <c r="N296"/>
    </row>
    <row r="297" spans="6:14" ht="14.25" x14ac:dyDescent="0.45">
      <c r="F297" s="14"/>
      <c r="G297" s="9">
        <f t="shared" si="21"/>
        <v>0</v>
      </c>
      <c r="H297" s="9">
        <f t="shared" si="22"/>
        <v>0</v>
      </c>
      <c r="I297" s="8">
        <f t="shared" si="23"/>
        <v>0</v>
      </c>
      <c r="J297" s="9" t="str">
        <f t="shared" si="25"/>
        <v/>
      </c>
      <c r="K297" s="9">
        <f t="shared" si="24"/>
        <v>0</v>
      </c>
      <c r="L297"/>
      <c r="M297"/>
      <c r="N297"/>
    </row>
    <row r="298" spans="6:14" ht="14.25" x14ac:dyDescent="0.45">
      <c r="F298" s="14"/>
      <c r="G298" s="9">
        <f t="shared" si="21"/>
        <v>0</v>
      </c>
      <c r="H298" s="9">
        <f t="shared" si="22"/>
        <v>0</v>
      </c>
      <c r="I298" s="8">
        <f t="shared" si="23"/>
        <v>0</v>
      </c>
      <c r="J298" s="9" t="str">
        <f t="shared" si="25"/>
        <v/>
      </c>
      <c r="K298" s="9">
        <f t="shared" si="24"/>
        <v>0</v>
      </c>
      <c r="L298"/>
      <c r="M298"/>
      <c r="N298"/>
    </row>
    <row r="299" spans="6:14" ht="14.25" x14ac:dyDescent="0.45">
      <c r="F299" s="14"/>
      <c r="G299" s="9">
        <f t="shared" si="21"/>
        <v>0</v>
      </c>
      <c r="H299" s="9">
        <f t="shared" si="22"/>
        <v>0</v>
      </c>
      <c r="I299" s="8">
        <f t="shared" si="23"/>
        <v>0</v>
      </c>
      <c r="J299" s="9" t="str">
        <f t="shared" si="25"/>
        <v/>
      </c>
      <c r="K299" s="9">
        <f t="shared" si="24"/>
        <v>0</v>
      </c>
      <c r="L299"/>
      <c r="M299"/>
      <c r="N299"/>
    </row>
    <row r="300" spans="6:14" ht="14.25" x14ac:dyDescent="0.45">
      <c r="F300" s="14"/>
      <c r="G300" s="9">
        <f t="shared" si="21"/>
        <v>0</v>
      </c>
      <c r="H300" s="9">
        <f t="shared" si="22"/>
        <v>0</v>
      </c>
      <c r="I300" s="8">
        <f t="shared" si="23"/>
        <v>0</v>
      </c>
      <c r="J300" s="9" t="str">
        <f t="shared" si="25"/>
        <v/>
      </c>
      <c r="K300" s="9">
        <f t="shared" si="24"/>
        <v>0</v>
      </c>
      <c r="L300"/>
      <c r="M300"/>
      <c r="N300"/>
    </row>
    <row r="301" spans="6:14" ht="14.25" x14ac:dyDescent="0.45">
      <c r="F301" s="14"/>
      <c r="G301" s="9">
        <f t="shared" si="21"/>
        <v>0</v>
      </c>
      <c r="H301" s="9">
        <f t="shared" si="22"/>
        <v>0</v>
      </c>
      <c r="I301" s="8">
        <f t="shared" si="23"/>
        <v>0</v>
      </c>
      <c r="J301" s="9" t="str">
        <f t="shared" si="25"/>
        <v/>
      </c>
      <c r="K301" s="9">
        <f t="shared" si="24"/>
        <v>0</v>
      </c>
      <c r="L301"/>
      <c r="M301"/>
      <c r="N301"/>
    </row>
    <row r="302" spans="6:14" ht="14.25" x14ac:dyDescent="0.45">
      <c r="F302" s="14"/>
      <c r="G302" s="9">
        <f t="shared" si="21"/>
        <v>0</v>
      </c>
      <c r="H302" s="9">
        <f t="shared" si="22"/>
        <v>0</v>
      </c>
      <c r="I302" s="8">
        <f t="shared" si="23"/>
        <v>0</v>
      </c>
      <c r="J302" s="9" t="str">
        <f t="shared" si="25"/>
        <v/>
      </c>
      <c r="K302" s="9">
        <f t="shared" si="24"/>
        <v>0</v>
      </c>
      <c r="L302"/>
      <c r="M302"/>
      <c r="N302"/>
    </row>
    <row r="303" spans="6:14" ht="14.25" x14ac:dyDescent="0.45">
      <c r="F303" s="14"/>
      <c r="G303" s="9">
        <f t="shared" si="21"/>
        <v>0</v>
      </c>
      <c r="H303" s="9">
        <f t="shared" si="22"/>
        <v>0</v>
      </c>
      <c r="I303" s="8">
        <f t="shared" si="23"/>
        <v>0</v>
      </c>
      <c r="J303" s="9" t="str">
        <f t="shared" si="25"/>
        <v/>
      </c>
      <c r="K303" s="9">
        <f t="shared" si="24"/>
        <v>0</v>
      </c>
      <c r="L303"/>
      <c r="M303"/>
      <c r="N303"/>
    </row>
    <row r="304" spans="6:14" ht="14.25" x14ac:dyDescent="0.45">
      <c r="F304" s="14"/>
      <c r="G304" s="9">
        <f t="shared" si="21"/>
        <v>0</v>
      </c>
      <c r="H304" s="9">
        <f t="shared" si="22"/>
        <v>0</v>
      </c>
      <c r="I304" s="8">
        <f t="shared" si="23"/>
        <v>0</v>
      </c>
      <c r="J304" s="9" t="str">
        <f t="shared" si="25"/>
        <v/>
      </c>
      <c r="K304" s="9">
        <f t="shared" si="24"/>
        <v>0</v>
      </c>
      <c r="L304"/>
      <c r="M304"/>
      <c r="N304"/>
    </row>
    <row r="305" spans="6:14" ht="14.25" x14ac:dyDescent="0.45">
      <c r="F305" s="14"/>
      <c r="G305" s="9">
        <f t="shared" si="21"/>
        <v>0</v>
      </c>
      <c r="H305" s="9">
        <f t="shared" si="22"/>
        <v>0</v>
      </c>
      <c r="I305" s="8">
        <f t="shared" si="23"/>
        <v>0</v>
      </c>
      <c r="J305" s="9" t="str">
        <f t="shared" si="25"/>
        <v/>
      </c>
      <c r="K305" s="9">
        <f t="shared" si="24"/>
        <v>0</v>
      </c>
      <c r="L305"/>
      <c r="M305"/>
      <c r="N305"/>
    </row>
    <row r="306" spans="6:14" ht="14.25" x14ac:dyDescent="0.45">
      <c r="F306" s="14"/>
      <c r="G306" s="9">
        <f t="shared" si="21"/>
        <v>0</v>
      </c>
      <c r="H306" s="9">
        <f t="shared" si="22"/>
        <v>0</v>
      </c>
      <c r="I306" s="8">
        <f t="shared" si="23"/>
        <v>0</v>
      </c>
      <c r="J306" s="9" t="str">
        <f t="shared" si="25"/>
        <v/>
      </c>
      <c r="K306" s="9">
        <f t="shared" si="24"/>
        <v>0</v>
      </c>
      <c r="L306"/>
      <c r="M306"/>
      <c r="N306"/>
    </row>
    <row r="307" spans="6:14" ht="14.25" x14ac:dyDescent="0.45">
      <c r="F307" s="14"/>
      <c r="G307" s="9">
        <f t="shared" si="21"/>
        <v>0</v>
      </c>
      <c r="H307" s="9">
        <f t="shared" si="22"/>
        <v>0</v>
      </c>
      <c r="I307" s="8">
        <f t="shared" si="23"/>
        <v>0</v>
      </c>
      <c r="J307" s="9" t="str">
        <f t="shared" si="25"/>
        <v/>
      </c>
      <c r="K307" s="9">
        <f t="shared" si="24"/>
        <v>0</v>
      </c>
      <c r="L307"/>
      <c r="M307"/>
      <c r="N307"/>
    </row>
    <row r="308" spans="6:14" ht="14.25" x14ac:dyDescent="0.45">
      <c r="F308" s="14"/>
      <c r="G308" s="9">
        <f t="shared" si="21"/>
        <v>0</v>
      </c>
      <c r="H308" s="9">
        <f t="shared" si="22"/>
        <v>0</v>
      </c>
      <c r="I308" s="8">
        <f t="shared" si="23"/>
        <v>0</v>
      </c>
      <c r="J308" s="9" t="str">
        <f t="shared" si="25"/>
        <v/>
      </c>
      <c r="K308" s="9">
        <f t="shared" si="24"/>
        <v>0</v>
      </c>
      <c r="L308"/>
      <c r="M308"/>
      <c r="N308"/>
    </row>
    <row r="309" spans="6:14" ht="14.25" x14ac:dyDescent="0.45">
      <c r="F309" s="14"/>
      <c r="G309" s="9">
        <f t="shared" si="21"/>
        <v>0</v>
      </c>
      <c r="H309" s="9">
        <f t="shared" si="22"/>
        <v>0</v>
      </c>
      <c r="I309" s="8">
        <f t="shared" si="23"/>
        <v>0</v>
      </c>
      <c r="J309" s="9" t="str">
        <f t="shared" si="25"/>
        <v/>
      </c>
      <c r="K309" s="9">
        <f t="shared" si="24"/>
        <v>0</v>
      </c>
      <c r="L309"/>
      <c r="M309"/>
      <c r="N309"/>
    </row>
    <row r="310" spans="6:14" ht="14.25" x14ac:dyDescent="0.45">
      <c r="F310" s="14"/>
      <c r="G310" s="9">
        <f t="shared" si="21"/>
        <v>0</v>
      </c>
      <c r="H310" s="9">
        <f t="shared" si="22"/>
        <v>0</v>
      </c>
      <c r="I310" s="8">
        <f t="shared" si="23"/>
        <v>0</v>
      </c>
      <c r="J310" s="9" t="str">
        <f t="shared" si="25"/>
        <v/>
      </c>
      <c r="K310" s="9">
        <f t="shared" si="24"/>
        <v>0</v>
      </c>
      <c r="L310"/>
      <c r="M310"/>
      <c r="N310"/>
    </row>
    <row r="311" spans="6:14" ht="14.25" x14ac:dyDescent="0.45">
      <c r="F311" s="14"/>
      <c r="G311" s="9">
        <f t="shared" si="21"/>
        <v>0</v>
      </c>
      <c r="H311" s="9">
        <f t="shared" si="22"/>
        <v>0</v>
      </c>
      <c r="I311" s="8">
        <f t="shared" si="23"/>
        <v>0</v>
      </c>
      <c r="J311" s="9" t="str">
        <f t="shared" si="25"/>
        <v/>
      </c>
      <c r="K311" s="9">
        <f t="shared" si="24"/>
        <v>0</v>
      </c>
      <c r="L311"/>
      <c r="M311"/>
      <c r="N311"/>
    </row>
    <row r="312" spans="6:14" ht="14.25" x14ac:dyDescent="0.45">
      <c r="F312" s="14"/>
      <c r="G312" s="9">
        <f t="shared" si="21"/>
        <v>0</v>
      </c>
      <c r="H312" s="9">
        <f t="shared" si="22"/>
        <v>0</v>
      </c>
      <c r="I312" s="8">
        <f t="shared" si="23"/>
        <v>0</v>
      </c>
      <c r="J312" s="9" t="str">
        <f t="shared" si="25"/>
        <v/>
      </c>
      <c r="K312" s="9">
        <f t="shared" si="24"/>
        <v>0</v>
      </c>
      <c r="L312"/>
      <c r="M312"/>
      <c r="N312"/>
    </row>
    <row r="313" spans="6:14" ht="14.25" x14ac:dyDescent="0.45">
      <c r="F313" s="14"/>
      <c r="G313" s="9">
        <f t="shared" si="21"/>
        <v>0</v>
      </c>
      <c r="H313" s="9">
        <f t="shared" si="22"/>
        <v>0</v>
      </c>
      <c r="I313" s="8">
        <f t="shared" si="23"/>
        <v>0</v>
      </c>
      <c r="J313" s="9" t="str">
        <f t="shared" si="25"/>
        <v/>
      </c>
      <c r="K313" s="9">
        <f t="shared" si="24"/>
        <v>0</v>
      </c>
      <c r="L313"/>
      <c r="M313"/>
      <c r="N313"/>
    </row>
    <row r="314" spans="6:14" ht="14.25" x14ac:dyDescent="0.45">
      <c r="F314" s="14"/>
      <c r="G314" s="9">
        <f t="shared" si="21"/>
        <v>0</v>
      </c>
      <c r="H314" s="9">
        <f t="shared" si="22"/>
        <v>0</v>
      </c>
      <c r="I314" s="8">
        <f t="shared" si="23"/>
        <v>0</v>
      </c>
      <c r="J314" s="9" t="str">
        <f t="shared" si="25"/>
        <v/>
      </c>
      <c r="K314" s="9">
        <f t="shared" si="24"/>
        <v>0</v>
      </c>
      <c r="L314"/>
      <c r="M314"/>
      <c r="N314"/>
    </row>
    <row r="315" spans="6:14" ht="14.25" x14ac:dyDescent="0.45">
      <c r="F315" s="14"/>
      <c r="G315" s="9">
        <f t="shared" si="21"/>
        <v>0</v>
      </c>
      <c r="H315" s="9">
        <f t="shared" si="22"/>
        <v>0</v>
      </c>
      <c r="I315" s="8">
        <f t="shared" si="23"/>
        <v>0</v>
      </c>
      <c r="J315" s="9" t="str">
        <f t="shared" si="25"/>
        <v/>
      </c>
      <c r="K315" s="9">
        <f t="shared" si="24"/>
        <v>0</v>
      </c>
      <c r="L315"/>
      <c r="M315"/>
      <c r="N315"/>
    </row>
    <row r="316" spans="6:14" ht="14.25" x14ac:dyDescent="0.45">
      <c r="F316" s="14"/>
      <c r="G316" s="9">
        <f t="shared" si="21"/>
        <v>0</v>
      </c>
      <c r="H316" s="9">
        <f t="shared" si="22"/>
        <v>0</v>
      </c>
      <c r="I316" s="8">
        <f t="shared" si="23"/>
        <v>0</v>
      </c>
      <c r="J316" s="9" t="str">
        <f t="shared" si="25"/>
        <v/>
      </c>
      <c r="K316" s="9">
        <f t="shared" si="24"/>
        <v>0</v>
      </c>
      <c r="L316"/>
      <c r="M316"/>
      <c r="N316"/>
    </row>
    <row r="317" spans="6:14" ht="14.25" x14ac:dyDescent="0.45">
      <c r="F317" s="14"/>
      <c r="G317" s="9">
        <f t="shared" si="21"/>
        <v>0</v>
      </c>
      <c r="H317" s="9">
        <f t="shared" si="22"/>
        <v>0</v>
      </c>
      <c r="I317" s="8">
        <f t="shared" si="23"/>
        <v>0</v>
      </c>
      <c r="J317" s="9" t="str">
        <f t="shared" si="25"/>
        <v/>
      </c>
      <c r="K317" s="9">
        <f t="shared" si="24"/>
        <v>0</v>
      </c>
      <c r="L317"/>
      <c r="M317"/>
      <c r="N317"/>
    </row>
    <row r="318" spans="6:14" ht="14.25" x14ac:dyDescent="0.45">
      <c r="F318" s="14"/>
      <c r="G318" s="9">
        <f t="shared" si="21"/>
        <v>0</v>
      </c>
      <c r="H318" s="9">
        <f t="shared" si="22"/>
        <v>0</v>
      </c>
      <c r="I318" s="8">
        <f t="shared" si="23"/>
        <v>0</v>
      </c>
      <c r="J318" s="9" t="str">
        <f t="shared" si="25"/>
        <v/>
      </c>
      <c r="K318" s="9">
        <f t="shared" si="24"/>
        <v>0</v>
      </c>
      <c r="L318"/>
      <c r="M318"/>
      <c r="N318"/>
    </row>
    <row r="319" spans="6:14" ht="14.25" x14ac:dyDescent="0.45">
      <c r="F319" s="14"/>
      <c r="G319" s="9">
        <f t="shared" si="21"/>
        <v>0</v>
      </c>
      <c r="H319" s="9">
        <f t="shared" si="22"/>
        <v>0</v>
      </c>
      <c r="I319" s="8">
        <f t="shared" si="23"/>
        <v>0</v>
      </c>
      <c r="J319" s="9" t="str">
        <f t="shared" si="25"/>
        <v/>
      </c>
      <c r="K319" s="9">
        <f t="shared" si="24"/>
        <v>0</v>
      </c>
      <c r="L319"/>
      <c r="M319"/>
      <c r="N319"/>
    </row>
    <row r="320" spans="6:14" ht="14.25" x14ac:dyDescent="0.45">
      <c r="F320" s="14"/>
      <c r="G320" s="9">
        <f t="shared" si="21"/>
        <v>0</v>
      </c>
      <c r="H320" s="9">
        <f t="shared" si="22"/>
        <v>0</v>
      </c>
      <c r="I320" s="8">
        <f t="shared" si="23"/>
        <v>0</v>
      </c>
      <c r="J320" s="9" t="str">
        <f t="shared" si="25"/>
        <v/>
      </c>
      <c r="K320" s="9">
        <f t="shared" si="24"/>
        <v>0</v>
      </c>
      <c r="L320"/>
      <c r="M320"/>
      <c r="N320"/>
    </row>
    <row r="321" spans="6:14" ht="14.25" x14ac:dyDescent="0.45">
      <c r="F321" s="14"/>
      <c r="G321" s="9">
        <f t="shared" si="21"/>
        <v>0</v>
      </c>
      <c r="H321" s="9">
        <f t="shared" si="22"/>
        <v>0</v>
      </c>
      <c r="I321" s="8">
        <f t="shared" si="23"/>
        <v>0</v>
      </c>
      <c r="J321" s="9" t="str">
        <f t="shared" si="25"/>
        <v/>
      </c>
      <c r="K321" s="9">
        <f t="shared" si="24"/>
        <v>0</v>
      </c>
      <c r="L321"/>
      <c r="M321"/>
      <c r="N321"/>
    </row>
    <row r="322" spans="6:14" ht="14.25" x14ac:dyDescent="0.45">
      <c r="F322" s="14"/>
      <c r="G322" s="9">
        <f t="shared" si="21"/>
        <v>0</v>
      </c>
      <c r="H322" s="9">
        <f t="shared" si="22"/>
        <v>0</v>
      </c>
      <c r="I322" s="8">
        <f t="shared" si="23"/>
        <v>0</v>
      </c>
      <c r="J322" s="9" t="str">
        <f t="shared" si="25"/>
        <v/>
      </c>
      <c r="K322" s="9">
        <f t="shared" si="24"/>
        <v>0</v>
      </c>
      <c r="L322"/>
      <c r="M322"/>
      <c r="N322"/>
    </row>
    <row r="323" spans="6:14" ht="14.25" x14ac:dyDescent="0.45">
      <c r="F323" s="14"/>
      <c r="G323" s="9">
        <f t="shared" si="21"/>
        <v>0</v>
      </c>
      <c r="H323" s="9">
        <f t="shared" si="22"/>
        <v>0</v>
      </c>
      <c r="I323" s="8">
        <f t="shared" si="23"/>
        <v>0</v>
      </c>
      <c r="J323" s="9" t="str">
        <f t="shared" si="25"/>
        <v/>
      </c>
      <c r="K323" s="9">
        <f t="shared" si="24"/>
        <v>0</v>
      </c>
      <c r="L323"/>
      <c r="M323"/>
      <c r="N323"/>
    </row>
    <row r="324" spans="6:14" ht="14.25" x14ac:dyDescent="0.45">
      <c r="F324" s="14"/>
      <c r="G324" s="9">
        <f t="shared" si="21"/>
        <v>0</v>
      </c>
      <c r="H324" s="9">
        <f t="shared" si="22"/>
        <v>0</v>
      </c>
      <c r="I324" s="8">
        <f t="shared" si="23"/>
        <v>0</v>
      </c>
      <c r="J324" s="9" t="str">
        <f t="shared" si="25"/>
        <v/>
      </c>
      <c r="K324" s="9">
        <f t="shared" si="24"/>
        <v>0</v>
      </c>
      <c r="L324"/>
      <c r="M324"/>
      <c r="N324"/>
    </row>
    <row r="325" spans="6:14" ht="14.25" x14ac:dyDescent="0.45">
      <c r="F325" s="14"/>
      <c r="G325" s="9">
        <f t="shared" ref="G325:G326" si="26">_xlfn.IFNA(VLOOKUP(L325,f_details_of_candidates,4,FALSE),"")</f>
        <v>0</v>
      </c>
      <c r="H325" s="9">
        <f t="shared" ref="H325:H326" si="27">_xlfn.IFNA(VLOOKUP(L325,f_details_of_candidates,3,FALSE),"")</f>
        <v>0</v>
      </c>
      <c r="I325" s="8">
        <f t="shared" si="23"/>
        <v>0</v>
      </c>
      <c r="J325" s="9" t="str">
        <f t="shared" si="25"/>
        <v/>
      </c>
      <c r="K325" s="9">
        <f t="shared" ref="K325:K326" si="28">_xlfn.IFNA(VLOOKUP(L325,f_details_of_candidates,2,FALSE),"")</f>
        <v>0</v>
      </c>
      <c r="L325"/>
      <c r="M325"/>
      <c r="N325"/>
    </row>
    <row r="326" spans="6:14" ht="19.5" customHeight="1" x14ac:dyDescent="0.45">
      <c r="F326" s="14"/>
      <c r="G326" s="9">
        <f t="shared" si="26"/>
        <v>0</v>
      </c>
      <c r="H326" s="9">
        <f t="shared" si="27"/>
        <v>0</v>
      </c>
      <c r="I326" s="8">
        <f t="shared" si="23"/>
        <v>0</v>
      </c>
      <c r="J326" s="9" t="str">
        <f t="shared" ref="J326" si="29">IF(L326&lt;&gt;0,RANK(M326,M$5:M$326,0),"")</f>
        <v/>
      </c>
      <c r="K326" s="9">
        <f t="shared" si="28"/>
        <v>0</v>
      </c>
      <c r="L326"/>
      <c r="M326"/>
    </row>
    <row r="327" spans="6:14" ht="14.25" x14ac:dyDescent="0.45">
      <c r="L327"/>
      <c r="M327"/>
    </row>
    <row r="328" spans="6:14" ht="14.25" x14ac:dyDescent="0.45">
      <c r="L328"/>
      <c r="M328"/>
    </row>
    <row r="329" spans="6:14" ht="14.25" x14ac:dyDescent="0.45">
      <c r="L329"/>
      <c r="M329"/>
    </row>
    <row r="330" spans="6:14" ht="14.25" x14ac:dyDescent="0.45">
      <c r="L330"/>
      <c r="M330"/>
    </row>
    <row r="331" spans="6:14" ht="14.25" x14ac:dyDescent="0.45">
      <c r="L331"/>
      <c r="M331"/>
    </row>
    <row r="332" spans="6:14" ht="14.25" x14ac:dyDescent="0.45">
      <c r="L332"/>
      <c r="M332"/>
    </row>
    <row r="333" spans="6:14" ht="14.25" x14ac:dyDescent="0.45">
      <c r="L333"/>
      <c r="M333"/>
    </row>
    <row r="334" spans="6:14" ht="14.25" x14ac:dyDescent="0.45">
      <c r="L334"/>
      <c r="M334"/>
    </row>
    <row r="335" spans="6:14" ht="14.25" x14ac:dyDescent="0.45">
      <c r="L335"/>
      <c r="M335"/>
    </row>
    <row r="336" spans="6:14" ht="14.25" x14ac:dyDescent="0.45">
      <c r="L336"/>
      <c r="M336"/>
    </row>
    <row r="337" spans="12:13" ht="14.25" x14ac:dyDescent="0.45">
      <c r="L337"/>
      <c r="M337"/>
    </row>
    <row r="338" spans="12:13" ht="14.25" x14ac:dyDescent="0.45">
      <c r="L338"/>
      <c r="M338"/>
    </row>
    <row r="339" spans="12:13" ht="14.25" x14ac:dyDescent="0.45">
      <c r="L339"/>
      <c r="M339"/>
    </row>
    <row r="340" spans="12:13" ht="14.25" x14ac:dyDescent="0.45">
      <c r="L340"/>
      <c r="M340"/>
    </row>
    <row r="341" spans="12:13" ht="14.25" x14ac:dyDescent="0.45">
      <c r="L341"/>
      <c r="M341"/>
    </row>
    <row r="342" spans="12:13" ht="14.25" x14ac:dyDescent="0.45">
      <c r="L342"/>
      <c r="M342"/>
    </row>
    <row r="343" spans="12:13" ht="14.25" x14ac:dyDescent="0.45">
      <c r="L343"/>
      <c r="M343"/>
    </row>
    <row r="344" spans="12:13" ht="14.25" x14ac:dyDescent="0.45">
      <c r="L344"/>
      <c r="M344"/>
    </row>
    <row r="345" spans="12:13" ht="14.25" x14ac:dyDescent="0.45">
      <c r="L345"/>
      <c r="M345"/>
    </row>
    <row r="346" spans="12:13" ht="14.25" x14ac:dyDescent="0.45">
      <c r="L346"/>
      <c r="M346"/>
    </row>
    <row r="347" spans="12:13" ht="14.25" x14ac:dyDescent="0.45">
      <c r="L347"/>
      <c r="M347"/>
    </row>
    <row r="348" spans="12:13" ht="14.25" x14ac:dyDescent="0.45">
      <c r="L348"/>
      <c r="M348"/>
    </row>
    <row r="349" spans="12:13" ht="14.25" x14ac:dyDescent="0.45">
      <c r="L349"/>
      <c r="M349"/>
    </row>
    <row r="350" spans="12:13" ht="14.25" x14ac:dyDescent="0.45">
      <c r="L350"/>
      <c r="M350"/>
    </row>
    <row r="351" spans="12:13" ht="14.25" x14ac:dyDescent="0.45">
      <c r="L351"/>
      <c r="M351"/>
    </row>
    <row r="352" spans="12:13" ht="14.25" x14ac:dyDescent="0.45">
      <c r="L352"/>
      <c r="M352"/>
    </row>
    <row r="353" spans="12:13" ht="14.25" x14ac:dyDescent="0.45">
      <c r="L353"/>
      <c r="M353"/>
    </row>
    <row r="354" spans="12:13" ht="14.25" x14ac:dyDescent="0.45">
      <c r="L354"/>
      <c r="M354"/>
    </row>
    <row r="355" spans="12:13" ht="14.25" x14ac:dyDescent="0.45">
      <c r="L355"/>
      <c r="M355"/>
    </row>
    <row r="356" spans="12:13" ht="14.25" x14ac:dyDescent="0.45">
      <c r="L356"/>
      <c r="M356"/>
    </row>
    <row r="357" spans="12:13" ht="14.25" x14ac:dyDescent="0.45">
      <c r="L357"/>
      <c r="M357"/>
    </row>
    <row r="358" spans="12:13" ht="14.25" x14ac:dyDescent="0.45">
      <c r="L358"/>
      <c r="M358"/>
    </row>
    <row r="359" spans="12:13" ht="14.25" x14ac:dyDescent="0.45">
      <c r="L359"/>
      <c r="M359"/>
    </row>
    <row r="360" spans="12:13" ht="14.25" x14ac:dyDescent="0.45">
      <c r="L360"/>
      <c r="M360"/>
    </row>
    <row r="361" spans="12:13" ht="14.25" x14ac:dyDescent="0.45">
      <c r="L361"/>
      <c r="M361"/>
    </row>
    <row r="362" spans="12:13" ht="14.25" x14ac:dyDescent="0.45">
      <c r="L362"/>
      <c r="M362"/>
    </row>
    <row r="363" spans="12:13" ht="14.25" x14ac:dyDescent="0.45">
      <c r="L363"/>
      <c r="M363"/>
    </row>
    <row r="364" spans="12:13" ht="14.25" x14ac:dyDescent="0.45">
      <c r="L364"/>
      <c r="M364"/>
    </row>
    <row r="365" spans="12:13" ht="14.25" x14ac:dyDescent="0.45">
      <c r="L365"/>
      <c r="M365"/>
    </row>
    <row r="366" spans="12:13" ht="14.25" x14ac:dyDescent="0.45">
      <c r="L366"/>
      <c r="M366"/>
    </row>
    <row r="367" spans="12:13" ht="14.25" x14ac:dyDescent="0.45">
      <c r="L367"/>
      <c r="M367"/>
    </row>
    <row r="368" spans="12:13" ht="14.25" x14ac:dyDescent="0.45">
      <c r="L368"/>
      <c r="M368"/>
    </row>
    <row r="369" spans="12:13" ht="14.25" x14ac:dyDescent="0.45">
      <c r="L369"/>
      <c r="M369"/>
    </row>
    <row r="370" spans="12:13" ht="14.25" x14ac:dyDescent="0.45">
      <c r="L370"/>
      <c r="M370"/>
    </row>
    <row r="371" spans="12:13" ht="14.25" x14ac:dyDescent="0.45">
      <c r="L371"/>
      <c r="M371"/>
    </row>
    <row r="372" spans="12:13" ht="14.25" x14ac:dyDescent="0.45">
      <c r="L372"/>
      <c r="M372"/>
    </row>
    <row r="373" spans="12:13" ht="14.25" x14ac:dyDescent="0.45">
      <c r="L373"/>
      <c r="M373"/>
    </row>
    <row r="374" spans="12:13" ht="14.25" x14ac:dyDescent="0.45">
      <c r="L374"/>
      <c r="M374"/>
    </row>
    <row r="375" spans="12:13" ht="14.25" x14ac:dyDescent="0.45">
      <c r="L375"/>
      <c r="M375"/>
    </row>
    <row r="376" spans="12:13" ht="14.25" x14ac:dyDescent="0.45">
      <c r="L376"/>
      <c r="M376"/>
    </row>
    <row r="377" spans="12:13" ht="14.25" x14ac:dyDescent="0.45">
      <c r="L377"/>
      <c r="M377"/>
    </row>
    <row r="378" spans="12:13" ht="14.25" x14ac:dyDescent="0.45">
      <c r="L378"/>
      <c r="M378"/>
    </row>
    <row r="379" spans="12:13" ht="14.25" x14ac:dyDescent="0.45">
      <c r="L379"/>
      <c r="M379"/>
    </row>
    <row r="380" spans="12:13" ht="14.25" x14ac:dyDescent="0.45">
      <c r="L380"/>
      <c r="M380"/>
    </row>
    <row r="381" spans="12:13" ht="14.25" x14ac:dyDescent="0.45">
      <c r="L381"/>
      <c r="M381"/>
    </row>
    <row r="382" spans="12:13" ht="14.25" x14ac:dyDescent="0.45">
      <c r="L382"/>
      <c r="M382"/>
    </row>
    <row r="383" spans="12:13" ht="14.25" x14ac:dyDescent="0.45">
      <c r="L383"/>
      <c r="M383"/>
    </row>
    <row r="384" spans="12:13" ht="14.25" x14ac:dyDescent="0.45">
      <c r="L384"/>
      <c r="M384"/>
    </row>
    <row r="385" spans="12:13" ht="14.25" x14ac:dyDescent="0.45">
      <c r="L385"/>
      <c r="M385"/>
    </row>
    <row r="386" spans="12:13" ht="14.25" x14ac:dyDescent="0.45">
      <c r="L386"/>
      <c r="M386"/>
    </row>
    <row r="387" spans="12:13" ht="14.25" x14ac:dyDescent="0.45">
      <c r="L387"/>
      <c r="M387"/>
    </row>
    <row r="388" spans="12:13" ht="14.25" x14ac:dyDescent="0.45">
      <c r="L388"/>
      <c r="M388"/>
    </row>
    <row r="389" spans="12:13" ht="14.25" x14ac:dyDescent="0.45">
      <c r="L389"/>
      <c r="M389"/>
    </row>
    <row r="390" spans="12:13" ht="14.25" x14ac:dyDescent="0.45">
      <c r="L390"/>
      <c r="M390"/>
    </row>
    <row r="391" spans="12:13" ht="14.25" x14ac:dyDescent="0.45">
      <c r="L391"/>
      <c r="M391"/>
    </row>
    <row r="392" spans="12:13" ht="14.25" x14ac:dyDescent="0.45">
      <c r="L392"/>
      <c r="M392"/>
    </row>
    <row r="393" spans="12:13" ht="14.25" x14ac:dyDescent="0.45">
      <c r="L393"/>
      <c r="M393"/>
    </row>
    <row r="394" spans="12:13" ht="14.25" x14ac:dyDescent="0.45">
      <c r="L394"/>
      <c r="M394"/>
    </row>
    <row r="395" spans="12:13" ht="14.25" x14ac:dyDescent="0.45">
      <c r="L395"/>
      <c r="M395"/>
    </row>
    <row r="396" spans="12:13" ht="14.25" x14ac:dyDescent="0.45">
      <c r="L396"/>
      <c r="M396"/>
    </row>
    <row r="397" spans="12:13" ht="14.25" x14ac:dyDescent="0.45">
      <c r="L397"/>
      <c r="M397"/>
    </row>
    <row r="398" spans="12:13" ht="14.25" x14ac:dyDescent="0.45">
      <c r="L398"/>
      <c r="M398"/>
    </row>
    <row r="399" spans="12:13" ht="14.25" x14ac:dyDescent="0.45">
      <c r="L399"/>
      <c r="M399"/>
    </row>
    <row r="400" spans="12:13" ht="14.25" x14ac:dyDescent="0.45">
      <c r="L400"/>
      <c r="M400"/>
    </row>
    <row r="401" spans="12:13" ht="14.25" x14ac:dyDescent="0.45">
      <c r="L401"/>
      <c r="M401"/>
    </row>
    <row r="402" spans="12:13" ht="14.25" x14ac:dyDescent="0.45">
      <c r="L402"/>
      <c r="M402"/>
    </row>
    <row r="403" spans="12:13" ht="14.25" x14ac:dyDescent="0.45">
      <c r="L403"/>
      <c r="M403"/>
    </row>
    <row r="404" spans="12:13" ht="14.25" x14ac:dyDescent="0.45">
      <c r="L404"/>
      <c r="M404"/>
    </row>
    <row r="405" spans="12:13" ht="14.25" x14ac:dyDescent="0.45">
      <c r="L405"/>
      <c r="M405"/>
    </row>
    <row r="406" spans="12:13" ht="14.25" x14ac:dyDescent="0.45">
      <c r="L406"/>
      <c r="M406"/>
    </row>
    <row r="407" spans="12:13" ht="14.25" x14ac:dyDescent="0.45">
      <c r="L407"/>
      <c r="M407"/>
    </row>
    <row r="408" spans="12:13" ht="14.25" x14ac:dyDescent="0.45">
      <c r="L408"/>
      <c r="M408"/>
    </row>
    <row r="409" spans="12:13" ht="14.25" x14ac:dyDescent="0.45">
      <c r="L409"/>
      <c r="M409"/>
    </row>
    <row r="410" spans="12:13" ht="14.25" x14ac:dyDescent="0.45">
      <c r="L410"/>
      <c r="M410"/>
    </row>
    <row r="411" spans="12:13" ht="14.25" x14ac:dyDescent="0.45">
      <c r="L411"/>
      <c r="M411"/>
    </row>
    <row r="412" spans="12:13" ht="14.25" x14ac:dyDescent="0.45">
      <c r="L412"/>
      <c r="M412"/>
    </row>
    <row r="413" spans="12:13" ht="14.25" x14ac:dyDescent="0.45">
      <c r="L413"/>
      <c r="M413"/>
    </row>
    <row r="414" spans="12:13" ht="14.25" x14ac:dyDescent="0.45">
      <c r="L414"/>
      <c r="M414"/>
    </row>
    <row r="415" spans="12:13" ht="14.25" x14ac:dyDescent="0.45">
      <c r="L415"/>
      <c r="M415"/>
    </row>
    <row r="416" spans="12:13" ht="14.25" x14ac:dyDescent="0.45">
      <c r="L416"/>
      <c r="M416"/>
    </row>
    <row r="417" spans="12:13" ht="14.25" x14ac:dyDescent="0.45">
      <c r="L417"/>
      <c r="M417"/>
    </row>
    <row r="418" spans="12:13" ht="14.25" x14ac:dyDescent="0.45">
      <c r="L418"/>
      <c r="M418"/>
    </row>
    <row r="419" spans="12:13" ht="14.25" x14ac:dyDescent="0.45">
      <c r="L419"/>
      <c r="M419"/>
    </row>
    <row r="420" spans="12:13" ht="14.25" x14ac:dyDescent="0.45">
      <c r="L420"/>
      <c r="M420"/>
    </row>
    <row r="421" spans="12:13" ht="14.25" x14ac:dyDescent="0.45">
      <c r="L421"/>
      <c r="M421"/>
    </row>
    <row r="422" spans="12:13" ht="14.25" x14ac:dyDescent="0.45">
      <c r="L422"/>
      <c r="M422"/>
    </row>
    <row r="423" spans="12:13" ht="14.25" x14ac:dyDescent="0.45">
      <c r="L423"/>
      <c r="M423"/>
    </row>
    <row r="424" spans="12:13" ht="14.25" x14ac:dyDescent="0.45">
      <c r="L424"/>
      <c r="M424"/>
    </row>
    <row r="425" spans="12:13" ht="14.25" x14ac:dyDescent="0.45">
      <c r="L425"/>
      <c r="M425"/>
    </row>
    <row r="426" spans="12:13" ht="14.25" x14ac:dyDescent="0.45">
      <c r="L426"/>
      <c r="M426"/>
    </row>
    <row r="427" spans="12:13" ht="14.25" x14ac:dyDescent="0.45">
      <c r="L427"/>
      <c r="M427"/>
    </row>
    <row r="428" spans="12:13" ht="14.25" x14ac:dyDescent="0.45">
      <c r="L428"/>
      <c r="M428"/>
    </row>
    <row r="429" spans="12:13" ht="14.25" x14ac:dyDescent="0.45">
      <c r="L429"/>
      <c r="M429"/>
    </row>
    <row r="430" spans="12:13" ht="14.25" x14ac:dyDescent="0.45">
      <c r="L430"/>
      <c r="M430"/>
    </row>
    <row r="431" spans="12:13" ht="14.25" x14ac:dyDescent="0.45">
      <c r="L431"/>
      <c r="M431"/>
    </row>
    <row r="432" spans="12:13" ht="14.25" x14ac:dyDescent="0.45">
      <c r="L432"/>
      <c r="M432"/>
    </row>
    <row r="433" spans="12:13" ht="14.25" x14ac:dyDescent="0.45">
      <c r="L433"/>
      <c r="M433"/>
    </row>
    <row r="434" spans="12:13" ht="14.25" x14ac:dyDescent="0.45">
      <c r="L434"/>
      <c r="M434"/>
    </row>
    <row r="435" spans="12:13" ht="14.25" x14ac:dyDescent="0.45">
      <c r="L435"/>
      <c r="M435"/>
    </row>
    <row r="436" spans="12:13" ht="14.25" x14ac:dyDescent="0.45">
      <c r="L436"/>
      <c r="M436"/>
    </row>
    <row r="437" spans="12:13" ht="14.25" x14ac:dyDescent="0.45">
      <c r="L437"/>
      <c r="M437"/>
    </row>
    <row r="438" spans="12:13" ht="14.25" x14ac:dyDescent="0.45">
      <c r="L438"/>
      <c r="M438"/>
    </row>
    <row r="439" spans="12:13" ht="14.25" x14ac:dyDescent="0.45">
      <c r="L439"/>
      <c r="M439"/>
    </row>
    <row r="440" spans="12:13" ht="14.25" x14ac:dyDescent="0.45">
      <c r="L440"/>
      <c r="M440"/>
    </row>
    <row r="441" spans="12:13" ht="14.25" x14ac:dyDescent="0.45">
      <c r="L441"/>
      <c r="M441"/>
    </row>
    <row r="442" spans="12:13" ht="14.25" x14ac:dyDescent="0.45">
      <c r="L442"/>
      <c r="M442"/>
    </row>
    <row r="443" spans="12:13" ht="14.25" x14ac:dyDescent="0.45">
      <c r="L443"/>
      <c r="M443"/>
    </row>
    <row r="444" spans="12:13" ht="14.25" x14ac:dyDescent="0.45">
      <c r="L444"/>
      <c r="M444"/>
    </row>
    <row r="445" spans="12:13" ht="14.25" x14ac:dyDescent="0.45">
      <c r="L445"/>
      <c r="M445"/>
    </row>
    <row r="446" spans="12:13" ht="14.25" x14ac:dyDescent="0.45">
      <c r="L446"/>
      <c r="M446"/>
    </row>
    <row r="447" spans="12:13" ht="14.25" x14ac:dyDescent="0.45">
      <c r="L447"/>
      <c r="M447"/>
    </row>
    <row r="448" spans="12:13" ht="14.25" x14ac:dyDescent="0.45">
      <c r="L448"/>
      <c r="M448"/>
    </row>
    <row r="449" spans="12:13" ht="14.25" x14ac:dyDescent="0.45">
      <c r="L449"/>
      <c r="M449"/>
    </row>
    <row r="450" spans="12:13" ht="14.25" x14ac:dyDescent="0.45">
      <c r="L450"/>
      <c r="M450"/>
    </row>
    <row r="451" spans="12:13" ht="14.25" x14ac:dyDescent="0.45">
      <c r="L451"/>
      <c r="M451"/>
    </row>
    <row r="452" spans="12:13" ht="14.25" x14ac:dyDescent="0.45">
      <c r="L452"/>
      <c r="M452"/>
    </row>
    <row r="453" spans="12:13" ht="14.25" x14ac:dyDescent="0.45">
      <c r="L453"/>
      <c r="M453"/>
    </row>
    <row r="454" spans="12:13" ht="14.25" x14ac:dyDescent="0.45">
      <c r="L454"/>
      <c r="M454"/>
    </row>
    <row r="455" spans="12:13" ht="14.25" x14ac:dyDescent="0.45">
      <c r="L455"/>
      <c r="M455"/>
    </row>
    <row r="456" spans="12:13" ht="14.25" x14ac:dyDescent="0.45">
      <c r="L456"/>
      <c r="M456"/>
    </row>
    <row r="457" spans="12:13" ht="14.25" x14ac:dyDescent="0.45">
      <c r="L457"/>
      <c r="M457"/>
    </row>
    <row r="458" spans="12:13" ht="14.25" x14ac:dyDescent="0.45">
      <c r="L458"/>
      <c r="M458"/>
    </row>
    <row r="459" spans="12:13" ht="14.25" x14ac:dyDescent="0.45">
      <c r="L459"/>
      <c r="M459"/>
    </row>
    <row r="460" spans="12:13" ht="14.25" x14ac:dyDescent="0.45">
      <c r="L460"/>
      <c r="M460"/>
    </row>
    <row r="461" spans="12:13" ht="14.25" x14ac:dyDescent="0.45">
      <c r="L461"/>
      <c r="M461"/>
    </row>
    <row r="462" spans="12:13" ht="14.25" x14ac:dyDescent="0.45">
      <c r="L462"/>
      <c r="M462"/>
    </row>
    <row r="463" spans="12:13" ht="14.25" x14ac:dyDescent="0.45">
      <c r="L463"/>
      <c r="M463"/>
    </row>
    <row r="464" spans="12:13" ht="14.25" x14ac:dyDescent="0.45">
      <c r="L464"/>
      <c r="M464"/>
    </row>
    <row r="465" spans="12:13" ht="14.25" x14ac:dyDescent="0.45">
      <c r="L465"/>
      <c r="M465"/>
    </row>
    <row r="466" spans="12:13" ht="14.25" x14ac:dyDescent="0.45">
      <c r="L466"/>
      <c r="M466"/>
    </row>
    <row r="467" spans="12:13" ht="14.25" x14ac:dyDescent="0.45">
      <c r="L467"/>
      <c r="M467"/>
    </row>
    <row r="468" spans="12:13" ht="14.25" x14ac:dyDescent="0.45">
      <c r="L468"/>
      <c r="M468"/>
    </row>
    <row r="469" spans="12:13" ht="14.25" x14ac:dyDescent="0.45">
      <c r="L469"/>
      <c r="M469"/>
    </row>
    <row r="470" spans="12:13" ht="14.25" x14ac:dyDescent="0.45">
      <c r="L470"/>
      <c r="M470"/>
    </row>
    <row r="471" spans="12:13" ht="14.25" x14ac:dyDescent="0.45">
      <c r="L471"/>
      <c r="M471"/>
    </row>
    <row r="472" spans="12:13" ht="14.25" x14ac:dyDescent="0.45">
      <c r="L472"/>
      <c r="M472"/>
    </row>
    <row r="473" spans="12:13" ht="14.25" x14ac:dyDescent="0.45">
      <c r="L473"/>
      <c r="M473"/>
    </row>
    <row r="474" spans="12:13" ht="14.25" x14ac:dyDescent="0.45">
      <c r="L474"/>
      <c r="M474"/>
    </row>
    <row r="475" spans="12:13" ht="14.25" x14ac:dyDescent="0.45">
      <c r="L475"/>
      <c r="M475"/>
    </row>
    <row r="476" spans="12:13" ht="14.25" x14ac:dyDescent="0.45">
      <c r="L476"/>
      <c r="M476"/>
    </row>
    <row r="477" spans="12:13" ht="14.25" x14ac:dyDescent="0.45">
      <c r="L477"/>
      <c r="M477"/>
    </row>
    <row r="478" spans="12:13" ht="14.25" x14ac:dyDescent="0.45">
      <c r="L478"/>
      <c r="M478"/>
    </row>
    <row r="479" spans="12:13" ht="14.25" x14ac:dyDescent="0.45">
      <c r="L479"/>
      <c r="M479"/>
    </row>
    <row r="480" spans="12:13" ht="14.25" x14ac:dyDescent="0.45">
      <c r="L480"/>
      <c r="M480"/>
    </row>
    <row r="481" spans="12:13" ht="14.25" x14ac:dyDescent="0.45">
      <c r="L481"/>
      <c r="M481"/>
    </row>
    <row r="482" spans="12:13" ht="14.25" x14ac:dyDescent="0.45">
      <c r="L482"/>
      <c r="M482"/>
    </row>
    <row r="483" spans="12:13" ht="14.25" x14ac:dyDescent="0.45">
      <c r="L483"/>
      <c r="M483"/>
    </row>
    <row r="484" spans="12:13" ht="14.25" x14ac:dyDescent="0.45">
      <c r="L484"/>
      <c r="M484"/>
    </row>
    <row r="485" spans="12:13" ht="14.25" x14ac:dyDescent="0.45">
      <c r="L485"/>
      <c r="M485"/>
    </row>
    <row r="486" spans="12:13" ht="14.25" x14ac:dyDescent="0.45">
      <c r="L486"/>
      <c r="M486"/>
    </row>
    <row r="487" spans="12:13" ht="14.25" x14ac:dyDescent="0.45">
      <c r="L487"/>
      <c r="M487"/>
    </row>
    <row r="488" spans="12:13" ht="14.25" x14ac:dyDescent="0.45">
      <c r="L488"/>
      <c r="M488"/>
    </row>
    <row r="489" spans="12:13" ht="14.25" x14ac:dyDescent="0.45">
      <c r="L489"/>
      <c r="M489"/>
    </row>
    <row r="490" spans="12:13" ht="14.25" x14ac:dyDescent="0.45">
      <c r="L490"/>
      <c r="M490"/>
    </row>
    <row r="491" spans="12:13" ht="14.25" x14ac:dyDescent="0.45">
      <c r="L491"/>
      <c r="M491"/>
    </row>
    <row r="492" spans="12:13" ht="14.25" x14ac:dyDescent="0.45">
      <c r="L492"/>
      <c r="M492"/>
    </row>
    <row r="493" spans="12:13" ht="14.25" x14ac:dyDescent="0.45">
      <c r="L493"/>
      <c r="M493"/>
    </row>
    <row r="494" spans="12:13" ht="14.25" x14ac:dyDescent="0.45">
      <c r="L494"/>
      <c r="M494"/>
    </row>
    <row r="495" spans="12:13" ht="14.25" x14ac:dyDescent="0.45">
      <c r="L495"/>
      <c r="M495"/>
    </row>
    <row r="496" spans="12:13" ht="14.25" x14ac:dyDescent="0.45">
      <c r="L496"/>
      <c r="M496"/>
    </row>
    <row r="497" spans="12:13" ht="14.25" x14ac:dyDescent="0.45">
      <c r="L497"/>
      <c r="M497"/>
    </row>
    <row r="498" spans="12:13" ht="14.25" x14ac:dyDescent="0.45">
      <c r="L498"/>
      <c r="M498"/>
    </row>
    <row r="499" spans="12:13" ht="14.25" x14ac:dyDescent="0.45">
      <c r="L499"/>
      <c r="M499"/>
    </row>
    <row r="500" spans="12:13" ht="14.25" x14ac:dyDescent="0.45">
      <c r="L500"/>
      <c r="M500"/>
    </row>
    <row r="501" spans="12:13" ht="14.25" x14ac:dyDescent="0.45">
      <c r="L501"/>
      <c r="M501"/>
    </row>
    <row r="502" spans="12:13" ht="14.25" x14ac:dyDescent="0.45">
      <c r="L502"/>
      <c r="M502"/>
    </row>
    <row r="503" spans="12:13" ht="14.25" x14ac:dyDescent="0.45">
      <c r="L503"/>
      <c r="M503"/>
    </row>
    <row r="504" spans="12:13" ht="14.25" x14ac:dyDescent="0.45">
      <c r="L504"/>
      <c r="M504"/>
    </row>
    <row r="505" spans="12:13" ht="14.25" x14ac:dyDescent="0.45">
      <c r="L505"/>
      <c r="M505"/>
    </row>
    <row r="506" spans="12:13" ht="14.25" x14ac:dyDescent="0.45">
      <c r="L506"/>
      <c r="M506"/>
    </row>
    <row r="507" spans="12:13" ht="14.25" x14ac:dyDescent="0.45">
      <c r="L507"/>
      <c r="M507"/>
    </row>
    <row r="508" spans="12:13" ht="14.25" x14ac:dyDescent="0.45">
      <c r="L508"/>
      <c r="M508"/>
    </row>
    <row r="509" spans="12:13" ht="14.25" x14ac:dyDescent="0.45">
      <c r="L509"/>
      <c r="M509"/>
    </row>
    <row r="510" spans="12:13" ht="14.25" x14ac:dyDescent="0.45">
      <c r="L510"/>
      <c r="M510"/>
    </row>
    <row r="511" spans="12:13" ht="14.25" x14ac:dyDescent="0.45">
      <c r="L511"/>
      <c r="M511"/>
    </row>
    <row r="512" spans="12:13" ht="14.25" x14ac:dyDescent="0.45">
      <c r="L512"/>
      <c r="M512"/>
    </row>
    <row r="513" spans="12:13" ht="14.25" x14ac:dyDescent="0.45">
      <c r="L513"/>
      <c r="M513"/>
    </row>
    <row r="514" spans="12:13" ht="14.25" x14ac:dyDescent="0.45">
      <c r="L514"/>
      <c r="M514"/>
    </row>
    <row r="515" spans="12:13" ht="14.25" x14ac:dyDescent="0.45">
      <c r="L515"/>
      <c r="M515"/>
    </row>
    <row r="516" spans="12:13" ht="14.25" x14ac:dyDescent="0.45">
      <c r="L516"/>
      <c r="M516"/>
    </row>
    <row r="517" spans="12:13" ht="14.25" x14ac:dyDescent="0.45">
      <c r="L517"/>
      <c r="M517"/>
    </row>
    <row r="518" spans="12:13" ht="14.25" x14ac:dyDescent="0.45">
      <c r="L518"/>
      <c r="M518"/>
    </row>
    <row r="519" spans="12:13" ht="14.25" x14ac:dyDescent="0.45">
      <c r="L519"/>
      <c r="M519"/>
    </row>
    <row r="520" spans="12:13" ht="14.25" x14ac:dyDescent="0.45">
      <c r="L520"/>
      <c r="M520"/>
    </row>
    <row r="521" spans="12:13" ht="14.25" x14ac:dyDescent="0.45">
      <c r="L521"/>
      <c r="M521"/>
    </row>
    <row r="522" spans="12:13" ht="14.25" x14ac:dyDescent="0.45">
      <c r="L522"/>
      <c r="M522"/>
    </row>
    <row r="523" spans="12:13" ht="14.25" x14ac:dyDescent="0.45">
      <c r="L523"/>
      <c r="M523"/>
    </row>
    <row r="524" spans="12:13" ht="14.25" x14ac:dyDescent="0.45">
      <c r="L524"/>
      <c r="M524"/>
    </row>
    <row r="525" spans="12:13" ht="14.25" x14ac:dyDescent="0.45">
      <c r="L525"/>
      <c r="M525"/>
    </row>
    <row r="526" spans="12:13" ht="14.25" x14ac:dyDescent="0.45">
      <c r="L526"/>
      <c r="M526"/>
    </row>
    <row r="527" spans="12:13" ht="14.25" x14ac:dyDescent="0.45">
      <c r="L527"/>
      <c r="M527"/>
    </row>
    <row r="528" spans="12:13" ht="14.25" x14ac:dyDescent="0.45">
      <c r="L528"/>
      <c r="M528"/>
    </row>
    <row r="529" spans="12:13" ht="14.25" x14ac:dyDescent="0.45">
      <c r="L529"/>
      <c r="M529"/>
    </row>
    <row r="530" spans="12:13" ht="14.25" x14ac:dyDescent="0.45">
      <c r="L530"/>
      <c r="M530"/>
    </row>
    <row r="531" spans="12:13" ht="14.25" x14ac:dyDescent="0.45">
      <c r="L531"/>
      <c r="M531"/>
    </row>
    <row r="532" spans="12:13" ht="14.25" x14ac:dyDescent="0.45">
      <c r="L532"/>
      <c r="M532"/>
    </row>
    <row r="533" spans="12:13" ht="14.25" x14ac:dyDescent="0.45">
      <c r="L533"/>
      <c r="M533"/>
    </row>
    <row r="534" spans="12:13" ht="14.25" x14ac:dyDescent="0.45">
      <c r="L534"/>
      <c r="M534"/>
    </row>
    <row r="535" spans="12:13" ht="14.25" x14ac:dyDescent="0.45">
      <c r="L535"/>
      <c r="M535"/>
    </row>
    <row r="536" spans="12:13" ht="14.25" x14ac:dyDescent="0.45">
      <c r="L536"/>
      <c r="M536"/>
    </row>
    <row r="537" spans="12:13" ht="14.25" x14ac:dyDescent="0.45">
      <c r="L537"/>
      <c r="M537"/>
    </row>
    <row r="538" spans="12:13" ht="14.25" x14ac:dyDescent="0.45">
      <c r="L538"/>
      <c r="M538"/>
    </row>
    <row r="539" spans="12:13" ht="14.25" x14ac:dyDescent="0.45">
      <c r="L539"/>
      <c r="M539"/>
    </row>
    <row r="540" spans="12:13" ht="14.25" x14ac:dyDescent="0.45">
      <c r="L540"/>
      <c r="M540"/>
    </row>
    <row r="541" spans="12:13" ht="14.25" x14ac:dyDescent="0.45">
      <c r="L541"/>
      <c r="M541"/>
    </row>
    <row r="542" spans="12:13" ht="14.25" x14ac:dyDescent="0.45">
      <c r="L542"/>
      <c r="M542"/>
    </row>
    <row r="543" spans="12:13" ht="14.25" x14ac:dyDescent="0.45">
      <c r="L543"/>
      <c r="M543"/>
    </row>
    <row r="544" spans="12:13" ht="14.25" x14ac:dyDescent="0.45">
      <c r="L544"/>
      <c r="M544"/>
    </row>
    <row r="545" spans="12:13" ht="14.25" x14ac:dyDescent="0.45">
      <c r="L545"/>
      <c r="M545"/>
    </row>
    <row r="546" spans="12:13" ht="14.25" x14ac:dyDescent="0.45">
      <c r="L546"/>
      <c r="M546"/>
    </row>
    <row r="547" spans="12:13" ht="14.25" x14ac:dyDescent="0.45">
      <c r="L547"/>
      <c r="M547"/>
    </row>
    <row r="548" spans="12:13" ht="14.25" x14ac:dyDescent="0.45">
      <c r="L548"/>
      <c r="M548"/>
    </row>
    <row r="549" spans="12:13" ht="14.25" x14ac:dyDescent="0.45">
      <c r="L549"/>
      <c r="M549"/>
    </row>
    <row r="550" spans="12:13" ht="14.25" x14ac:dyDescent="0.45">
      <c r="L550"/>
      <c r="M550"/>
    </row>
    <row r="551" spans="12:13" ht="14.25" x14ac:dyDescent="0.45">
      <c r="L551"/>
      <c r="M551"/>
    </row>
    <row r="552" spans="12:13" ht="14.25" x14ac:dyDescent="0.45">
      <c r="L552"/>
      <c r="M552"/>
    </row>
    <row r="553" spans="12:13" ht="14.25" x14ac:dyDescent="0.45">
      <c r="L553"/>
      <c r="M553"/>
    </row>
    <row r="554" spans="12:13" ht="14.25" x14ac:dyDescent="0.45">
      <c r="L554"/>
      <c r="M554"/>
    </row>
    <row r="555" spans="12:13" ht="14.25" x14ac:dyDescent="0.45">
      <c r="L555"/>
      <c r="M555"/>
    </row>
    <row r="556" spans="12:13" ht="14.25" x14ac:dyDescent="0.45">
      <c r="L556"/>
      <c r="M556"/>
    </row>
    <row r="557" spans="12:13" ht="14.25" x14ac:dyDescent="0.45">
      <c r="L557"/>
      <c r="M557"/>
    </row>
    <row r="558" spans="12:13" ht="14.25" x14ac:dyDescent="0.45">
      <c r="L558"/>
      <c r="M558"/>
    </row>
    <row r="559" spans="12:13" ht="14.25" x14ac:dyDescent="0.45">
      <c r="L559"/>
      <c r="M559"/>
    </row>
    <row r="560" spans="12:13" ht="14.25" x14ac:dyDescent="0.45">
      <c r="L560"/>
      <c r="M560"/>
    </row>
    <row r="561" spans="12:13" ht="14.25" x14ac:dyDescent="0.45">
      <c r="L561"/>
      <c r="M561"/>
    </row>
    <row r="562" spans="12:13" ht="14.25" x14ac:dyDescent="0.45">
      <c r="L562"/>
      <c r="M562"/>
    </row>
    <row r="563" spans="12:13" ht="14.25" x14ac:dyDescent="0.45">
      <c r="L563"/>
      <c r="M563"/>
    </row>
    <row r="564" spans="12:13" ht="14.25" x14ac:dyDescent="0.45">
      <c r="L564"/>
      <c r="M564"/>
    </row>
    <row r="565" spans="12:13" ht="14.25" x14ac:dyDescent="0.45">
      <c r="L565"/>
      <c r="M565"/>
    </row>
    <row r="566" spans="12:13" ht="14.25" x14ac:dyDescent="0.45">
      <c r="L566"/>
      <c r="M566"/>
    </row>
    <row r="567" spans="12:13" ht="14.25" x14ac:dyDescent="0.45">
      <c r="L567"/>
      <c r="M567"/>
    </row>
    <row r="568" spans="12:13" ht="14.25" x14ac:dyDescent="0.45">
      <c r="L568"/>
      <c r="M568"/>
    </row>
    <row r="569" spans="12:13" ht="14.25" x14ac:dyDescent="0.45">
      <c r="L569"/>
      <c r="M569"/>
    </row>
    <row r="570" spans="12:13" ht="14.25" x14ac:dyDescent="0.45">
      <c r="L570"/>
      <c r="M570"/>
    </row>
    <row r="571" spans="12:13" ht="14.25" x14ac:dyDescent="0.45">
      <c r="L571"/>
      <c r="M571"/>
    </row>
    <row r="572" spans="12:13" ht="14.25" x14ac:dyDescent="0.45">
      <c r="L572"/>
      <c r="M572"/>
    </row>
    <row r="573" spans="12:13" ht="14.25" x14ac:dyDescent="0.45">
      <c r="L573"/>
      <c r="M573"/>
    </row>
    <row r="574" spans="12:13" ht="14.25" x14ac:dyDescent="0.45">
      <c r="L574"/>
      <c r="M574"/>
    </row>
    <row r="575" spans="12:13" ht="14.25" x14ac:dyDescent="0.45">
      <c r="L575"/>
      <c r="M575"/>
    </row>
    <row r="576" spans="12:13" ht="14.25" x14ac:dyDescent="0.45">
      <c r="L576"/>
      <c r="M576"/>
    </row>
    <row r="577" spans="12:13" ht="14.25" x14ac:dyDescent="0.45">
      <c r="L577"/>
      <c r="M577"/>
    </row>
    <row r="578" spans="12:13" ht="14.25" x14ac:dyDescent="0.45">
      <c r="L578"/>
      <c r="M578"/>
    </row>
    <row r="579" spans="12:13" ht="14.25" x14ac:dyDescent="0.45">
      <c r="L579"/>
      <c r="M579"/>
    </row>
    <row r="580" spans="12:13" ht="14.25" x14ac:dyDescent="0.45">
      <c r="L580"/>
      <c r="M580"/>
    </row>
    <row r="581" spans="12:13" ht="14.25" x14ac:dyDescent="0.45">
      <c r="L581"/>
      <c r="M581"/>
    </row>
    <row r="582" spans="12:13" ht="14.25" x14ac:dyDescent="0.45">
      <c r="L582"/>
      <c r="M582"/>
    </row>
    <row r="583" spans="12:13" ht="14.25" x14ac:dyDescent="0.45">
      <c r="L583"/>
      <c r="M583"/>
    </row>
    <row r="584" spans="12:13" ht="14.25" x14ac:dyDescent="0.45">
      <c r="L584"/>
      <c r="M584"/>
    </row>
    <row r="585" spans="12:13" ht="14.25" x14ac:dyDescent="0.45">
      <c r="L585"/>
      <c r="M585"/>
    </row>
    <row r="586" spans="12:13" ht="14.25" x14ac:dyDescent="0.45">
      <c r="L586"/>
      <c r="M586"/>
    </row>
    <row r="587" spans="12:13" ht="14.25" x14ac:dyDescent="0.45">
      <c r="L587"/>
      <c r="M587"/>
    </row>
    <row r="588" spans="12:13" ht="14.25" x14ac:dyDescent="0.45">
      <c r="L588"/>
      <c r="M588"/>
    </row>
    <row r="589" spans="12:13" ht="14.25" x14ac:dyDescent="0.45">
      <c r="L589"/>
      <c r="M589"/>
    </row>
    <row r="590" spans="12:13" ht="14.25" x14ac:dyDescent="0.45">
      <c r="L590"/>
      <c r="M590"/>
    </row>
    <row r="591" spans="12:13" ht="14.25" x14ac:dyDescent="0.45">
      <c r="L591"/>
      <c r="M591"/>
    </row>
    <row r="592" spans="12:13" ht="14.25" x14ac:dyDescent="0.45">
      <c r="L592"/>
      <c r="M592"/>
    </row>
    <row r="593" spans="12:13" ht="14.25" x14ac:dyDescent="0.45">
      <c r="L593"/>
      <c r="M593"/>
    </row>
    <row r="594" spans="12:13" ht="14.25" x14ac:dyDescent="0.45">
      <c r="L594"/>
      <c r="M594"/>
    </row>
    <row r="595" spans="12:13" ht="14.25" x14ac:dyDescent="0.45">
      <c r="L595"/>
      <c r="M595"/>
    </row>
    <row r="596" spans="12:13" ht="14.25" x14ac:dyDescent="0.45">
      <c r="L596"/>
      <c r="M596"/>
    </row>
    <row r="597" spans="12:13" ht="14.25" x14ac:dyDescent="0.45">
      <c r="L597"/>
      <c r="M597"/>
    </row>
    <row r="598" spans="12:13" ht="14.25" x14ac:dyDescent="0.45">
      <c r="L598"/>
      <c r="M598"/>
    </row>
    <row r="599" spans="12:13" ht="14.25" x14ac:dyDescent="0.45">
      <c r="L599"/>
      <c r="M599"/>
    </row>
    <row r="600" spans="12:13" ht="14.25" x14ac:dyDescent="0.45">
      <c r="L600"/>
      <c r="M600"/>
    </row>
    <row r="601" spans="12:13" ht="14.25" x14ac:dyDescent="0.45">
      <c r="L601"/>
      <c r="M601"/>
    </row>
    <row r="602" spans="12:13" ht="14.25" x14ac:dyDescent="0.45">
      <c r="L602"/>
      <c r="M602"/>
    </row>
    <row r="603" spans="12:13" ht="14.25" x14ac:dyDescent="0.45">
      <c r="L603"/>
      <c r="M603"/>
    </row>
    <row r="604" spans="12:13" ht="14.25" x14ac:dyDescent="0.45">
      <c r="L604"/>
      <c r="M604"/>
    </row>
    <row r="605" spans="12:13" ht="14.25" x14ac:dyDescent="0.45">
      <c r="L605"/>
      <c r="M605"/>
    </row>
    <row r="606" spans="12:13" ht="14.25" x14ac:dyDescent="0.45">
      <c r="L606"/>
      <c r="M606"/>
    </row>
    <row r="607" spans="12:13" ht="14.25" x14ac:dyDescent="0.45">
      <c r="L607"/>
      <c r="M607"/>
    </row>
    <row r="608" spans="12:13" ht="14.25" x14ac:dyDescent="0.45">
      <c r="L608"/>
      <c r="M608"/>
    </row>
    <row r="609" spans="12:13" ht="14.25" x14ac:dyDescent="0.45">
      <c r="L609"/>
      <c r="M609"/>
    </row>
    <row r="610" spans="12:13" ht="14.25" x14ac:dyDescent="0.45">
      <c r="L610"/>
      <c r="M610"/>
    </row>
    <row r="611" spans="12:13" ht="14.25" x14ac:dyDescent="0.45">
      <c r="L611"/>
      <c r="M611"/>
    </row>
    <row r="612" spans="12:13" ht="14.25" x14ac:dyDescent="0.45">
      <c r="L612"/>
      <c r="M612"/>
    </row>
    <row r="613" spans="12:13" ht="14.25" x14ac:dyDescent="0.45">
      <c r="L613"/>
      <c r="M613"/>
    </row>
    <row r="614" spans="12:13" ht="14.25" x14ac:dyDescent="0.45">
      <c r="L614"/>
      <c r="M614"/>
    </row>
    <row r="615" spans="12:13" ht="14.25" x14ac:dyDescent="0.45">
      <c r="L615"/>
      <c r="M615"/>
    </row>
    <row r="616" spans="12:13" ht="14.25" x14ac:dyDescent="0.45">
      <c r="L616"/>
      <c r="M616"/>
    </row>
    <row r="617" spans="12:13" ht="14.25" x14ac:dyDescent="0.45">
      <c r="L617"/>
      <c r="M617"/>
    </row>
    <row r="618" spans="12:13" ht="14.25" x14ac:dyDescent="0.45">
      <c r="L618"/>
      <c r="M618"/>
    </row>
    <row r="619" spans="12:13" ht="14.25" x14ac:dyDescent="0.45">
      <c r="L619"/>
      <c r="M619"/>
    </row>
    <row r="620" spans="12:13" ht="14.25" x14ac:dyDescent="0.45">
      <c r="L620"/>
      <c r="M620"/>
    </row>
    <row r="621" spans="12:13" ht="14.25" x14ac:dyDescent="0.45">
      <c r="L621"/>
      <c r="M621"/>
    </row>
    <row r="622" spans="12:13" ht="14.25" x14ac:dyDescent="0.45">
      <c r="L622"/>
      <c r="M622"/>
    </row>
    <row r="623" spans="12:13" ht="14.25" x14ac:dyDescent="0.45">
      <c r="L623"/>
      <c r="M623"/>
    </row>
    <row r="624" spans="12:13" ht="14.25" x14ac:dyDescent="0.45">
      <c r="L624"/>
      <c r="M624"/>
    </row>
    <row r="625" spans="12:13" ht="14.25" x14ac:dyDescent="0.45">
      <c r="L625"/>
      <c r="M625"/>
    </row>
    <row r="626" spans="12:13" ht="14.25" x14ac:dyDescent="0.45">
      <c r="L626"/>
      <c r="M626"/>
    </row>
    <row r="627" spans="12:13" ht="14.25" x14ac:dyDescent="0.45">
      <c r="L627"/>
      <c r="M627"/>
    </row>
    <row r="628" spans="12:13" ht="14.25" x14ac:dyDescent="0.45">
      <c r="L628"/>
      <c r="M628"/>
    </row>
    <row r="629" spans="12:13" ht="14.25" x14ac:dyDescent="0.45">
      <c r="L629"/>
      <c r="M629"/>
    </row>
    <row r="630" spans="12:13" ht="14.25" x14ac:dyDescent="0.45">
      <c r="L630"/>
      <c r="M630"/>
    </row>
    <row r="631" spans="12:13" ht="14.25" x14ac:dyDescent="0.45">
      <c r="L631"/>
      <c r="M631"/>
    </row>
    <row r="632" spans="12:13" ht="14.25" x14ac:dyDescent="0.45">
      <c r="L632"/>
      <c r="M632"/>
    </row>
    <row r="633" spans="12:13" ht="14.25" x14ac:dyDescent="0.45">
      <c r="L633"/>
      <c r="M633"/>
    </row>
    <row r="634" spans="12:13" ht="14.25" x14ac:dyDescent="0.45">
      <c r="L634"/>
      <c r="M634"/>
    </row>
    <row r="635" spans="12:13" ht="14.25" x14ac:dyDescent="0.45">
      <c r="L635"/>
      <c r="M635"/>
    </row>
    <row r="636" spans="12:13" ht="14.25" x14ac:dyDescent="0.45">
      <c r="L636"/>
      <c r="M636"/>
    </row>
    <row r="637" spans="12:13" ht="14.25" x14ac:dyDescent="0.45">
      <c r="L637"/>
      <c r="M637"/>
    </row>
    <row r="638" spans="12:13" ht="14.25" x14ac:dyDescent="0.45">
      <c r="L638"/>
      <c r="M638"/>
    </row>
    <row r="639" spans="12:13" ht="14.25" x14ac:dyDescent="0.45">
      <c r="L639"/>
      <c r="M639"/>
    </row>
    <row r="640" spans="12:13" ht="14.25" x14ac:dyDescent="0.45">
      <c r="L640"/>
      <c r="M640"/>
    </row>
    <row r="641" spans="12:13" ht="14.25" x14ac:dyDescent="0.45">
      <c r="L641"/>
      <c r="M641"/>
    </row>
    <row r="642" spans="12:13" ht="14.25" x14ac:dyDescent="0.45">
      <c r="L642"/>
      <c r="M642"/>
    </row>
    <row r="643" spans="12:13" ht="14.25" x14ac:dyDescent="0.45">
      <c r="L643"/>
      <c r="M643"/>
    </row>
    <row r="644" spans="12:13" ht="14.25" x14ac:dyDescent="0.45">
      <c r="L644"/>
      <c r="M644"/>
    </row>
    <row r="645" spans="12:13" ht="14.25" x14ac:dyDescent="0.45">
      <c r="L645"/>
      <c r="M645"/>
    </row>
    <row r="646" spans="12:13" ht="14.25" x14ac:dyDescent="0.45">
      <c r="L646"/>
      <c r="M646"/>
    </row>
    <row r="647" spans="12:13" ht="14.25" x14ac:dyDescent="0.45">
      <c r="L647"/>
      <c r="M647"/>
    </row>
    <row r="648" spans="12:13" ht="14.25" x14ac:dyDescent="0.45">
      <c r="L648"/>
      <c r="M648"/>
    </row>
  </sheetData>
  <mergeCells count="1">
    <mergeCell ref="F2:M3"/>
  </mergeCells>
  <phoneticPr fontId="7" type="noConversion"/>
  <conditionalFormatting sqref="G5:G326">
    <cfRule type="cellIs" dxfId="29" priority="10" operator="equal">
      <formula>"SUPER SENIOR"</formula>
    </cfRule>
    <cfRule type="cellIs" dxfId="28" priority="11" operator="equal">
      <formula>"SENIOR"</formula>
    </cfRule>
    <cfRule type="cellIs" dxfId="27" priority="12" operator="equal">
      <formula>"JUNIOR"</formula>
    </cfRule>
    <cfRule type="cellIs" dxfId="26" priority="13" operator="equal">
      <formula>"SUB JUNIOR"</formula>
    </cfRule>
  </conditionalFormatting>
  <conditionalFormatting sqref="F5:F326">
    <cfRule type="cellIs" dxfId="25" priority="1" operator="equal">
      <formula>0</formula>
    </cfRule>
  </conditionalFormatting>
  <conditionalFormatting sqref="J5:J326">
    <cfRule type="top10" dxfId="24" priority="9" bottom="1" rank="3"/>
    <cfRule type="top10" dxfId="23" priority="14" bottom="1" rank="5"/>
  </conditionalFormatting>
  <pageMargins left="0.7" right="0.7" top="0.75" bottom="0.75" header="0.3" footer="0.3"/>
  <pageSetup paperSize="9" scale="85" fitToHeight="0" orientation="portrait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4BF2-E131-4DC0-B552-0B89E0CC6354}">
  <dimension ref="B3:H323"/>
  <sheetViews>
    <sheetView workbookViewId="0">
      <selection activeCell="G20" sqref="G20"/>
    </sheetView>
  </sheetViews>
  <sheetFormatPr defaultRowHeight="14.25" x14ac:dyDescent="0.45"/>
  <cols>
    <col min="4" max="4" width="12.19921875" bestFit="1" customWidth="1"/>
    <col min="8" max="8" width="34.3984375" bestFit="1" customWidth="1"/>
  </cols>
  <sheetData>
    <row r="3" spans="2:8" x14ac:dyDescent="0.45">
      <c r="B3" t="str" cm="1">
        <f t="array" ref="B3:C323">'Gift committee'!L5:M325</f>
        <v>D194</v>
      </c>
      <c r="C3">
        <v>58</v>
      </c>
      <c r="D3" t="str" cm="1">
        <f t="array" ref="D3:H323">'Gift committee'!G5:K325</f>
        <v>SUPER SENIOR</v>
      </c>
      <c r="E3" t="str">
        <v>JARF</v>
      </c>
      <c r="F3">
        <v>10</v>
      </c>
      <c r="G3">
        <v>1</v>
      </c>
      <c r="H3" t="str">
        <v>AYAZ RAHMAN T</v>
      </c>
    </row>
    <row r="4" spans="2:8" x14ac:dyDescent="0.45">
      <c r="B4" t="str">
        <v>D177</v>
      </c>
      <c r="C4">
        <v>51</v>
      </c>
      <c r="D4" t="str">
        <v>SUPER SENIOR</v>
      </c>
      <c r="E4" t="str">
        <v>FANT</v>
      </c>
      <c r="F4">
        <v>10</v>
      </c>
      <c r="G4">
        <v>2</v>
      </c>
      <c r="H4" t="str">
        <v>SHAMEEM ABDULLA P.S</v>
      </c>
    </row>
    <row r="5" spans="2:8" x14ac:dyDescent="0.45">
      <c r="B5" t="str">
        <v>D195</v>
      </c>
      <c r="C5">
        <v>36</v>
      </c>
      <c r="D5" t="str">
        <v>SUPER SENIOR</v>
      </c>
      <c r="E5" t="str">
        <v>BADF</v>
      </c>
      <c r="F5">
        <v>10</v>
      </c>
      <c r="G5">
        <v>3</v>
      </c>
      <c r="H5" t="str">
        <v>AHMED SWALAHUDHEEN PI</v>
      </c>
    </row>
    <row r="6" spans="2:8" x14ac:dyDescent="0.45">
      <c r="B6" t="str">
        <v>D178</v>
      </c>
      <c r="C6">
        <v>31</v>
      </c>
      <c r="D6" t="str">
        <v>SUPER SENIOR</v>
      </c>
      <c r="E6" t="str">
        <v>BADF</v>
      </c>
      <c r="F6">
        <v>10</v>
      </c>
      <c r="G6">
        <v>4</v>
      </c>
      <c r="H6" t="str">
        <v>AHMED BK</v>
      </c>
    </row>
    <row r="7" spans="2:8" x14ac:dyDescent="0.45">
      <c r="B7" t="str">
        <v>D175</v>
      </c>
      <c r="C7">
        <v>18</v>
      </c>
      <c r="D7" t="str">
        <v>SUPER SENIOR</v>
      </c>
      <c r="E7" t="str">
        <v>FANT</v>
      </c>
      <c r="F7">
        <v>10</v>
      </c>
      <c r="G7">
        <v>5</v>
      </c>
      <c r="H7" t="str">
        <v>AKBAR P</v>
      </c>
    </row>
    <row r="8" spans="2:8" x14ac:dyDescent="0.45">
      <c r="B8" t="str">
        <v>D196</v>
      </c>
      <c r="C8">
        <v>18</v>
      </c>
      <c r="D8" t="str">
        <v>SUPER SENIOR</v>
      </c>
      <c r="E8" t="str">
        <v>DAHF</v>
      </c>
      <c r="F8">
        <v>10</v>
      </c>
      <c r="G8">
        <v>5</v>
      </c>
      <c r="H8" t="str">
        <v>ABDUL VAJID K</v>
      </c>
    </row>
    <row r="9" spans="2:8" x14ac:dyDescent="0.45">
      <c r="B9" t="str">
        <v>D170</v>
      </c>
      <c r="C9">
        <v>18</v>
      </c>
      <c r="D9" t="str">
        <v>SUPER SENIOR</v>
      </c>
      <c r="E9" t="str">
        <v>JARF</v>
      </c>
      <c r="F9">
        <v>10</v>
      </c>
      <c r="G9">
        <v>5</v>
      </c>
      <c r="H9" t="str">
        <v>AHMED ADIL B.K</v>
      </c>
    </row>
    <row r="10" spans="2:8" x14ac:dyDescent="0.45">
      <c r="B10" t="str">
        <v>D183</v>
      </c>
      <c r="C10">
        <v>16</v>
      </c>
      <c r="D10" t="str">
        <v>SUPER SENIOR</v>
      </c>
      <c r="E10" t="str">
        <v>DAHF</v>
      </c>
      <c r="F10">
        <v>10</v>
      </c>
      <c r="G10">
        <v>8</v>
      </c>
      <c r="H10" t="str">
        <v>MOHAMMAD SWALIH K</v>
      </c>
    </row>
    <row r="11" spans="2:8" x14ac:dyDescent="0.45">
      <c r="B11" t="str">
        <v>D186</v>
      </c>
      <c r="C11">
        <v>8</v>
      </c>
      <c r="D11" t="str">
        <v>SUPER SENIOR</v>
      </c>
      <c r="E11" t="str">
        <v>FANT</v>
      </c>
      <c r="F11">
        <v>10</v>
      </c>
      <c r="G11">
        <v>9</v>
      </c>
      <c r="H11" t="str">
        <v>SALAHUDDEEN AYYOOBI KM</v>
      </c>
    </row>
    <row r="12" spans="2:8" x14ac:dyDescent="0.45">
      <c r="B12" t="str">
        <v>D198</v>
      </c>
      <c r="C12">
        <v>7</v>
      </c>
      <c r="D12" t="str">
        <v>SUPER SENIOR</v>
      </c>
      <c r="E12" t="str">
        <v>FANT</v>
      </c>
      <c r="F12">
        <v>10</v>
      </c>
      <c r="G12">
        <v>10</v>
      </c>
      <c r="H12" t="str">
        <v>MUHAMMED SAFWAN</v>
      </c>
    </row>
    <row r="13" spans="2:8" x14ac:dyDescent="0.45">
      <c r="B13" t="str">
        <v>D191</v>
      </c>
      <c r="C13">
        <v>6</v>
      </c>
      <c r="D13" t="str">
        <v>SUPER SENIOR</v>
      </c>
      <c r="E13" t="str">
        <v>JARF</v>
      </c>
      <c r="F13">
        <v>10</v>
      </c>
      <c r="G13">
        <v>11</v>
      </c>
      <c r="H13" t="str">
        <v>THAMJEED TM</v>
      </c>
    </row>
    <row r="14" spans="2:8" x14ac:dyDescent="0.45">
      <c r="B14" t="str">
        <v>D173</v>
      </c>
      <c r="C14">
        <v>5</v>
      </c>
      <c r="D14" t="str">
        <v>SUPER SENIOR</v>
      </c>
      <c r="E14" t="str">
        <v>BADF</v>
      </c>
      <c r="F14">
        <v>10</v>
      </c>
      <c r="G14">
        <v>12</v>
      </c>
      <c r="H14" t="str">
        <v>ABOOBACKER SIDDIK</v>
      </c>
    </row>
    <row r="15" spans="2:8" x14ac:dyDescent="0.45">
      <c r="B15" t="str">
        <v>D189</v>
      </c>
      <c r="C15">
        <v>4</v>
      </c>
      <c r="D15" t="str">
        <v>SUPER SENIOR</v>
      </c>
      <c r="E15" t="str">
        <v>BADF</v>
      </c>
      <c r="F15">
        <v>10</v>
      </c>
      <c r="G15">
        <v>13</v>
      </c>
      <c r="H15" t="str">
        <v>ASGAR ALI</v>
      </c>
    </row>
    <row r="16" spans="2:8" x14ac:dyDescent="0.45">
      <c r="B16" t="str">
        <v>D192</v>
      </c>
      <c r="C16">
        <v>3</v>
      </c>
      <c r="D16" t="str">
        <v>SUPER SENIOR</v>
      </c>
      <c r="E16" t="str">
        <v>DAHF</v>
      </c>
      <c r="F16">
        <v>10</v>
      </c>
      <c r="G16">
        <v>14</v>
      </c>
      <c r="H16" t="str">
        <v>MUHAMMED SIFARATH T A</v>
      </c>
    </row>
    <row r="17" spans="2:8" x14ac:dyDescent="0.45">
      <c r="B17" t="str">
        <v>D171</v>
      </c>
      <c r="C17">
        <v>2</v>
      </c>
      <c r="D17" t="str">
        <v>SUPER SENIOR</v>
      </c>
      <c r="E17" t="str">
        <v>FANT</v>
      </c>
      <c r="F17">
        <v>10</v>
      </c>
      <c r="G17">
        <v>15</v>
      </c>
      <c r="H17" t="str">
        <v>MOHAMMED ANFAHUDEEN T.A</v>
      </c>
    </row>
    <row r="18" spans="2:8" x14ac:dyDescent="0.45">
      <c r="B18" t="str">
        <v>D172</v>
      </c>
      <c r="C18">
        <v>2</v>
      </c>
      <c r="D18" t="str">
        <v>SUPER SENIOR</v>
      </c>
      <c r="E18" t="str">
        <v>DAHF</v>
      </c>
      <c r="F18">
        <v>10</v>
      </c>
      <c r="G18">
        <v>15</v>
      </c>
      <c r="H18" t="str">
        <v>MUHAMMED MUFEED</v>
      </c>
    </row>
    <row r="19" spans="2:8" x14ac:dyDescent="0.45">
      <c r="B19" t="str">
        <v>D181</v>
      </c>
      <c r="C19">
        <v>1</v>
      </c>
      <c r="D19" t="str">
        <v>SUPER SENIOR</v>
      </c>
      <c r="E19" t="str">
        <v>DAHF</v>
      </c>
      <c r="F19">
        <v>10</v>
      </c>
      <c r="G19">
        <v>17</v>
      </c>
      <c r="H19" t="str">
        <v>MUHAMMED SAJJAD</v>
      </c>
    </row>
    <row r="20" spans="2:8" x14ac:dyDescent="0.45">
      <c r="B20" t="str">
        <v>D182</v>
      </c>
      <c r="C20">
        <v>0</v>
      </c>
      <c r="D20" t="str">
        <v>SUPER SENIOR</v>
      </c>
      <c r="E20" t="str">
        <v>JARF</v>
      </c>
      <c r="F20">
        <v>10</v>
      </c>
      <c r="G20">
        <v>18</v>
      </c>
      <c r="H20" t="str">
        <v>AHAMED ASIF M</v>
      </c>
    </row>
    <row r="21" spans="2:8" x14ac:dyDescent="0.45">
      <c r="B21" t="str">
        <v>D180</v>
      </c>
      <c r="C21">
        <v>0</v>
      </c>
      <c r="D21" t="str">
        <v>SUPER SENIOR</v>
      </c>
      <c r="E21" t="str">
        <v>FANT</v>
      </c>
      <c r="F21">
        <v>10</v>
      </c>
      <c r="G21">
        <v>18</v>
      </c>
      <c r="H21" t="str">
        <v>ATHIF ABDULKHADER</v>
      </c>
    </row>
    <row r="22" spans="2:8" x14ac:dyDescent="0.45">
      <c r="B22" t="str">
        <v>D188</v>
      </c>
      <c r="C22">
        <v>0</v>
      </c>
      <c r="D22" t="str">
        <v>SUPER SENIOR</v>
      </c>
      <c r="E22" t="str">
        <v>FANT</v>
      </c>
      <c r="F22">
        <v>10</v>
      </c>
      <c r="G22">
        <v>18</v>
      </c>
      <c r="H22" t="str">
        <v>AHMED MANHAL HUSSAIN</v>
      </c>
    </row>
    <row r="23" spans="2:8" x14ac:dyDescent="0.45">
      <c r="B23" t="str">
        <v>D193</v>
      </c>
      <c r="C23">
        <v>0</v>
      </c>
      <c r="D23" t="str">
        <v>SUPER SENIOR</v>
      </c>
      <c r="E23" t="str">
        <v>JARF</v>
      </c>
      <c r="F23">
        <v>10</v>
      </c>
      <c r="G23">
        <v>18</v>
      </c>
      <c r="H23" t="str">
        <v>MUHAMMED ABDUL GHANI M.A</v>
      </c>
    </row>
    <row r="24" spans="2:8" x14ac:dyDescent="0.45">
      <c r="B24" t="str">
        <v>D184</v>
      </c>
      <c r="C24">
        <v>0</v>
      </c>
      <c r="D24" t="str">
        <v>SUPER SENIOR</v>
      </c>
      <c r="E24" t="str">
        <v>FANT</v>
      </c>
      <c r="F24">
        <v>10</v>
      </c>
      <c r="G24">
        <v>18</v>
      </c>
      <c r="H24" t="str">
        <v>YASEEN</v>
      </c>
    </row>
    <row r="25" spans="2:8" x14ac:dyDescent="0.45">
      <c r="B25" t="str">
        <v>D190</v>
      </c>
      <c r="C25">
        <v>0</v>
      </c>
      <c r="D25" t="str">
        <v>SUPER SENIOR</v>
      </c>
      <c r="E25" t="str">
        <v>BADF</v>
      </c>
      <c r="F25">
        <v>10</v>
      </c>
      <c r="G25">
        <v>18</v>
      </c>
      <c r="H25" t="str">
        <v>MOHAMMED AMEEN B.A</v>
      </c>
    </row>
    <row r="26" spans="2:8" x14ac:dyDescent="0.45">
      <c r="B26" t="str">
        <v>D179</v>
      </c>
      <c r="C26">
        <v>0</v>
      </c>
      <c r="D26" t="str">
        <v>SUPER SENIOR</v>
      </c>
      <c r="E26" t="str">
        <v>DAHF</v>
      </c>
      <c r="F26">
        <v>10</v>
      </c>
      <c r="G26">
        <v>18</v>
      </c>
      <c r="H26" t="str">
        <v>MUHAMMED AKBAR NP</v>
      </c>
    </row>
    <row r="27" spans="2:8" x14ac:dyDescent="0.45">
      <c r="B27" t="str">
        <v>D167</v>
      </c>
      <c r="C27">
        <v>0</v>
      </c>
      <c r="D27" t="str">
        <v>SUPER SENIOR</v>
      </c>
      <c r="E27" t="str">
        <v>JARF</v>
      </c>
      <c r="F27">
        <v>10</v>
      </c>
      <c r="G27">
        <v>18</v>
      </c>
      <c r="H27" t="str">
        <v>AHMAD BINYAMUL ASHIQUE</v>
      </c>
    </row>
    <row r="28" spans="2:8" x14ac:dyDescent="0.45">
      <c r="B28" t="str">
        <v>D176</v>
      </c>
      <c r="C28">
        <v>0</v>
      </c>
      <c r="D28" t="str">
        <v>SUPER SENIOR</v>
      </c>
      <c r="E28" t="str">
        <v>JARF</v>
      </c>
      <c r="F28">
        <v>10</v>
      </c>
      <c r="G28">
        <v>18</v>
      </c>
      <c r="H28" t="str">
        <v>MOHAMMED NASFAR AFNAN H</v>
      </c>
    </row>
    <row r="29" spans="2:8" x14ac:dyDescent="0.45">
      <c r="B29" t="str">
        <v>D174</v>
      </c>
      <c r="C29">
        <v>0</v>
      </c>
      <c r="D29" t="str">
        <v>SUPER SENIOR</v>
      </c>
      <c r="E29" t="str">
        <v>BADF</v>
      </c>
      <c r="F29">
        <v>10</v>
      </c>
      <c r="G29">
        <v>18</v>
      </c>
      <c r="H29" t="str">
        <v>BADRUDHIN A</v>
      </c>
    </row>
    <row r="30" spans="2:8" x14ac:dyDescent="0.45">
      <c r="B30" t="str">
        <v>D185</v>
      </c>
      <c r="C30">
        <v>0</v>
      </c>
      <c r="D30" t="str">
        <v>SUPER SENIOR</v>
      </c>
      <c r="E30">
        <v>0</v>
      </c>
      <c r="F30">
        <v>10</v>
      </c>
      <c r="G30">
        <v>18</v>
      </c>
      <c r="H30" t="str">
        <v>MAHAMMED ASHIK</v>
      </c>
    </row>
    <row r="31" spans="2:8" x14ac:dyDescent="0.45">
      <c r="B31" t="str">
        <v>D168</v>
      </c>
      <c r="C31">
        <v>0</v>
      </c>
      <c r="D31" t="str">
        <v>SUPER SENIOR</v>
      </c>
      <c r="E31" t="str">
        <v>FANT</v>
      </c>
      <c r="F31">
        <v>10</v>
      </c>
      <c r="G31">
        <v>18</v>
      </c>
      <c r="H31" t="str">
        <v>MOHAMMED NAFIH KA</v>
      </c>
    </row>
    <row r="32" spans="2:8" x14ac:dyDescent="0.45">
      <c r="B32" t="str">
        <v>D197</v>
      </c>
      <c r="C32">
        <v>0</v>
      </c>
      <c r="D32" t="str">
        <v>SUPER SENIOR</v>
      </c>
      <c r="E32" t="str">
        <v>DAHF</v>
      </c>
      <c r="F32">
        <v>10</v>
      </c>
      <c r="G32">
        <v>18</v>
      </c>
      <c r="H32" t="str">
        <v>MUHAMMED ASHFAK K</v>
      </c>
    </row>
    <row r="33" spans="2:8" x14ac:dyDescent="0.45">
      <c r="B33" t="str">
        <v>D199</v>
      </c>
      <c r="C33">
        <v>0</v>
      </c>
      <c r="D33" t="str">
        <v>SUPER SENIOR</v>
      </c>
      <c r="E33" t="str">
        <v>BADF</v>
      </c>
      <c r="F33">
        <v>10</v>
      </c>
      <c r="G33">
        <v>18</v>
      </c>
      <c r="H33" t="str">
        <v>Simsarul Haq VPM</v>
      </c>
    </row>
    <row r="34" spans="2:8" x14ac:dyDescent="0.45">
      <c r="B34" t="str">
        <v>D169</v>
      </c>
      <c r="C34">
        <v>0</v>
      </c>
      <c r="D34" t="str">
        <v>SUPER SENIOR</v>
      </c>
      <c r="E34" t="str">
        <v>BADF</v>
      </c>
      <c r="F34">
        <v>10</v>
      </c>
      <c r="G34">
        <v>18</v>
      </c>
      <c r="H34" t="str">
        <v>MUHAMMED AYIZ</v>
      </c>
    </row>
    <row r="35" spans="2:8" x14ac:dyDescent="0.45">
      <c r="B35" t="str">
        <v>D187</v>
      </c>
      <c r="C35">
        <v>0</v>
      </c>
      <c r="D35" t="str">
        <v>SUPER SENIOR</v>
      </c>
      <c r="E35" t="str">
        <v>DAHF</v>
      </c>
      <c r="F35">
        <v>10</v>
      </c>
      <c r="G35">
        <v>18</v>
      </c>
      <c r="H35" t="str">
        <v>ABDUL RAHMAN</v>
      </c>
    </row>
    <row r="36" spans="2:8" x14ac:dyDescent="0.45">
      <c r="B36">
        <v>0</v>
      </c>
      <c r="C36">
        <v>0</v>
      </c>
      <c r="D36">
        <v>0</v>
      </c>
      <c r="E36">
        <v>0</v>
      </c>
      <c r="F36">
        <v>0</v>
      </c>
      <c r="G36" t="str">
        <v/>
      </c>
      <c r="H36">
        <v>0</v>
      </c>
    </row>
    <row r="37" spans="2:8" x14ac:dyDescent="0.45">
      <c r="B37">
        <v>0</v>
      </c>
      <c r="C37">
        <v>0</v>
      </c>
      <c r="D37">
        <v>0</v>
      </c>
      <c r="E37">
        <v>0</v>
      </c>
      <c r="F37">
        <v>0</v>
      </c>
      <c r="G37" t="str">
        <v/>
      </c>
      <c r="H37">
        <v>0</v>
      </c>
    </row>
    <row r="38" spans="2:8" x14ac:dyDescent="0.45">
      <c r="B38">
        <v>0</v>
      </c>
      <c r="C38">
        <v>0</v>
      </c>
      <c r="D38">
        <v>0</v>
      </c>
      <c r="E38">
        <v>0</v>
      </c>
      <c r="F38">
        <v>0</v>
      </c>
      <c r="G38" t="str">
        <v/>
      </c>
      <c r="H38">
        <v>0</v>
      </c>
    </row>
    <row r="39" spans="2:8" x14ac:dyDescent="0.45">
      <c r="B39">
        <v>0</v>
      </c>
      <c r="C39">
        <v>0</v>
      </c>
      <c r="D39">
        <v>0</v>
      </c>
      <c r="E39">
        <v>0</v>
      </c>
      <c r="F39">
        <v>0</v>
      </c>
      <c r="G39" t="str">
        <v/>
      </c>
      <c r="H39">
        <v>0</v>
      </c>
    </row>
    <row r="40" spans="2:8" x14ac:dyDescent="0.45">
      <c r="B40">
        <v>0</v>
      </c>
      <c r="C40">
        <v>0</v>
      </c>
      <c r="D40">
        <v>0</v>
      </c>
      <c r="E40">
        <v>0</v>
      </c>
      <c r="F40">
        <v>0</v>
      </c>
      <c r="G40" t="str">
        <v/>
      </c>
      <c r="H40">
        <v>0</v>
      </c>
    </row>
    <row r="41" spans="2:8" x14ac:dyDescent="0.45">
      <c r="B41">
        <v>0</v>
      </c>
      <c r="C41">
        <v>0</v>
      </c>
      <c r="D41">
        <v>0</v>
      </c>
      <c r="E41">
        <v>0</v>
      </c>
      <c r="F41">
        <v>0</v>
      </c>
      <c r="G41" t="str">
        <v/>
      </c>
      <c r="H41">
        <v>0</v>
      </c>
    </row>
    <row r="42" spans="2:8" x14ac:dyDescent="0.45">
      <c r="B42">
        <v>0</v>
      </c>
      <c r="C42">
        <v>0</v>
      </c>
      <c r="D42">
        <v>0</v>
      </c>
      <c r="E42">
        <v>0</v>
      </c>
      <c r="F42">
        <v>0</v>
      </c>
      <c r="G42" t="str">
        <v/>
      </c>
      <c r="H42">
        <v>0</v>
      </c>
    </row>
    <row r="43" spans="2:8" x14ac:dyDescent="0.45">
      <c r="B43">
        <v>0</v>
      </c>
      <c r="C43">
        <v>0</v>
      </c>
      <c r="D43">
        <v>0</v>
      </c>
      <c r="E43">
        <v>0</v>
      </c>
      <c r="F43">
        <v>0</v>
      </c>
      <c r="G43" t="str">
        <v/>
      </c>
      <c r="H43">
        <v>0</v>
      </c>
    </row>
    <row r="44" spans="2:8" x14ac:dyDescent="0.45">
      <c r="B44">
        <v>0</v>
      </c>
      <c r="C44">
        <v>0</v>
      </c>
      <c r="D44">
        <v>0</v>
      </c>
      <c r="E44">
        <v>0</v>
      </c>
      <c r="F44">
        <v>0</v>
      </c>
      <c r="G44" t="str">
        <v/>
      </c>
      <c r="H44">
        <v>0</v>
      </c>
    </row>
    <row r="45" spans="2:8" x14ac:dyDescent="0.45">
      <c r="B45">
        <v>0</v>
      </c>
      <c r="C45">
        <v>0</v>
      </c>
      <c r="D45">
        <v>0</v>
      </c>
      <c r="E45">
        <v>0</v>
      </c>
      <c r="F45">
        <v>0</v>
      </c>
      <c r="G45" t="str">
        <v/>
      </c>
      <c r="H45">
        <v>0</v>
      </c>
    </row>
    <row r="46" spans="2:8" x14ac:dyDescent="0.45">
      <c r="B46">
        <v>0</v>
      </c>
      <c r="C46">
        <v>0</v>
      </c>
      <c r="D46">
        <v>0</v>
      </c>
      <c r="E46">
        <v>0</v>
      </c>
      <c r="F46">
        <v>0</v>
      </c>
      <c r="G46" t="str">
        <v/>
      </c>
      <c r="H46">
        <v>0</v>
      </c>
    </row>
    <row r="47" spans="2:8" x14ac:dyDescent="0.45">
      <c r="B47">
        <v>0</v>
      </c>
      <c r="C47">
        <v>0</v>
      </c>
      <c r="D47">
        <v>0</v>
      </c>
      <c r="E47">
        <v>0</v>
      </c>
      <c r="F47">
        <v>0</v>
      </c>
      <c r="G47" t="str">
        <v/>
      </c>
      <c r="H47">
        <v>0</v>
      </c>
    </row>
    <row r="48" spans="2:8" x14ac:dyDescent="0.45">
      <c r="B48">
        <v>0</v>
      </c>
      <c r="C48">
        <v>0</v>
      </c>
      <c r="D48">
        <v>0</v>
      </c>
      <c r="E48">
        <v>0</v>
      </c>
      <c r="F48">
        <v>0</v>
      </c>
      <c r="G48" t="str">
        <v/>
      </c>
      <c r="H48">
        <v>0</v>
      </c>
    </row>
    <row r="49" spans="2:8" x14ac:dyDescent="0.45">
      <c r="B49">
        <v>0</v>
      </c>
      <c r="C49">
        <v>0</v>
      </c>
      <c r="D49">
        <v>0</v>
      </c>
      <c r="E49">
        <v>0</v>
      </c>
      <c r="F49">
        <v>0</v>
      </c>
      <c r="G49" t="str">
        <v/>
      </c>
      <c r="H49">
        <v>0</v>
      </c>
    </row>
    <row r="50" spans="2:8" x14ac:dyDescent="0.45">
      <c r="B50">
        <v>0</v>
      </c>
      <c r="C50">
        <v>0</v>
      </c>
      <c r="D50">
        <v>0</v>
      </c>
      <c r="E50">
        <v>0</v>
      </c>
      <c r="F50">
        <v>0</v>
      </c>
      <c r="G50" t="str">
        <v/>
      </c>
      <c r="H50">
        <v>0</v>
      </c>
    </row>
    <row r="51" spans="2:8" x14ac:dyDescent="0.45">
      <c r="B51">
        <v>0</v>
      </c>
      <c r="C51">
        <v>0</v>
      </c>
      <c r="D51">
        <v>0</v>
      </c>
      <c r="E51">
        <v>0</v>
      </c>
      <c r="F51">
        <v>0</v>
      </c>
      <c r="G51" t="str">
        <v/>
      </c>
      <c r="H51">
        <v>0</v>
      </c>
    </row>
    <row r="52" spans="2:8" x14ac:dyDescent="0.45">
      <c r="B52">
        <v>0</v>
      </c>
      <c r="C52">
        <v>0</v>
      </c>
      <c r="D52">
        <v>0</v>
      </c>
      <c r="E52">
        <v>0</v>
      </c>
      <c r="F52">
        <v>0</v>
      </c>
      <c r="G52" t="str">
        <v/>
      </c>
      <c r="H52">
        <v>0</v>
      </c>
    </row>
    <row r="53" spans="2:8" x14ac:dyDescent="0.45">
      <c r="B53">
        <v>0</v>
      </c>
      <c r="C53">
        <v>0</v>
      </c>
      <c r="D53">
        <v>0</v>
      </c>
      <c r="E53">
        <v>0</v>
      </c>
      <c r="F53">
        <v>0</v>
      </c>
      <c r="G53" t="str">
        <v/>
      </c>
      <c r="H53">
        <v>0</v>
      </c>
    </row>
    <row r="54" spans="2:8" x14ac:dyDescent="0.45">
      <c r="B54">
        <v>0</v>
      </c>
      <c r="C54">
        <v>0</v>
      </c>
      <c r="D54">
        <v>0</v>
      </c>
      <c r="E54">
        <v>0</v>
      </c>
      <c r="F54">
        <v>0</v>
      </c>
      <c r="G54" t="str">
        <v/>
      </c>
      <c r="H54">
        <v>0</v>
      </c>
    </row>
    <row r="55" spans="2:8" x14ac:dyDescent="0.45">
      <c r="B55">
        <v>0</v>
      </c>
      <c r="C55">
        <v>0</v>
      </c>
      <c r="D55">
        <v>0</v>
      </c>
      <c r="E55">
        <v>0</v>
      </c>
      <c r="F55">
        <v>0</v>
      </c>
      <c r="G55" t="str">
        <v/>
      </c>
      <c r="H55">
        <v>0</v>
      </c>
    </row>
    <row r="56" spans="2:8" x14ac:dyDescent="0.45">
      <c r="B56">
        <v>0</v>
      </c>
      <c r="C56">
        <v>0</v>
      </c>
      <c r="D56">
        <v>0</v>
      </c>
      <c r="E56">
        <v>0</v>
      </c>
      <c r="F56">
        <v>0</v>
      </c>
      <c r="G56" t="str">
        <v/>
      </c>
      <c r="H56">
        <v>0</v>
      </c>
    </row>
    <row r="57" spans="2:8" x14ac:dyDescent="0.45">
      <c r="B57">
        <v>0</v>
      </c>
      <c r="C57">
        <v>0</v>
      </c>
      <c r="D57">
        <v>0</v>
      </c>
      <c r="E57">
        <v>0</v>
      </c>
      <c r="F57">
        <v>0</v>
      </c>
      <c r="G57" t="str">
        <v/>
      </c>
      <c r="H57">
        <v>0</v>
      </c>
    </row>
    <row r="58" spans="2:8" x14ac:dyDescent="0.45">
      <c r="B58">
        <v>0</v>
      </c>
      <c r="C58">
        <v>0</v>
      </c>
      <c r="D58">
        <v>0</v>
      </c>
      <c r="E58">
        <v>0</v>
      </c>
      <c r="F58">
        <v>0</v>
      </c>
      <c r="G58" t="str">
        <v/>
      </c>
      <c r="H58">
        <v>0</v>
      </c>
    </row>
    <row r="59" spans="2:8" x14ac:dyDescent="0.45">
      <c r="B59">
        <v>0</v>
      </c>
      <c r="C59">
        <v>0</v>
      </c>
      <c r="D59">
        <v>0</v>
      </c>
      <c r="E59">
        <v>0</v>
      </c>
      <c r="F59">
        <v>0</v>
      </c>
      <c r="G59" t="str">
        <v/>
      </c>
      <c r="H59">
        <v>0</v>
      </c>
    </row>
    <row r="60" spans="2:8" x14ac:dyDescent="0.45">
      <c r="B60">
        <v>0</v>
      </c>
      <c r="C60">
        <v>0</v>
      </c>
      <c r="D60">
        <v>0</v>
      </c>
      <c r="E60">
        <v>0</v>
      </c>
      <c r="F60">
        <v>0</v>
      </c>
      <c r="G60" t="str">
        <v/>
      </c>
      <c r="H60">
        <v>0</v>
      </c>
    </row>
    <row r="61" spans="2:8" x14ac:dyDescent="0.45">
      <c r="B61">
        <v>0</v>
      </c>
      <c r="C61">
        <v>0</v>
      </c>
      <c r="D61">
        <v>0</v>
      </c>
      <c r="E61">
        <v>0</v>
      </c>
      <c r="F61">
        <v>0</v>
      </c>
      <c r="G61" t="str">
        <v/>
      </c>
      <c r="H61">
        <v>0</v>
      </c>
    </row>
    <row r="62" spans="2:8" x14ac:dyDescent="0.45">
      <c r="B62">
        <v>0</v>
      </c>
      <c r="C62">
        <v>0</v>
      </c>
      <c r="D62">
        <v>0</v>
      </c>
      <c r="E62">
        <v>0</v>
      </c>
      <c r="F62">
        <v>0</v>
      </c>
      <c r="G62" t="str">
        <v/>
      </c>
      <c r="H62">
        <v>0</v>
      </c>
    </row>
    <row r="63" spans="2:8" x14ac:dyDescent="0.45">
      <c r="B63">
        <v>0</v>
      </c>
      <c r="C63">
        <v>0</v>
      </c>
      <c r="D63">
        <v>0</v>
      </c>
      <c r="E63">
        <v>0</v>
      </c>
      <c r="F63">
        <v>0</v>
      </c>
      <c r="G63" t="str">
        <v/>
      </c>
      <c r="H63">
        <v>0</v>
      </c>
    </row>
    <row r="64" spans="2:8" x14ac:dyDescent="0.45">
      <c r="B64">
        <v>0</v>
      </c>
      <c r="C64">
        <v>0</v>
      </c>
      <c r="D64">
        <v>0</v>
      </c>
      <c r="E64">
        <v>0</v>
      </c>
      <c r="F64">
        <v>0</v>
      </c>
      <c r="G64" t="str">
        <v/>
      </c>
      <c r="H64">
        <v>0</v>
      </c>
    </row>
    <row r="65" spans="2:8" x14ac:dyDescent="0.45">
      <c r="B65">
        <v>0</v>
      </c>
      <c r="C65">
        <v>0</v>
      </c>
      <c r="D65">
        <v>0</v>
      </c>
      <c r="E65">
        <v>0</v>
      </c>
      <c r="F65">
        <v>0</v>
      </c>
      <c r="G65" t="str">
        <v/>
      </c>
      <c r="H65">
        <v>0</v>
      </c>
    </row>
    <row r="66" spans="2:8" x14ac:dyDescent="0.45">
      <c r="B66">
        <v>0</v>
      </c>
      <c r="C66">
        <v>0</v>
      </c>
      <c r="D66">
        <v>0</v>
      </c>
      <c r="E66">
        <v>0</v>
      </c>
      <c r="F66">
        <v>0</v>
      </c>
      <c r="G66" t="str">
        <v/>
      </c>
      <c r="H66">
        <v>0</v>
      </c>
    </row>
    <row r="67" spans="2:8" x14ac:dyDescent="0.45">
      <c r="B67">
        <v>0</v>
      </c>
      <c r="C67">
        <v>0</v>
      </c>
      <c r="D67">
        <v>0</v>
      </c>
      <c r="E67">
        <v>0</v>
      </c>
      <c r="F67">
        <v>0</v>
      </c>
      <c r="G67" t="str">
        <v/>
      </c>
      <c r="H67">
        <v>0</v>
      </c>
    </row>
    <row r="68" spans="2:8" x14ac:dyDescent="0.45">
      <c r="B68">
        <v>0</v>
      </c>
      <c r="C68">
        <v>0</v>
      </c>
      <c r="D68">
        <v>0</v>
      </c>
      <c r="E68">
        <v>0</v>
      </c>
      <c r="F68">
        <v>0</v>
      </c>
      <c r="G68" t="str">
        <v/>
      </c>
      <c r="H68">
        <v>0</v>
      </c>
    </row>
    <row r="69" spans="2:8" x14ac:dyDescent="0.45">
      <c r="B69">
        <v>0</v>
      </c>
      <c r="C69">
        <v>0</v>
      </c>
      <c r="D69">
        <v>0</v>
      </c>
      <c r="E69">
        <v>0</v>
      </c>
      <c r="F69">
        <v>0</v>
      </c>
      <c r="G69" t="str">
        <v/>
      </c>
      <c r="H69">
        <v>0</v>
      </c>
    </row>
    <row r="70" spans="2:8" x14ac:dyDescent="0.45">
      <c r="B70">
        <v>0</v>
      </c>
      <c r="C70">
        <v>0</v>
      </c>
      <c r="D70">
        <v>0</v>
      </c>
      <c r="E70">
        <v>0</v>
      </c>
      <c r="F70">
        <v>0</v>
      </c>
      <c r="G70" t="str">
        <v/>
      </c>
      <c r="H70">
        <v>0</v>
      </c>
    </row>
    <row r="71" spans="2:8" x14ac:dyDescent="0.45">
      <c r="B71">
        <v>0</v>
      </c>
      <c r="C71">
        <v>0</v>
      </c>
      <c r="D71">
        <v>0</v>
      </c>
      <c r="E71">
        <v>0</v>
      </c>
      <c r="F71">
        <v>0</v>
      </c>
      <c r="G71" t="str">
        <v/>
      </c>
      <c r="H71">
        <v>0</v>
      </c>
    </row>
    <row r="72" spans="2:8" x14ac:dyDescent="0.45">
      <c r="B72">
        <v>0</v>
      </c>
      <c r="C72">
        <v>0</v>
      </c>
      <c r="D72">
        <v>0</v>
      </c>
      <c r="E72">
        <v>0</v>
      </c>
      <c r="F72">
        <v>0</v>
      </c>
      <c r="G72" t="str">
        <v/>
      </c>
      <c r="H72">
        <v>0</v>
      </c>
    </row>
    <row r="73" spans="2:8" x14ac:dyDescent="0.45">
      <c r="B73">
        <v>0</v>
      </c>
      <c r="C73">
        <v>0</v>
      </c>
      <c r="D73">
        <v>0</v>
      </c>
      <c r="E73">
        <v>0</v>
      </c>
      <c r="F73">
        <v>0</v>
      </c>
      <c r="G73" t="str">
        <v/>
      </c>
      <c r="H73">
        <v>0</v>
      </c>
    </row>
    <row r="74" spans="2:8" x14ac:dyDescent="0.45">
      <c r="B74">
        <v>0</v>
      </c>
      <c r="C74">
        <v>0</v>
      </c>
      <c r="D74">
        <v>0</v>
      </c>
      <c r="E74">
        <v>0</v>
      </c>
      <c r="F74">
        <v>0</v>
      </c>
      <c r="G74" t="str">
        <v/>
      </c>
      <c r="H74">
        <v>0</v>
      </c>
    </row>
    <row r="75" spans="2:8" x14ac:dyDescent="0.45">
      <c r="B75">
        <v>0</v>
      </c>
      <c r="C75">
        <v>0</v>
      </c>
      <c r="D75">
        <v>0</v>
      </c>
      <c r="E75">
        <v>0</v>
      </c>
      <c r="F75">
        <v>0</v>
      </c>
      <c r="G75" t="str">
        <v/>
      </c>
      <c r="H75">
        <v>0</v>
      </c>
    </row>
    <row r="76" spans="2:8" x14ac:dyDescent="0.45">
      <c r="B76">
        <v>0</v>
      </c>
      <c r="C76">
        <v>0</v>
      </c>
      <c r="D76">
        <v>0</v>
      </c>
      <c r="E76">
        <v>0</v>
      </c>
      <c r="F76">
        <v>0</v>
      </c>
      <c r="G76" t="str">
        <v/>
      </c>
      <c r="H76">
        <v>0</v>
      </c>
    </row>
    <row r="77" spans="2:8" x14ac:dyDescent="0.45">
      <c r="B77">
        <v>0</v>
      </c>
      <c r="C77">
        <v>0</v>
      </c>
      <c r="D77">
        <v>0</v>
      </c>
      <c r="E77">
        <v>0</v>
      </c>
      <c r="F77">
        <v>0</v>
      </c>
      <c r="G77" t="str">
        <v/>
      </c>
      <c r="H77">
        <v>0</v>
      </c>
    </row>
    <row r="78" spans="2:8" x14ac:dyDescent="0.45">
      <c r="B78">
        <v>0</v>
      </c>
      <c r="C78">
        <v>0</v>
      </c>
      <c r="D78">
        <v>0</v>
      </c>
      <c r="E78">
        <v>0</v>
      </c>
      <c r="F78">
        <v>0</v>
      </c>
      <c r="G78" t="str">
        <v/>
      </c>
      <c r="H78">
        <v>0</v>
      </c>
    </row>
    <row r="79" spans="2:8" x14ac:dyDescent="0.45">
      <c r="B79">
        <v>0</v>
      </c>
      <c r="C79">
        <v>0</v>
      </c>
      <c r="D79">
        <v>0</v>
      </c>
      <c r="E79">
        <v>0</v>
      </c>
      <c r="F79">
        <v>0</v>
      </c>
      <c r="G79" t="str">
        <v/>
      </c>
      <c r="H79">
        <v>0</v>
      </c>
    </row>
    <row r="80" spans="2:8" x14ac:dyDescent="0.45">
      <c r="B80">
        <v>0</v>
      </c>
      <c r="C80">
        <v>0</v>
      </c>
      <c r="D80">
        <v>0</v>
      </c>
      <c r="E80">
        <v>0</v>
      </c>
      <c r="F80">
        <v>0</v>
      </c>
      <c r="G80" t="str">
        <v/>
      </c>
      <c r="H80">
        <v>0</v>
      </c>
    </row>
    <row r="81" spans="2:8" x14ac:dyDescent="0.45">
      <c r="B81">
        <v>0</v>
      </c>
      <c r="C81">
        <v>0</v>
      </c>
      <c r="D81">
        <v>0</v>
      </c>
      <c r="E81">
        <v>0</v>
      </c>
      <c r="F81">
        <v>0</v>
      </c>
      <c r="G81" t="str">
        <v/>
      </c>
      <c r="H81">
        <v>0</v>
      </c>
    </row>
    <row r="82" spans="2:8" x14ac:dyDescent="0.45">
      <c r="B82">
        <v>0</v>
      </c>
      <c r="C82">
        <v>0</v>
      </c>
      <c r="D82">
        <v>0</v>
      </c>
      <c r="E82">
        <v>0</v>
      </c>
      <c r="F82">
        <v>0</v>
      </c>
      <c r="G82" t="str">
        <v/>
      </c>
      <c r="H82">
        <v>0</v>
      </c>
    </row>
    <row r="83" spans="2:8" x14ac:dyDescent="0.45">
      <c r="B83">
        <v>0</v>
      </c>
      <c r="C83">
        <v>0</v>
      </c>
      <c r="D83">
        <v>0</v>
      </c>
      <c r="E83">
        <v>0</v>
      </c>
      <c r="F83">
        <v>0</v>
      </c>
      <c r="G83" t="str">
        <v/>
      </c>
      <c r="H83">
        <v>0</v>
      </c>
    </row>
    <row r="84" spans="2:8" x14ac:dyDescent="0.45">
      <c r="B84">
        <v>0</v>
      </c>
      <c r="C84">
        <v>0</v>
      </c>
      <c r="D84">
        <v>0</v>
      </c>
      <c r="E84">
        <v>0</v>
      </c>
      <c r="F84">
        <v>0</v>
      </c>
      <c r="G84" t="str">
        <v/>
      </c>
      <c r="H84">
        <v>0</v>
      </c>
    </row>
    <row r="85" spans="2:8" x14ac:dyDescent="0.45">
      <c r="B85">
        <v>0</v>
      </c>
      <c r="C85">
        <v>0</v>
      </c>
      <c r="D85">
        <v>0</v>
      </c>
      <c r="E85">
        <v>0</v>
      </c>
      <c r="F85">
        <v>0</v>
      </c>
      <c r="G85" t="str">
        <v/>
      </c>
      <c r="H85">
        <v>0</v>
      </c>
    </row>
    <row r="86" spans="2:8" x14ac:dyDescent="0.45">
      <c r="B86">
        <v>0</v>
      </c>
      <c r="C86">
        <v>0</v>
      </c>
      <c r="D86">
        <v>0</v>
      </c>
      <c r="E86">
        <v>0</v>
      </c>
      <c r="F86">
        <v>0</v>
      </c>
      <c r="G86" t="str">
        <v/>
      </c>
      <c r="H86">
        <v>0</v>
      </c>
    </row>
    <row r="87" spans="2:8" x14ac:dyDescent="0.45">
      <c r="B87">
        <v>0</v>
      </c>
      <c r="C87">
        <v>0</v>
      </c>
      <c r="D87">
        <v>0</v>
      </c>
      <c r="E87">
        <v>0</v>
      </c>
      <c r="F87">
        <v>0</v>
      </c>
      <c r="G87" t="str">
        <v/>
      </c>
      <c r="H87">
        <v>0</v>
      </c>
    </row>
    <row r="88" spans="2:8" x14ac:dyDescent="0.45">
      <c r="B88">
        <v>0</v>
      </c>
      <c r="C88">
        <v>0</v>
      </c>
      <c r="D88">
        <v>0</v>
      </c>
      <c r="E88">
        <v>0</v>
      </c>
      <c r="F88">
        <v>0</v>
      </c>
      <c r="G88" t="str">
        <v/>
      </c>
      <c r="H88">
        <v>0</v>
      </c>
    </row>
    <row r="89" spans="2:8" x14ac:dyDescent="0.45">
      <c r="B89">
        <v>0</v>
      </c>
      <c r="C89">
        <v>0</v>
      </c>
      <c r="D89">
        <v>0</v>
      </c>
      <c r="E89">
        <v>0</v>
      </c>
      <c r="F89">
        <v>0</v>
      </c>
      <c r="G89" t="str">
        <v/>
      </c>
      <c r="H89">
        <v>0</v>
      </c>
    </row>
    <row r="90" spans="2:8" x14ac:dyDescent="0.45">
      <c r="B90">
        <v>0</v>
      </c>
      <c r="C90">
        <v>0</v>
      </c>
      <c r="D90">
        <v>0</v>
      </c>
      <c r="E90">
        <v>0</v>
      </c>
      <c r="F90">
        <v>0</v>
      </c>
      <c r="G90" t="str">
        <v/>
      </c>
      <c r="H90">
        <v>0</v>
      </c>
    </row>
    <row r="91" spans="2:8" x14ac:dyDescent="0.45">
      <c r="B91">
        <v>0</v>
      </c>
      <c r="C91">
        <v>0</v>
      </c>
      <c r="D91">
        <v>0</v>
      </c>
      <c r="E91">
        <v>0</v>
      </c>
      <c r="F91">
        <v>0</v>
      </c>
      <c r="G91" t="str">
        <v/>
      </c>
      <c r="H91">
        <v>0</v>
      </c>
    </row>
    <row r="92" spans="2:8" x14ac:dyDescent="0.45">
      <c r="B92">
        <v>0</v>
      </c>
      <c r="C92">
        <v>0</v>
      </c>
      <c r="D92">
        <v>0</v>
      </c>
      <c r="E92">
        <v>0</v>
      </c>
      <c r="F92">
        <v>0</v>
      </c>
      <c r="G92" t="str">
        <v/>
      </c>
      <c r="H92">
        <v>0</v>
      </c>
    </row>
    <row r="93" spans="2:8" x14ac:dyDescent="0.45">
      <c r="B93">
        <v>0</v>
      </c>
      <c r="C93">
        <v>0</v>
      </c>
      <c r="D93">
        <v>0</v>
      </c>
      <c r="E93">
        <v>0</v>
      </c>
      <c r="F93">
        <v>0</v>
      </c>
      <c r="G93" t="str">
        <v/>
      </c>
      <c r="H93">
        <v>0</v>
      </c>
    </row>
    <row r="94" spans="2:8" x14ac:dyDescent="0.45">
      <c r="B94">
        <v>0</v>
      </c>
      <c r="C94">
        <v>0</v>
      </c>
      <c r="D94">
        <v>0</v>
      </c>
      <c r="E94">
        <v>0</v>
      </c>
      <c r="F94">
        <v>0</v>
      </c>
      <c r="G94" t="str">
        <v/>
      </c>
      <c r="H94">
        <v>0</v>
      </c>
    </row>
    <row r="95" spans="2:8" x14ac:dyDescent="0.45">
      <c r="B95">
        <v>0</v>
      </c>
      <c r="C95">
        <v>0</v>
      </c>
      <c r="D95">
        <v>0</v>
      </c>
      <c r="E95">
        <v>0</v>
      </c>
      <c r="F95">
        <v>0</v>
      </c>
      <c r="G95" t="str">
        <v/>
      </c>
      <c r="H95">
        <v>0</v>
      </c>
    </row>
    <row r="96" spans="2:8" x14ac:dyDescent="0.45">
      <c r="B96">
        <v>0</v>
      </c>
      <c r="C96">
        <v>0</v>
      </c>
      <c r="D96">
        <v>0</v>
      </c>
      <c r="E96">
        <v>0</v>
      </c>
      <c r="F96">
        <v>0</v>
      </c>
      <c r="G96" t="str">
        <v/>
      </c>
      <c r="H96">
        <v>0</v>
      </c>
    </row>
    <row r="97" spans="2:8" x14ac:dyDescent="0.45">
      <c r="B97">
        <v>0</v>
      </c>
      <c r="C97">
        <v>0</v>
      </c>
      <c r="D97">
        <v>0</v>
      </c>
      <c r="E97">
        <v>0</v>
      </c>
      <c r="F97">
        <v>0</v>
      </c>
      <c r="G97" t="str">
        <v/>
      </c>
      <c r="H97">
        <v>0</v>
      </c>
    </row>
    <row r="98" spans="2:8" x14ac:dyDescent="0.45">
      <c r="B98">
        <v>0</v>
      </c>
      <c r="C98">
        <v>0</v>
      </c>
      <c r="D98">
        <v>0</v>
      </c>
      <c r="E98">
        <v>0</v>
      </c>
      <c r="F98">
        <v>0</v>
      </c>
      <c r="G98" t="str">
        <v/>
      </c>
      <c r="H98">
        <v>0</v>
      </c>
    </row>
    <row r="99" spans="2:8" x14ac:dyDescent="0.45">
      <c r="B99">
        <v>0</v>
      </c>
      <c r="C99">
        <v>0</v>
      </c>
      <c r="D99">
        <v>0</v>
      </c>
      <c r="E99">
        <v>0</v>
      </c>
      <c r="F99">
        <v>0</v>
      </c>
      <c r="G99" t="str">
        <v/>
      </c>
      <c r="H99">
        <v>0</v>
      </c>
    </row>
    <row r="100" spans="2:8" x14ac:dyDescent="0.45">
      <c r="B100">
        <v>0</v>
      </c>
      <c r="C100">
        <v>0</v>
      </c>
      <c r="D100">
        <v>0</v>
      </c>
      <c r="E100">
        <v>0</v>
      </c>
      <c r="F100">
        <v>0</v>
      </c>
      <c r="G100" t="str">
        <v/>
      </c>
      <c r="H100">
        <v>0</v>
      </c>
    </row>
    <row r="101" spans="2:8" x14ac:dyDescent="0.45">
      <c r="B101">
        <v>0</v>
      </c>
      <c r="C101">
        <v>0</v>
      </c>
      <c r="D101">
        <v>0</v>
      </c>
      <c r="E101">
        <v>0</v>
      </c>
      <c r="F101">
        <v>0</v>
      </c>
      <c r="G101" t="str">
        <v/>
      </c>
      <c r="H101">
        <v>0</v>
      </c>
    </row>
    <row r="102" spans="2:8" x14ac:dyDescent="0.45">
      <c r="B102">
        <v>0</v>
      </c>
      <c r="C102">
        <v>0</v>
      </c>
      <c r="D102">
        <v>0</v>
      </c>
      <c r="E102">
        <v>0</v>
      </c>
      <c r="F102">
        <v>0</v>
      </c>
      <c r="G102" t="str">
        <v/>
      </c>
      <c r="H102">
        <v>0</v>
      </c>
    </row>
    <row r="103" spans="2:8" x14ac:dyDescent="0.45">
      <c r="B103">
        <v>0</v>
      </c>
      <c r="C103">
        <v>0</v>
      </c>
      <c r="D103">
        <v>0</v>
      </c>
      <c r="E103">
        <v>0</v>
      </c>
      <c r="F103">
        <v>0</v>
      </c>
      <c r="G103" t="str">
        <v/>
      </c>
      <c r="H103">
        <v>0</v>
      </c>
    </row>
    <row r="104" spans="2:8" x14ac:dyDescent="0.45">
      <c r="B104">
        <v>0</v>
      </c>
      <c r="C104">
        <v>0</v>
      </c>
      <c r="D104">
        <v>0</v>
      </c>
      <c r="E104">
        <v>0</v>
      </c>
      <c r="F104">
        <v>0</v>
      </c>
      <c r="G104" t="str">
        <v/>
      </c>
      <c r="H104">
        <v>0</v>
      </c>
    </row>
    <row r="105" spans="2:8" x14ac:dyDescent="0.45">
      <c r="B105">
        <v>0</v>
      </c>
      <c r="C105">
        <v>0</v>
      </c>
      <c r="D105">
        <v>0</v>
      </c>
      <c r="E105">
        <v>0</v>
      </c>
      <c r="F105">
        <v>0</v>
      </c>
      <c r="G105" t="str">
        <v/>
      </c>
      <c r="H105">
        <v>0</v>
      </c>
    </row>
    <row r="106" spans="2:8" x14ac:dyDescent="0.45">
      <c r="B106">
        <v>0</v>
      </c>
      <c r="C106">
        <v>0</v>
      </c>
      <c r="D106">
        <v>0</v>
      </c>
      <c r="E106">
        <v>0</v>
      </c>
      <c r="F106">
        <v>0</v>
      </c>
      <c r="G106" t="str">
        <v/>
      </c>
      <c r="H106">
        <v>0</v>
      </c>
    </row>
    <row r="107" spans="2:8" x14ac:dyDescent="0.45">
      <c r="B107">
        <v>0</v>
      </c>
      <c r="C107">
        <v>0</v>
      </c>
      <c r="D107">
        <v>0</v>
      </c>
      <c r="E107">
        <v>0</v>
      </c>
      <c r="F107">
        <v>0</v>
      </c>
      <c r="G107" t="str">
        <v/>
      </c>
      <c r="H107">
        <v>0</v>
      </c>
    </row>
    <row r="108" spans="2:8" x14ac:dyDescent="0.45">
      <c r="B108">
        <v>0</v>
      </c>
      <c r="C108">
        <v>0</v>
      </c>
      <c r="D108">
        <v>0</v>
      </c>
      <c r="E108">
        <v>0</v>
      </c>
      <c r="F108">
        <v>0</v>
      </c>
      <c r="G108" t="str">
        <v/>
      </c>
      <c r="H108">
        <v>0</v>
      </c>
    </row>
    <row r="109" spans="2:8" x14ac:dyDescent="0.45">
      <c r="B109">
        <v>0</v>
      </c>
      <c r="C109">
        <v>0</v>
      </c>
      <c r="D109">
        <v>0</v>
      </c>
      <c r="E109">
        <v>0</v>
      </c>
      <c r="F109">
        <v>0</v>
      </c>
      <c r="G109" t="str">
        <v/>
      </c>
      <c r="H109">
        <v>0</v>
      </c>
    </row>
    <row r="110" spans="2:8" x14ac:dyDescent="0.45">
      <c r="B110">
        <v>0</v>
      </c>
      <c r="C110">
        <v>0</v>
      </c>
      <c r="D110">
        <v>0</v>
      </c>
      <c r="E110">
        <v>0</v>
      </c>
      <c r="F110">
        <v>0</v>
      </c>
      <c r="G110" t="str">
        <v/>
      </c>
      <c r="H110">
        <v>0</v>
      </c>
    </row>
    <row r="111" spans="2:8" x14ac:dyDescent="0.45">
      <c r="B111">
        <v>0</v>
      </c>
      <c r="C111">
        <v>0</v>
      </c>
      <c r="D111">
        <v>0</v>
      </c>
      <c r="E111">
        <v>0</v>
      </c>
      <c r="F111">
        <v>0</v>
      </c>
      <c r="G111" t="str">
        <v/>
      </c>
      <c r="H111">
        <v>0</v>
      </c>
    </row>
    <row r="112" spans="2:8" x14ac:dyDescent="0.45">
      <c r="B112">
        <v>0</v>
      </c>
      <c r="C112">
        <v>0</v>
      </c>
      <c r="D112">
        <v>0</v>
      </c>
      <c r="E112">
        <v>0</v>
      </c>
      <c r="F112">
        <v>0</v>
      </c>
      <c r="G112" t="str">
        <v/>
      </c>
      <c r="H112">
        <v>0</v>
      </c>
    </row>
    <row r="113" spans="2:8" x14ac:dyDescent="0.45">
      <c r="B113">
        <v>0</v>
      </c>
      <c r="C113">
        <v>0</v>
      </c>
      <c r="D113">
        <v>0</v>
      </c>
      <c r="E113">
        <v>0</v>
      </c>
      <c r="F113">
        <v>0</v>
      </c>
      <c r="G113" t="str">
        <v/>
      </c>
      <c r="H113">
        <v>0</v>
      </c>
    </row>
    <row r="114" spans="2:8" x14ac:dyDescent="0.45">
      <c r="B114">
        <v>0</v>
      </c>
      <c r="C114">
        <v>0</v>
      </c>
      <c r="D114">
        <v>0</v>
      </c>
      <c r="E114">
        <v>0</v>
      </c>
      <c r="F114">
        <v>0</v>
      </c>
      <c r="G114" t="str">
        <v/>
      </c>
      <c r="H114">
        <v>0</v>
      </c>
    </row>
    <row r="115" spans="2:8" x14ac:dyDescent="0.45">
      <c r="B115">
        <v>0</v>
      </c>
      <c r="C115">
        <v>0</v>
      </c>
      <c r="D115">
        <v>0</v>
      </c>
      <c r="E115">
        <v>0</v>
      </c>
      <c r="F115">
        <v>0</v>
      </c>
      <c r="G115" t="str">
        <v/>
      </c>
      <c r="H115">
        <v>0</v>
      </c>
    </row>
    <row r="116" spans="2:8" x14ac:dyDescent="0.45">
      <c r="B116">
        <v>0</v>
      </c>
      <c r="C116">
        <v>0</v>
      </c>
      <c r="D116">
        <v>0</v>
      </c>
      <c r="E116">
        <v>0</v>
      </c>
      <c r="F116">
        <v>0</v>
      </c>
      <c r="G116" t="str">
        <v/>
      </c>
      <c r="H116">
        <v>0</v>
      </c>
    </row>
    <row r="117" spans="2:8" x14ac:dyDescent="0.45">
      <c r="B117">
        <v>0</v>
      </c>
      <c r="C117">
        <v>0</v>
      </c>
      <c r="D117">
        <v>0</v>
      </c>
      <c r="E117">
        <v>0</v>
      </c>
      <c r="F117">
        <v>0</v>
      </c>
      <c r="G117" t="str">
        <v/>
      </c>
      <c r="H117">
        <v>0</v>
      </c>
    </row>
    <row r="118" spans="2:8" x14ac:dyDescent="0.45">
      <c r="B118">
        <v>0</v>
      </c>
      <c r="C118">
        <v>0</v>
      </c>
      <c r="D118">
        <v>0</v>
      </c>
      <c r="E118">
        <v>0</v>
      </c>
      <c r="F118">
        <v>0</v>
      </c>
      <c r="G118" t="str">
        <v/>
      </c>
      <c r="H118">
        <v>0</v>
      </c>
    </row>
    <row r="119" spans="2:8" x14ac:dyDescent="0.45">
      <c r="B119">
        <v>0</v>
      </c>
      <c r="C119">
        <v>0</v>
      </c>
      <c r="D119">
        <v>0</v>
      </c>
      <c r="E119">
        <v>0</v>
      </c>
      <c r="F119">
        <v>0</v>
      </c>
      <c r="G119" t="str">
        <v/>
      </c>
      <c r="H119">
        <v>0</v>
      </c>
    </row>
    <row r="120" spans="2:8" x14ac:dyDescent="0.45">
      <c r="B120">
        <v>0</v>
      </c>
      <c r="C120">
        <v>0</v>
      </c>
      <c r="D120">
        <v>0</v>
      </c>
      <c r="E120">
        <v>0</v>
      </c>
      <c r="F120">
        <v>0</v>
      </c>
      <c r="G120" t="str">
        <v/>
      </c>
      <c r="H120">
        <v>0</v>
      </c>
    </row>
    <row r="121" spans="2:8" x14ac:dyDescent="0.45">
      <c r="B121">
        <v>0</v>
      </c>
      <c r="C121">
        <v>0</v>
      </c>
      <c r="D121">
        <v>0</v>
      </c>
      <c r="E121">
        <v>0</v>
      </c>
      <c r="F121">
        <v>0</v>
      </c>
      <c r="G121" t="str">
        <v/>
      </c>
      <c r="H121">
        <v>0</v>
      </c>
    </row>
    <row r="122" spans="2:8" x14ac:dyDescent="0.45">
      <c r="B122">
        <v>0</v>
      </c>
      <c r="C122">
        <v>0</v>
      </c>
      <c r="D122">
        <v>0</v>
      </c>
      <c r="E122">
        <v>0</v>
      </c>
      <c r="F122">
        <v>0</v>
      </c>
      <c r="G122" t="str">
        <v/>
      </c>
      <c r="H122">
        <v>0</v>
      </c>
    </row>
    <row r="123" spans="2:8" x14ac:dyDescent="0.45">
      <c r="B123">
        <v>0</v>
      </c>
      <c r="C123">
        <v>0</v>
      </c>
      <c r="D123">
        <v>0</v>
      </c>
      <c r="E123">
        <v>0</v>
      </c>
      <c r="F123">
        <v>0</v>
      </c>
      <c r="G123" t="str">
        <v/>
      </c>
      <c r="H123">
        <v>0</v>
      </c>
    </row>
    <row r="124" spans="2:8" x14ac:dyDescent="0.45">
      <c r="B124">
        <v>0</v>
      </c>
      <c r="C124">
        <v>0</v>
      </c>
      <c r="D124">
        <v>0</v>
      </c>
      <c r="E124">
        <v>0</v>
      </c>
      <c r="F124">
        <v>0</v>
      </c>
      <c r="G124" t="str">
        <v/>
      </c>
      <c r="H124">
        <v>0</v>
      </c>
    </row>
    <row r="125" spans="2:8" x14ac:dyDescent="0.45">
      <c r="B125">
        <v>0</v>
      </c>
      <c r="C125">
        <v>0</v>
      </c>
      <c r="D125">
        <v>0</v>
      </c>
      <c r="E125">
        <v>0</v>
      </c>
      <c r="F125">
        <v>0</v>
      </c>
      <c r="G125" t="str">
        <v/>
      </c>
      <c r="H125">
        <v>0</v>
      </c>
    </row>
    <row r="126" spans="2:8" x14ac:dyDescent="0.45">
      <c r="B126">
        <v>0</v>
      </c>
      <c r="C126">
        <v>0</v>
      </c>
      <c r="D126">
        <v>0</v>
      </c>
      <c r="E126">
        <v>0</v>
      </c>
      <c r="F126">
        <v>0</v>
      </c>
      <c r="G126" t="str">
        <v/>
      </c>
      <c r="H126">
        <v>0</v>
      </c>
    </row>
    <row r="127" spans="2:8" x14ac:dyDescent="0.45">
      <c r="B127">
        <v>0</v>
      </c>
      <c r="C127">
        <v>0</v>
      </c>
      <c r="D127">
        <v>0</v>
      </c>
      <c r="E127">
        <v>0</v>
      </c>
      <c r="F127">
        <v>0</v>
      </c>
      <c r="G127" t="str">
        <v/>
      </c>
      <c r="H127">
        <v>0</v>
      </c>
    </row>
    <row r="128" spans="2:8" x14ac:dyDescent="0.45">
      <c r="B128">
        <v>0</v>
      </c>
      <c r="C128">
        <v>0</v>
      </c>
      <c r="D128">
        <v>0</v>
      </c>
      <c r="E128">
        <v>0</v>
      </c>
      <c r="F128">
        <v>0</v>
      </c>
      <c r="G128" t="str">
        <v/>
      </c>
      <c r="H128">
        <v>0</v>
      </c>
    </row>
    <row r="129" spans="2:8" x14ac:dyDescent="0.45">
      <c r="B129">
        <v>0</v>
      </c>
      <c r="C129">
        <v>0</v>
      </c>
      <c r="D129">
        <v>0</v>
      </c>
      <c r="E129">
        <v>0</v>
      </c>
      <c r="F129">
        <v>0</v>
      </c>
      <c r="G129" t="str">
        <v/>
      </c>
      <c r="H129">
        <v>0</v>
      </c>
    </row>
    <row r="130" spans="2:8" x14ac:dyDescent="0.45">
      <c r="B130">
        <v>0</v>
      </c>
      <c r="C130">
        <v>0</v>
      </c>
      <c r="D130">
        <v>0</v>
      </c>
      <c r="E130">
        <v>0</v>
      </c>
      <c r="F130">
        <v>0</v>
      </c>
      <c r="G130" t="str">
        <v/>
      </c>
      <c r="H130">
        <v>0</v>
      </c>
    </row>
    <row r="131" spans="2:8" x14ac:dyDescent="0.45">
      <c r="B131">
        <v>0</v>
      </c>
      <c r="C131">
        <v>0</v>
      </c>
      <c r="D131">
        <v>0</v>
      </c>
      <c r="E131">
        <v>0</v>
      </c>
      <c r="F131">
        <v>0</v>
      </c>
      <c r="G131" t="str">
        <v/>
      </c>
      <c r="H131">
        <v>0</v>
      </c>
    </row>
    <row r="132" spans="2:8" x14ac:dyDescent="0.45">
      <c r="B132">
        <v>0</v>
      </c>
      <c r="C132">
        <v>0</v>
      </c>
      <c r="D132">
        <v>0</v>
      </c>
      <c r="E132">
        <v>0</v>
      </c>
      <c r="F132">
        <v>0</v>
      </c>
      <c r="G132" t="str">
        <v/>
      </c>
      <c r="H132">
        <v>0</v>
      </c>
    </row>
    <row r="133" spans="2:8" x14ac:dyDescent="0.45">
      <c r="B133">
        <v>0</v>
      </c>
      <c r="C133">
        <v>0</v>
      </c>
      <c r="D133">
        <v>0</v>
      </c>
      <c r="E133">
        <v>0</v>
      </c>
      <c r="F133">
        <v>0</v>
      </c>
      <c r="G133" t="str">
        <v/>
      </c>
      <c r="H133">
        <v>0</v>
      </c>
    </row>
    <row r="134" spans="2:8" x14ac:dyDescent="0.45">
      <c r="B134">
        <v>0</v>
      </c>
      <c r="C134">
        <v>0</v>
      </c>
      <c r="D134">
        <v>0</v>
      </c>
      <c r="E134">
        <v>0</v>
      </c>
      <c r="F134">
        <v>0</v>
      </c>
      <c r="G134" t="str">
        <v/>
      </c>
      <c r="H134">
        <v>0</v>
      </c>
    </row>
    <row r="135" spans="2:8" x14ac:dyDescent="0.45">
      <c r="B135">
        <v>0</v>
      </c>
      <c r="C135">
        <v>0</v>
      </c>
      <c r="D135">
        <v>0</v>
      </c>
      <c r="E135">
        <v>0</v>
      </c>
      <c r="F135">
        <v>0</v>
      </c>
      <c r="G135" t="str">
        <v/>
      </c>
      <c r="H135">
        <v>0</v>
      </c>
    </row>
    <row r="136" spans="2:8" x14ac:dyDescent="0.45">
      <c r="B136">
        <v>0</v>
      </c>
      <c r="C136">
        <v>0</v>
      </c>
      <c r="D136">
        <v>0</v>
      </c>
      <c r="E136">
        <v>0</v>
      </c>
      <c r="F136">
        <v>0</v>
      </c>
      <c r="G136" t="str">
        <v/>
      </c>
      <c r="H136">
        <v>0</v>
      </c>
    </row>
    <row r="137" spans="2:8" x14ac:dyDescent="0.45">
      <c r="B137">
        <v>0</v>
      </c>
      <c r="C137">
        <v>0</v>
      </c>
      <c r="D137">
        <v>0</v>
      </c>
      <c r="E137">
        <v>0</v>
      </c>
      <c r="F137">
        <v>0</v>
      </c>
      <c r="G137" t="str">
        <v/>
      </c>
      <c r="H137">
        <v>0</v>
      </c>
    </row>
    <row r="138" spans="2:8" x14ac:dyDescent="0.45">
      <c r="B138">
        <v>0</v>
      </c>
      <c r="C138">
        <v>0</v>
      </c>
      <c r="D138">
        <v>0</v>
      </c>
      <c r="E138">
        <v>0</v>
      </c>
      <c r="F138">
        <v>0</v>
      </c>
      <c r="G138" t="str">
        <v/>
      </c>
      <c r="H138">
        <v>0</v>
      </c>
    </row>
    <row r="139" spans="2:8" x14ac:dyDescent="0.45">
      <c r="B139">
        <v>0</v>
      </c>
      <c r="C139">
        <v>0</v>
      </c>
      <c r="D139">
        <v>0</v>
      </c>
      <c r="E139">
        <v>0</v>
      </c>
      <c r="F139">
        <v>0</v>
      </c>
      <c r="G139" t="str">
        <v/>
      </c>
      <c r="H139">
        <v>0</v>
      </c>
    </row>
    <row r="140" spans="2:8" x14ac:dyDescent="0.45">
      <c r="B140">
        <v>0</v>
      </c>
      <c r="C140">
        <v>0</v>
      </c>
      <c r="D140">
        <v>0</v>
      </c>
      <c r="E140">
        <v>0</v>
      </c>
      <c r="F140">
        <v>0</v>
      </c>
      <c r="G140" t="str">
        <v/>
      </c>
      <c r="H140">
        <v>0</v>
      </c>
    </row>
    <row r="141" spans="2:8" x14ac:dyDescent="0.45">
      <c r="B141">
        <v>0</v>
      </c>
      <c r="C141">
        <v>0</v>
      </c>
      <c r="D141">
        <v>0</v>
      </c>
      <c r="E141">
        <v>0</v>
      </c>
      <c r="F141">
        <v>0</v>
      </c>
      <c r="G141" t="str">
        <v/>
      </c>
      <c r="H141">
        <v>0</v>
      </c>
    </row>
    <row r="142" spans="2:8" x14ac:dyDescent="0.45">
      <c r="B142">
        <v>0</v>
      </c>
      <c r="C142">
        <v>0</v>
      </c>
      <c r="D142">
        <v>0</v>
      </c>
      <c r="E142">
        <v>0</v>
      </c>
      <c r="F142">
        <v>0</v>
      </c>
      <c r="G142" t="str">
        <v/>
      </c>
      <c r="H142">
        <v>0</v>
      </c>
    </row>
    <row r="143" spans="2:8" x14ac:dyDescent="0.45">
      <c r="B143">
        <v>0</v>
      </c>
      <c r="C143">
        <v>0</v>
      </c>
      <c r="D143">
        <v>0</v>
      </c>
      <c r="E143">
        <v>0</v>
      </c>
      <c r="F143">
        <v>0</v>
      </c>
      <c r="G143" t="str">
        <v/>
      </c>
      <c r="H143">
        <v>0</v>
      </c>
    </row>
    <row r="144" spans="2:8" x14ac:dyDescent="0.45">
      <c r="B144">
        <v>0</v>
      </c>
      <c r="C144">
        <v>0</v>
      </c>
      <c r="D144">
        <v>0</v>
      </c>
      <c r="E144">
        <v>0</v>
      </c>
      <c r="F144">
        <v>0</v>
      </c>
      <c r="G144" t="str">
        <v/>
      </c>
      <c r="H144">
        <v>0</v>
      </c>
    </row>
    <row r="145" spans="2:8" x14ac:dyDescent="0.45">
      <c r="B145">
        <v>0</v>
      </c>
      <c r="C145">
        <v>0</v>
      </c>
      <c r="D145">
        <v>0</v>
      </c>
      <c r="E145">
        <v>0</v>
      </c>
      <c r="F145">
        <v>0</v>
      </c>
      <c r="G145" t="str">
        <v/>
      </c>
      <c r="H145">
        <v>0</v>
      </c>
    </row>
    <row r="146" spans="2:8" x14ac:dyDescent="0.45">
      <c r="B146">
        <v>0</v>
      </c>
      <c r="C146">
        <v>0</v>
      </c>
      <c r="D146">
        <v>0</v>
      </c>
      <c r="E146">
        <v>0</v>
      </c>
      <c r="F146">
        <v>0</v>
      </c>
      <c r="G146" t="str">
        <v/>
      </c>
      <c r="H146">
        <v>0</v>
      </c>
    </row>
    <row r="147" spans="2:8" x14ac:dyDescent="0.45">
      <c r="B147">
        <v>0</v>
      </c>
      <c r="C147">
        <v>0</v>
      </c>
      <c r="D147">
        <v>0</v>
      </c>
      <c r="E147">
        <v>0</v>
      </c>
      <c r="F147">
        <v>0</v>
      </c>
      <c r="G147" t="str">
        <v/>
      </c>
      <c r="H147">
        <v>0</v>
      </c>
    </row>
    <row r="148" spans="2:8" x14ac:dyDescent="0.45">
      <c r="B148">
        <v>0</v>
      </c>
      <c r="C148">
        <v>0</v>
      </c>
      <c r="D148">
        <v>0</v>
      </c>
      <c r="E148">
        <v>0</v>
      </c>
      <c r="F148">
        <v>0</v>
      </c>
      <c r="G148" t="str">
        <v/>
      </c>
      <c r="H148">
        <v>0</v>
      </c>
    </row>
    <row r="149" spans="2:8" x14ac:dyDescent="0.45">
      <c r="B149">
        <v>0</v>
      </c>
      <c r="C149">
        <v>0</v>
      </c>
      <c r="D149">
        <v>0</v>
      </c>
      <c r="E149">
        <v>0</v>
      </c>
      <c r="F149">
        <v>0</v>
      </c>
      <c r="G149" t="str">
        <v/>
      </c>
      <c r="H149">
        <v>0</v>
      </c>
    </row>
    <row r="150" spans="2:8" x14ac:dyDescent="0.45">
      <c r="B150">
        <v>0</v>
      </c>
      <c r="C150">
        <v>0</v>
      </c>
      <c r="D150">
        <v>0</v>
      </c>
      <c r="E150">
        <v>0</v>
      </c>
      <c r="F150">
        <v>0</v>
      </c>
      <c r="G150" t="str">
        <v/>
      </c>
      <c r="H150">
        <v>0</v>
      </c>
    </row>
    <row r="151" spans="2:8" x14ac:dyDescent="0.45">
      <c r="B151">
        <v>0</v>
      </c>
      <c r="C151">
        <v>0</v>
      </c>
      <c r="D151">
        <v>0</v>
      </c>
      <c r="E151">
        <v>0</v>
      </c>
      <c r="F151">
        <v>0</v>
      </c>
      <c r="G151" t="str">
        <v/>
      </c>
      <c r="H151">
        <v>0</v>
      </c>
    </row>
    <row r="152" spans="2:8" x14ac:dyDescent="0.45">
      <c r="B152">
        <v>0</v>
      </c>
      <c r="C152">
        <v>0</v>
      </c>
      <c r="D152">
        <v>0</v>
      </c>
      <c r="E152">
        <v>0</v>
      </c>
      <c r="F152">
        <v>0</v>
      </c>
      <c r="G152" t="str">
        <v/>
      </c>
      <c r="H152">
        <v>0</v>
      </c>
    </row>
    <row r="153" spans="2:8" x14ac:dyDescent="0.45">
      <c r="B153">
        <v>0</v>
      </c>
      <c r="C153">
        <v>0</v>
      </c>
      <c r="D153">
        <v>0</v>
      </c>
      <c r="E153">
        <v>0</v>
      </c>
      <c r="F153">
        <v>0</v>
      </c>
      <c r="G153" t="str">
        <v/>
      </c>
      <c r="H153">
        <v>0</v>
      </c>
    </row>
    <row r="154" spans="2:8" x14ac:dyDescent="0.45">
      <c r="B154">
        <v>0</v>
      </c>
      <c r="C154">
        <v>0</v>
      </c>
      <c r="D154">
        <v>0</v>
      </c>
      <c r="E154">
        <v>0</v>
      </c>
      <c r="F154">
        <v>0</v>
      </c>
      <c r="G154" t="str">
        <v/>
      </c>
      <c r="H154">
        <v>0</v>
      </c>
    </row>
    <row r="155" spans="2:8" x14ac:dyDescent="0.45">
      <c r="B155">
        <v>0</v>
      </c>
      <c r="C155">
        <v>0</v>
      </c>
      <c r="D155">
        <v>0</v>
      </c>
      <c r="E155">
        <v>0</v>
      </c>
      <c r="F155">
        <v>0</v>
      </c>
      <c r="G155" t="str">
        <v/>
      </c>
      <c r="H155">
        <v>0</v>
      </c>
    </row>
    <row r="156" spans="2:8" x14ac:dyDescent="0.45">
      <c r="B156">
        <v>0</v>
      </c>
      <c r="C156">
        <v>0</v>
      </c>
      <c r="D156">
        <v>0</v>
      </c>
      <c r="E156">
        <v>0</v>
      </c>
      <c r="F156">
        <v>0</v>
      </c>
      <c r="G156" t="str">
        <v/>
      </c>
      <c r="H156">
        <v>0</v>
      </c>
    </row>
    <row r="157" spans="2:8" x14ac:dyDescent="0.45">
      <c r="B157">
        <v>0</v>
      </c>
      <c r="C157">
        <v>0</v>
      </c>
      <c r="D157">
        <v>0</v>
      </c>
      <c r="E157">
        <v>0</v>
      </c>
      <c r="F157">
        <v>0</v>
      </c>
      <c r="G157" t="str">
        <v/>
      </c>
      <c r="H157">
        <v>0</v>
      </c>
    </row>
    <row r="158" spans="2:8" x14ac:dyDescent="0.45">
      <c r="B158">
        <v>0</v>
      </c>
      <c r="C158">
        <v>0</v>
      </c>
      <c r="D158">
        <v>0</v>
      </c>
      <c r="E158">
        <v>0</v>
      </c>
      <c r="F158">
        <v>0</v>
      </c>
      <c r="G158" t="str">
        <v/>
      </c>
      <c r="H158">
        <v>0</v>
      </c>
    </row>
    <row r="159" spans="2:8" x14ac:dyDescent="0.45">
      <c r="B159">
        <v>0</v>
      </c>
      <c r="C159">
        <v>0</v>
      </c>
      <c r="D159">
        <v>0</v>
      </c>
      <c r="E159">
        <v>0</v>
      </c>
      <c r="F159">
        <v>0</v>
      </c>
      <c r="G159" t="str">
        <v/>
      </c>
      <c r="H159">
        <v>0</v>
      </c>
    </row>
    <row r="160" spans="2:8" x14ac:dyDescent="0.45">
      <c r="B160">
        <v>0</v>
      </c>
      <c r="C160">
        <v>0</v>
      </c>
      <c r="D160">
        <v>0</v>
      </c>
      <c r="E160">
        <v>0</v>
      </c>
      <c r="F160">
        <v>0</v>
      </c>
      <c r="G160" t="str">
        <v/>
      </c>
      <c r="H160">
        <v>0</v>
      </c>
    </row>
    <row r="161" spans="2:8" x14ac:dyDescent="0.45">
      <c r="B161">
        <v>0</v>
      </c>
      <c r="C161">
        <v>0</v>
      </c>
      <c r="D161">
        <v>0</v>
      </c>
      <c r="E161">
        <v>0</v>
      </c>
      <c r="F161">
        <v>0</v>
      </c>
      <c r="G161" t="str">
        <v/>
      </c>
      <c r="H161">
        <v>0</v>
      </c>
    </row>
    <row r="162" spans="2:8" x14ac:dyDescent="0.45">
      <c r="B162">
        <v>0</v>
      </c>
      <c r="C162">
        <v>0</v>
      </c>
      <c r="D162">
        <v>0</v>
      </c>
      <c r="E162">
        <v>0</v>
      </c>
      <c r="F162">
        <v>0</v>
      </c>
      <c r="G162" t="str">
        <v/>
      </c>
      <c r="H162">
        <v>0</v>
      </c>
    </row>
    <row r="163" spans="2:8" x14ac:dyDescent="0.45">
      <c r="B163">
        <v>0</v>
      </c>
      <c r="C163">
        <v>0</v>
      </c>
      <c r="D163">
        <v>0</v>
      </c>
      <c r="E163">
        <v>0</v>
      </c>
      <c r="F163">
        <v>0</v>
      </c>
      <c r="G163" t="str">
        <v/>
      </c>
      <c r="H163">
        <v>0</v>
      </c>
    </row>
    <row r="164" spans="2:8" x14ac:dyDescent="0.45">
      <c r="B164">
        <v>0</v>
      </c>
      <c r="C164">
        <v>0</v>
      </c>
      <c r="D164">
        <v>0</v>
      </c>
      <c r="E164">
        <v>0</v>
      </c>
      <c r="F164">
        <v>0</v>
      </c>
      <c r="G164" t="str">
        <v/>
      </c>
      <c r="H164">
        <v>0</v>
      </c>
    </row>
    <row r="165" spans="2:8" x14ac:dyDescent="0.45">
      <c r="B165">
        <v>0</v>
      </c>
      <c r="C165">
        <v>0</v>
      </c>
      <c r="D165">
        <v>0</v>
      </c>
      <c r="E165">
        <v>0</v>
      </c>
      <c r="F165">
        <v>0</v>
      </c>
      <c r="G165" t="str">
        <v/>
      </c>
      <c r="H165">
        <v>0</v>
      </c>
    </row>
    <row r="166" spans="2:8" x14ac:dyDescent="0.45">
      <c r="B166">
        <v>0</v>
      </c>
      <c r="C166">
        <v>0</v>
      </c>
      <c r="D166">
        <v>0</v>
      </c>
      <c r="E166">
        <v>0</v>
      </c>
      <c r="F166">
        <v>0</v>
      </c>
      <c r="G166" t="str">
        <v/>
      </c>
      <c r="H166">
        <v>0</v>
      </c>
    </row>
    <row r="167" spans="2:8" x14ac:dyDescent="0.45">
      <c r="B167">
        <v>0</v>
      </c>
      <c r="C167">
        <v>0</v>
      </c>
      <c r="D167">
        <v>0</v>
      </c>
      <c r="E167">
        <v>0</v>
      </c>
      <c r="F167">
        <v>0</v>
      </c>
      <c r="G167" t="str">
        <v/>
      </c>
      <c r="H167">
        <v>0</v>
      </c>
    </row>
    <row r="168" spans="2:8" x14ac:dyDescent="0.45">
      <c r="B168">
        <v>0</v>
      </c>
      <c r="C168">
        <v>0</v>
      </c>
      <c r="D168">
        <v>0</v>
      </c>
      <c r="E168">
        <v>0</v>
      </c>
      <c r="F168">
        <v>0</v>
      </c>
      <c r="G168" t="str">
        <v/>
      </c>
      <c r="H168">
        <v>0</v>
      </c>
    </row>
    <row r="169" spans="2:8" x14ac:dyDescent="0.45">
      <c r="B169">
        <v>0</v>
      </c>
      <c r="C169">
        <v>0</v>
      </c>
      <c r="D169">
        <v>0</v>
      </c>
      <c r="E169">
        <v>0</v>
      </c>
      <c r="F169">
        <v>0</v>
      </c>
      <c r="G169" t="str">
        <v/>
      </c>
      <c r="H169">
        <v>0</v>
      </c>
    </row>
    <row r="170" spans="2:8" x14ac:dyDescent="0.45">
      <c r="B170">
        <v>0</v>
      </c>
      <c r="C170">
        <v>0</v>
      </c>
      <c r="D170">
        <v>0</v>
      </c>
      <c r="E170">
        <v>0</v>
      </c>
      <c r="F170">
        <v>0</v>
      </c>
      <c r="G170" t="str">
        <v/>
      </c>
      <c r="H170">
        <v>0</v>
      </c>
    </row>
    <row r="171" spans="2:8" x14ac:dyDescent="0.45">
      <c r="B171">
        <v>0</v>
      </c>
      <c r="C171">
        <v>0</v>
      </c>
      <c r="D171">
        <v>0</v>
      </c>
      <c r="E171">
        <v>0</v>
      </c>
      <c r="F171">
        <v>0</v>
      </c>
      <c r="G171" t="str">
        <v/>
      </c>
      <c r="H171">
        <v>0</v>
      </c>
    </row>
    <row r="172" spans="2:8" x14ac:dyDescent="0.45">
      <c r="B172">
        <v>0</v>
      </c>
      <c r="C172">
        <v>0</v>
      </c>
      <c r="D172">
        <v>0</v>
      </c>
      <c r="E172">
        <v>0</v>
      </c>
      <c r="F172">
        <v>0</v>
      </c>
      <c r="G172" t="str">
        <v/>
      </c>
      <c r="H172">
        <v>0</v>
      </c>
    </row>
    <row r="173" spans="2:8" x14ac:dyDescent="0.45">
      <c r="B173">
        <v>0</v>
      </c>
      <c r="C173">
        <v>0</v>
      </c>
      <c r="D173">
        <v>0</v>
      </c>
      <c r="E173">
        <v>0</v>
      </c>
      <c r="F173">
        <v>0</v>
      </c>
      <c r="G173" t="str">
        <v/>
      </c>
      <c r="H173">
        <v>0</v>
      </c>
    </row>
    <row r="174" spans="2:8" x14ac:dyDescent="0.45">
      <c r="B174">
        <v>0</v>
      </c>
      <c r="C174">
        <v>0</v>
      </c>
      <c r="D174">
        <v>0</v>
      </c>
      <c r="E174">
        <v>0</v>
      </c>
      <c r="F174">
        <v>0</v>
      </c>
      <c r="G174" t="str">
        <v/>
      </c>
      <c r="H174">
        <v>0</v>
      </c>
    </row>
    <row r="175" spans="2:8" x14ac:dyDescent="0.45">
      <c r="B175">
        <v>0</v>
      </c>
      <c r="C175">
        <v>0</v>
      </c>
      <c r="D175">
        <v>0</v>
      </c>
      <c r="E175">
        <v>0</v>
      </c>
      <c r="F175">
        <v>0</v>
      </c>
      <c r="G175" t="str">
        <v/>
      </c>
      <c r="H175">
        <v>0</v>
      </c>
    </row>
    <row r="176" spans="2:8" x14ac:dyDescent="0.45">
      <c r="B176">
        <v>0</v>
      </c>
      <c r="C176">
        <v>0</v>
      </c>
      <c r="D176">
        <v>0</v>
      </c>
      <c r="E176">
        <v>0</v>
      </c>
      <c r="F176">
        <v>0</v>
      </c>
      <c r="G176" t="str">
        <v/>
      </c>
      <c r="H176">
        <v>0</v>
      </c>
    </row>
    <row r="177" spans="2:8" x14ac:dyDescent="0.45">
      <c r="B177">
        <v>0</v>
      </c>
      <c r="C177">
        <v>0</v>
      </c>
      <c r="D177">
        <v>0</v>
      </c>
      <c r="E177">
        <v>0</v>
      </c>
      <c r="F177">
        <v>0</v>
      </c>
      <c r="G177" t="str">
        <v/>
      </c>
      <c r="H177">
        <v>0</v>
      </c>
    </row>
    <row r="178" spans="2:8" x14ac:dyDescent="0.45">
      <c r="B178">
        <v>0</v>
      </c>
      <c r="C178">
        <v>0</v>
      </c>
      <c r="D178">
        <v>0</v>
      </c>
      <c r="E178">
        <v>0</v>
      </c>
      <c r="F178">
        <v>0</v>
      </c>
      <c r="G178" t="str">
        <v/>
      </c>
      <c r="H178">
        <v>0</v>
      </c>
    </row>
    <row r="179" spans="2:8" x14ac:dyDescent="0.45">
      <c r="B179">
        <v>0</v>
      </c>
      <c r="C179">
        <v>0</v>
      </c>
      <c r="D179">
        <v>0</v>
      </c>
      <c r="E179">
        <v>0</v>
      </c>
      <c r="F179">
        <v>0</v>
      </c>
      <c r="G179" t="str">
        <v/>
      </c>
      <c r="H179">
        <v>0</v>
      </c>
    </row>
    <row r="180" spans="2:8" x14ac:dyDescent="0.45">
      <c r="B180">
        <v>0</v>
      </c>
      <c r="C180">
        <v>0</v>
      </c>
      <c r="D180">
        <v>0</v>
      </c>
      <c r="E180">
        <v>0</v>
      </c>
      <c r="F180">
        <v>0</v>
      </c>
      <c r="G180" t="str">
        <v/>
      </c>
      <c r="H180">
        <v>0</v>
      </c>
    </row>
    <row r="181" spans="2:8" x14ac:dyDescent="0.45">
      <c r="B181">
        <v>0</v>
      </c>
      <c r="C181">
        <v>0</v>
      </c>
      <c r="D181">
        <v>0</v>
      </c>
      <c r="E181">
        <v>0</v>
      </c>
      <c r="F181">
        <v>0</v>
      </c>
      <c r="G181" t="str">
        <v/>
      </c>
      <c r="H181">
        <v>0</v>
      </c>
    </row>
    <row r="182" spans="2:8" x14ac:dyDescent="0.45">
      <c r="B182">
        <v>0</v>
      </c>
      <c r="C182">
        <v>0</v>
      </c>
      <c r="D182">
        <v>0</v>
      </c>
      <c r="E182">
        <v>0</v>
      </c>
      <c r="F182">
        <v>0</v>
      </c>
      <c r="G182" t="str">
        <v/>
      </c>
      <c r="H182">
        <v>0</v>
      </c>
    </row>
    <row r="183" spans="2:8" x14ac:dyDescent="0.45">
      <c r="B183">
        <v>0</v>
      </c>
      <c r="C183">
        <v>0</v>
      </c>
      <c r="D183">
        <v>0</v>
      </c>
      <c r="E183">
        <v>0</v>
      </c>
      <c r="F183">
        <v>0</v>
      </c>
      <c r="G183" t="str">
        <v/>
      </c>
      <c r="H183">
        <v>0</v>
      </c>
    </row>
    <row r="184" spans="2:8" x14ac:dyDescent="0.45">
      <c r="B184">
        <v>0</v>
      </c>
      <c r="C184">
        <v>0</v>
      </c>
      <c r="D184">
        <v>0</v>
      </c>
      <c r="E184">
        <v>0</v>
      </c>
      <c r="F184">
        <v>0</v>
      </c>
      <c r="G184" t="str">
        <v/>
      </c>
      <c r="H184">
        <v>0</v>
      </c>
    </row>
    <row r="185" spans="2:8" x14ac:dyDescent="0.45">
      <c r="B185">
        <v>0</v>
      </c>
      <c r="C185">
        <v>0</v>
      </c>
      <c r="D185">
        <v>0</v>
      </c>
      <c r="E185">
        <v>0</v>
      </c>
      <c r="F185">
        <v>0</v>
      </c>
      <c r="G185" t="str">
        <v/>
      </c>
      <c r="H185">
        <v>0</v>
      </c>
    </row>
    <row r="186" spans="2:8" x14ac:dyDescent="0.45">
      <c r="B186">
        <v>0</v>
      </c>
      <c r="C186">
        <v>0</v>
      </c>
      <c r="D186">
        <v>0</v>
      </c>
      <c r="E186">
        <v>0</v>
      </c>
      <c r="F186">
        <v>0</v>
      </c>
      <c r="G186" t="str">
        <v/>
      </c>
      <c r="H186">
        <v>0</v>
      </c>
    </row>
    <row r="187" spans="2:8" x14ac:dyDescent="0.45">
      <c r="B187">
        <v>0</v>
      </c>
      <c r="C187">
        <v>0</v>
      </c>
      <c r="D187">
        <v>0</v>
      </c>
      <c r="E187">
        <v>0</v>
      </c>
      <c r="F187">
        <v>0</v>
      </c>
      <c r="G187" t="str">
        <v/>
      </c>
      <c r="H187">
        <v>0</v>
      </c>
    </row>
    <row r="188" spans="2:8" x14ac:dyDescent="0.45">
      <c r="B188">
        <v>0</v>
      </c>
      <c r="C188">
        <v>0</v>
      </c>
      <c r="D188">
        <v>0</v>
      </c>
      <c r="E188">
        <v>0</v>
      </c>
      <c r="F188">
        <v>0</v>
      </c>
      <c r="G188" t="str">
        <v/>
      </c>
      <c r="H188">
        <v>0</v>
      </c>
    </row>
    <row r="189" spans="2:8" x14ac:dyDescent="0.45">
      <c r="B189">
        <v>0</v>
      </c>
      <c r="C189">
        <v>0</v>
      </c>
      <c r="D189">
        <v>0</v>
      </c>
      <c r="E189">
        <v>0</v>
      </c>
      <c r="F189">
        <v>0</v>
      </c>
      <c r="G189" t="str">
        <v/>
      </c>
      <c r="H189">
        <v>0</v>
      </c>
    </row>
    <row r="190" spans="2:8" x14ac:dyDescent="0.45">
      <c r="B190">
        <v>0</v>
      </c>
      <c r="C190">
        <v>0</v>
      </c>
      <c r="D190">
        <v>0</v>
      </c>
      <c r="E190">
        <v>0</v>
      </c>
      <c r="F190">
        <v>0</v>
      </c>
      <c r="G190" t="str">
        <v/>
      </c>
      <c r="H190">
        <v>0</v>
      </c>
    </row>
    <row r="191" spans="2:8" x14ac:dyDescent="0.45">
      <c r="B191">
        <v>0</v>
      </c>
      <c r="C191">
        <v>0</v>
      </c>
      <c r="D191">
        <v>0</v>
      </c>
      <c r="E191">
        <v>0</v>
      </c>
      <c r="F191">
        <v>0</v>
      </c>
      <c r="G191" t="str">
        <v/>
      </c>
      <c r="H191">
        <v>0</v>
      </c>
    </row>
    <row r="192" spans="2:8" x14ac:dyDescent="0.45">
      <c r="B192">
        <v>0</v>
      </c>
      <c r="C192">
        <v>0</v>
      </c>
      <c r="D192">
        <v>0</v>
      </c>
      <c r="E192">
        <v>0</v>
      </c>
      <c r="F192">
        <v>0</v>
      </c>
      <c r="G192" t="str">
        <v/>
      </c>
      <c r="H192">
        <v>0</v>
      </c>
    </row>
    <row r="193" spans="2:8" x14ac:dyDescent="0.45">
      <c r="B193">
        <v>0</v>
      </c>
      <c r="C193">
        <v>0</v>
      </c>
      <c r="D193">
        <v>0</v>
      </c>
      <c r="E193">
        <v>0</v>
      </c>
      <c r="F193">
        <v>0</v>
      </c>
      <c r="G193" t="str">
        <v/>
      </c>
      <c r="H193">
        <v>0</v>
      </c>
    </row>
    <row r="194" spans="2:8" x14ac:dyDescent="0.45">
      <c r="B194">
        <v>0</v>
      </c>
      <c r="C194">
        <v>0</v>
      </c>
      <c r="D194">
        <v>0</v>
      </c>
      <c r="E194">
        <v>0</v>
      </c>
      <c r="F194">
        <v>0</v>
      </c>
      <c r="G194" t="str">
        <v/>
      </c>
      <c r="H194">
        <v>0</v>
      </c>
    </row>
    <row r="195" spans="2:8" x14ac:dyDescent="0.45">
      <c r="B195">
        <v>0</v>
      </c>
      <c r="C195">
        <v>0</v>
      </c>
      <c r="D195">
        <v>0</v>
      </c>
      <c r="E195">
        <v>0</v>
      </c>
      <c r="F195">
        <v>0</v>
      </c>
      <c r="G195" t="str">
        <v/>
      </c>
      <c r="H195">
        <v>0</v>
      </c>
    </row>
    <row r="196" spans="2:8" x14ac:dyDescent="0.45">
      <c r="B196">
        <v>0</v>
      </c>
      <c r="C196">
        <v>0</v>
      </c>
      <c r="D196">
        <v>0</v>
      </c>
      <c r="E196">
        <v>0</v>
      </c>
      <c r="F196">
        <v>0</v>
      </c>
      <c r="G196" t="str">
        <v/>
      </c>
      <c r="H196">
        <v>0</v>
      </c>
    </row>
    <row r="197" spans="2:8" x14ac:dyDescent="0.45">
      <c r="B197">
        <v>0</v>
      </c>
      <c r="C197">
        <v>0</v>
      </c>
      <c r="D197">
        <v>0</v>
      </c>
      <c r="E197">
        <v>0</v>
      </c>
      <c r="F197">
        <v>0</v>
      </c>
      <c r="G197" t="str">
        <v/>
      </c>
      <c r="H197">
        <v>0</v>
      </c>
    </row>
    <row r="198" spans="2:8" x14ac:dyDescent="0.45">
      <c r="B198">
        <v>0</v>
      </c>
      <c r="C198">
        <v>0</v>
      </c>
      <c r="D198">
        <v>0</v>
      </c>
      <c r="E198">
        <v>0</v>
      </c>
      <c r="F198">
        <v>0</v>
      </c>
      <c r="G198" t="str">
        <v/>
      </c>
      <c r="H198">
        <v>0</v>
      </c>
    </row>
    <row r="199" spans="2:8" x14ac:dyDescent="0.45">
      <c r="B199">
        <v>0</v>
      </c>
      <c r="C199">
        <v>0</v>
      </c>
      <c r="D199">
        <v>0</v>
      </c>
      <c r="E199">
        <v>0</v>
      </c>
      <c r="F199">
        <v>0</v>
      </c>
      <c r="G199" t="str">
        <v/>
      </c>
      <c r="H199">
        <v>0</v>
      </c>
    </row>
    <row r="200" spans="2:8" x14ac:dyDescent="0.45">
      <c r="B200">
        <v>0</v>
      </c>
      <c r="C200">
        <v>0</v>
      </c>
      <c r="D200">
        <v>0</v>
      </c>
      <c r="E200">
        <v>0</v>
      </c>
      <c r="F200">
        <v>0</v>
      </c>
      <c r="G200" t="str">
        <v/>
      </c>
      <c r="H200">
        <v>0</v>
      </c>
    </row>
    <row r="201" spans="2:8" x14ac:dyDescent="0.45">
      <c r="B201">
        <v>0</v>
      </c>
      <c r="C201">
        <v>0</v>
      </c>
      <c r="D201">
        <v>0</v>
      </c>
      <c r="E201">
        <v>0</v>
      </c>
      <c r="F201">
        <v>0</v>
      </c>
      <c r="G201" t="str">
        <v/>
      </c>
      <c r="H201">
        <v>0</v>
      </c>
    </row>
    <row r="202" spans="2:8" x14ac:dyDescent="0.45">
      <c r="B202">
        <v>0</v>
      </c>
      <c r="C202">
        <v>0</v>
      </c>
      <c r="D202">
        <v>0</v>
      </c>
      <c r="E202">
        <v>0</v>
      </c>
      <c r="F202">
        <v>0</v>
      </c>
      <c r="G202" t="str">
        <v/>
      </c>
      <c r="H202">
        <v>0</v>
      </c>
    </row>
    <row r="203" spans="2:8" x14ac:dyDescent="0.45">
      <c r="B203">
        <v>0</v>
      </c>
      <c r="C203">
        <v>0</v>
      </c>
      <c r="D203">
        <v>0</v>
      </c>
      <c r="E203">
        <v>0</v>
      </c>
      <c r="F203">
        <v>0</v>
      </c>
      <c r="G203" t="str">
        <v/>
      </c>
      <c r="H203">
        <v>0</v>
      </c>
    </row>
    <row r="204" spans="2:8" x14ac:dyDescent="0.45">
      <c r="B204">
        <v>0</v>
      </c>
      <c r="C204">
        <v>0</v>
      </c>
      <c r="D204">
        <v>0</v>
      </c>
      <c r="E204">
        <v>0</v>
      </c>
      <c r="F204">
        <v>0</v>
      </c>
      <c r="G204" t="str">
        <v/>
      </c>
      <c r="H204">
        <v>0</v>
      </c>
    </row>
    <row r="205" spans="2:8" x14ac:dyDescent="0.45">
      <c r="B205">
        <v>0</v>
      </c>
      <c r="C205">
        <v>0</v>
      </c>
      <c r="D205">
        <v>0</v>
      </c>
      <c r="E205">
        <v>0</v>
      </c>
      <c r="F205">
        <v>0</v>
      </c>
      <c r="G205" t="str">
        <v/>
      </c>
      <c r="H205">
        <v>0</v>
      </c>
    </row>
    <row r="206" spans="2:8" x14ac:dyDescent="0.45">
      <c r="B206">
        <v>0</v>
      </c>
      <c r="C206">
        <v>0</v>
      </c>
      <c r="D206">
        <v>0</v>
      </c>
      <c r="E206">
        <v>0</v>
      </c>
      <c r="F206">
        <v>0</v>
      </c>
      <c r="G206" t="str">
        <v/>
      </c>
      <c r="H206">
        <v>0</v>
      </c>
    </row>
    <row r="207" spans="2:8" x14ac:dyDescent="0.45">
      <c r="B207">
        <v>0</v>
      </c>
      <c r="C207">
        <v>0</v>
      </c>
      <c r="D207">
        <v>0</v>
      </c>
      <c r="E207">
        <v>0</v>
      </c>
      <c r="F207">
        <v>0</v>
      </c>
      <c r="G207" t="str">
        <v/>
      </c>
      <c r="H207">
        <v>0</v>
      </c>
    </row>
    <row r="208" spans="2:8" x14ac:dyDescent="0.45">
      <c r="B208">
        <v>0</v>
      </c>
      <c r="C208">
        <v>0</v>
      </c>
      <c r="D208">
        <v>0</v>
      </c>
      <c r="E208">
        <v>0</v>
      </c>
      <c r="F208">
        <v>0</v>
      </c>
      <c r="G208" t="str">
        <v/>
      </c>
      <c r="H208">
        <v>0</v>
      </c>
    </row>
    <row r="209" spans="2:8" x14ac:dyDescent="0.45">
      <c r="B209">
        <v>0</v>
      </c>
      <c r="C209">
        <v>0</v>
      </c>
      <c r="D209">
        <v>0</v>
      </c>
      <c r="E209">
        <v>0</v>
      </c>
      <c r="F209">
        <v>0</v>
      </c>
      <c r="G209" t="str">
        <v/>
      </c>
      <c r="H209">
        <v>0</v>
      </c>
    </row>
    <row r="210" spans="2:8" x14ac:dyDescent="0.45">
      <c r="B210">
        <v>0</v>
      </c>
      <c r="C210">
        <v>0</v>
      </c>
      <c r="D210">
        <v>0</v>
      </c>
      <c r="E210">
        <v>0</v>
      </c>
      <c r="F210">
        <v>0</v>
      </c>
      <c r="G210" t="str">
        <v/>
      </c>
      <c r="H210">
        <v>0</v>
      </c>
    </row>
    <row r="211" spans="2:8" x14ac:dyDescent="0.45">
      <c r="B211">
        <v>0</v>
      </c>
      <c r="C211">
        <v>0</v>
      </c>
      <c r="D211">
        <v>0</v>
      </c>
      <c r="E211">
        <v>0</v>
      </c>
      <c r="F211">
        <v>0</v>
      </c>
      <c r="G211" t="str">
        <v/>
      </c>
      <c r="H211">
        <v>0</v>
      </c>
    </row>
    <row r="212" spans="2:8" x14ac:dyDescent="0.45">
      <c r="B212">
        <v>0</v>
      </c>
      <c r="C212">
        <v>0</v>
      </c>
      <c r="D212">
        <v>0</v>
      </c>
      <c r="E212">
        <v>0</v>
      </c>
      <c r="F212">
        <v>0</v>
      </c>
      <c r="G212" t="str">
        <v/>
      </c>
      <c r="H212">
        <v>0</v>
      </c>
    </row>
    <row r="213" spans="2:8" x14ac:dyDescent="0.45">
      <c r="B213">
        <v>0</v>
      </c>
      <c r="C213">
        <v>0</v>
      </c>
      <c r="D213">
        <v>0</v>
      </c>
      <c r="E213">
        <v>0</v>
      </c>
      <c r="F213">
        <v>0</v>
      </c>
      <c r="G213" t="str">
        <v/>
      </c>
      <c r="H213">
        <v>0</v>
      </c>
    </row>
    <row r="214" spans="2:8" x14ac:dyDescent="0.45">
      <c r="B214">
        <v>0</v>
      </c>
      <c r="C214">
        <v>0</v>
      </c>
      <c r="D214">
        <v>0</v>
      </c>
      <c r="E214">
        <v>0</v>
      </c>
      <c r="F214">
        <v>0</v>
      </c>
      <c r="G214" t="str">
        <v/>
      </c>
      <c r="H214">
        <v>0</v>
      </c>
    </row>
    <row r="215" spans="2:8" x14ac:dyDescent="0.45">
      <c r="B215">
        <v>0</v>
      </c>
      <c r="C215">
        <v>0</v>
      </c>
      <c r="D215">
        <v>0</v>
      </c>
      <c r="E215">
        <v>0</v>
      </c>
      <c r="F215">
        <v>0</v>
      </c>
      <c r="G215" t="str">
        <v/>
      </c>
      <c r="H215">
        <v>0</v>
      </c>
    </row>
    <row r="216" spans="2:8" x14ac:dyDescent="0.45">
      <c r="B216">
        <v>0</v>
      </c>
      <c r="C216">
        <v>0</v>
      </c>
      <c r="D216">
        <v>0</v>
      </c>
      <c r="E216">
        <v>0</v>
      </c>
      <c r="F216">
        <v>0</v>
      </c>
      <c r="G216" t="str">
        <v/>
      </c>
      <c r="H216">
        <v>0</v>
      </c>
    </row>
    <row r="217" spans="2:8" x14ac:dyDescent="0.45">
      <c r="B217">
        <v>0</v>
      </c>
      <c r="C217">
        <v>0</v>
      </c>
      <c r="D217">
        <v>0</v>
      </c>
      <c r="E217">
        <v>0</v>
      </c>
      <c r="F217">
        <v>0</v>
      </c>
      <c r="G217" t="str">
        <v/>
      </c>
      <c r="H217">
        <v>0</v>
      </c>
    </row>
    <row r="218" spans="2:8" x14ac:dyDescent="0.45">
      <c r="B218">
        <v>0</v>
      </c>
      <c r="C218">
        <v>0</v>
      </c>
      <c r="D218">
        <v>0</v>
      </c>
      <c r="E218">
        <v>0</v>
      </c>
      <c r="F218">
        <v>0</v>
      </c>
      <c r="G218" t="str">
        <v/>
      </c>
      <c r="H218">
        <v>0</v>
      </c>
    </row>
    <row r="219" spans="2:8" x14ac:dyDescent="0.45">
      <c r="B219">
        <v>0</v>
      </c>
      <c r="C219">
        <v>0</v>
      </c>
      <c r="D219">
        <v>0</v>
      </c>
      <c r="E219">
        <v>0</v>
      </c>
      <c r="F219">
        <v>0</v>
      </c>
      <c r="G219" t="str">
        <v/>
      </c>
      <c r="H219">
        <v>0</v>
      </c>
    </row>
    <row r="220" spans="2:8" x14ac:dyDescent="0.45">
      <c r="B220">
        <v>0</v>
      </c>
      <c r="C220">
        <v>0</v>
      </c>
      <c r="D220">
        <v>0</v>
      </c>
      <c r="E220">
        <v>0</v>
      </c>
      <c r="F220">
        <v>0</v>
      </c>
      <c r="G220" t="str">
        <v/>
      </c>
      <c r="H220">
        <v>0</v>
      </c>
    </row>
    <row r="221" spans="2:8" x14ac:dyDescent="0.45">
      <c r="B221">
        <v>0</v>
      </c>
      <c r="C221">
        <v>0</v>
      </c>
      <c r="D221">
        <v>0</v>
      </c>
      <c r="E221">
        <v>0</v>
      </c>
      <c r="F221">
        <v>0</v>
      </c>
      <c r="G221" t="str">
        <v/>
      </c>
      <c r="H221">
        <v>0</v>
      </c>
    </row>
    <row r="222" spans="2:8" x14ac:dyDescent="0.45">
      <c r="B222">
        <v>0</v>
      </c>
      <c r="C222">
        <v>0</v>
      </c>
      <c r="D222">
        <v>0</v>
      </c>
      <c r="E222">
        <v>0</v>
      </c>
      <c r="F222">
        <v>0</v>
      </c>
      <c r="G222" t="str">
        <v/>
      </c>
      <c r="H222">
        <v>0</v>
      </c>
    </row>
    <row r="223" spans="2:8" x14ac:dyDescent="0.45">
      <c r="B223">
        <v>0</v>
      </c>
      <c r="C223">
        <v>0</v>
      </c>
      <c r="D223">
        <v>0</v>
      </c>
      <c r="E223">
        <v>0</v>
      </c>
      <c r="F223">
        <v>0</v>
      </c>
      <c r="G223" t="str">
        <v/>
      </c>
      <c r="H223">
        <v>0</v>
      </c>
    </row>
    <row r="224" spans="2:8" x14ac:dyDescent="0.45">
      <c r="B224">
        <v>0</v>
      </c>
      <c r="C224">
        <v>0</v>
      </c>
      <c r="D224">
        <v>0</v>
      </c>
      <c r="E224">
        <v>0</v>
      </c>
      <c r="F224">
        <v>0</v>
      </c>
      <c r="G224" t="str">
        <v/>
      </c>
      <c r="H224">
        <v>0</v>
      </c>
    </row>
    <row r="225" spans="2:8" x14ac:dyDescent="0.45">
      <c r="B225">
        <v>0</v>
      </c>
      <c r="C225">
        <v>0</v>
      </c>
      <c r="D225">
        <v>0</v>
      </c>
      <c r="E225">
        <v>0</v>
      </c>
      <c r="F225">
        <v>0</v>
      </c>
      <c r="G225" t="str">
        <v/>
      </c>
      <c r="H225">
        <v>0</v>
      </c>
    </row>
    <row r="226" spans="2:8" x14ac:dyDescent="0.45">
      <c r="B226">
        <v>0</v>
      </c>
      <c r="C226">
        <v>0</v>
      </c>
      <c r="D226">
        <v>0</v>
      </c>
      <c r="E226">
        <v>0</v>
      </c>
      <c r="F226">
        <v>0</v>
      </c>
      <c r="G226" t="str">
        <v/>
      </c>
      <c r="H226">
        <v>0</v>
      </c>
    </row>
    <row r="227" spans="2:8" x14ac:dyDescent="0.45">
      <c r="B227">
        <v>0</v>
      </c>
      <c r="C227">
        <v>0</v>
      </c>
      <c r="D227">
        <v>0</v>
      </c>
      <c r="E227">
        <v>0</v>
      </c>
      <c r="F227">
        <v>0</v>
      </c>
      <c r="G227" t="str">
        <v/>
      </c>
      <c r="H227">
        <v>0</v>
      </c>
    </row>
    <row r="228" spans="2:8" x14ac:dyDescent="0.45">
      <c r="B228">
        <v>0</v>
      </c>
      <c r="C228">
        <v>0</v>
      </c>
      <c r="D228">
        <v>0</v>
      </c>
      <c r="E228">
        <v>0</v>
      </c>
      <c r="F228">
        <v>0</v>
      </c>
      <c r="G228" t="str">
        <v/>
      </c>
      <c r="H228">
        <v>0</v>
      </c>
    </row>
    <row r="229" spans="2:8" x14ac:dyDescent="0.45">
      <c r="B229">
        <v>0</v>
      </c>
      <c r="C229">
        <v>0</v>
      </c>
      <c r="D229">
        <v>0</v>
      </c>
      <c r="E229">
        <v>0</v>
      </c>
      <c r="F229">
        <v>0</v>
      </c>
      <c r="G229" t="str">
        <v/>
      </c>
      <c r="H229">
        <v>0</v>
      </c>
    </row>
    <row r="230" spans="2:8" x14ac:dyDescent="0.45">
      <c r="B230">
        <v>0</v>
      </c>
      <c r="C230">
        <v>0</v>
      </c>
      <c r="D230">
        <v>0</v>
      </c>
      <c r="E230">
        <v>0</v>
      </c>
      <c r="F230">
        <v>0</v>
      </c>
      <c r="G230" t="str">
        <v/>
      </c>
      <c r="H230">
        <v>0</v>
      </c>
    </row>
    <row r="231" spans="2:8" x14ac:dyDescent="0.45">
      <c r="B231">
        <v>0</v>
      </c>
      <c r="C231">
        <v>0</v>
      </c>
      <c r="D231">
        <v>0</v>
      </c>
      <c r="E231">
        <v>0</v>
      </c>
      <c r="F231">
        <v>0</v>
      </c>
      <c r="G231" t="str">
        <v/>
      </c>
      <c r="H231">
        <v>0</v>
      </c>
    </row>
    <row r="232" spans="2:8" x14ac:dyDescent="0.45">
      <c r="B232">
        <v>0</v>
      </c>
      <c r="C232">
        <v>0</v>
      </c>
      <c r="D232">
        <v>0</v>
      </c>
      <c r="E232">
        <v>0</v>
      </c>
      <c r="F232">
        <v>0</v>
      </c>
      <c r="G232" t="str">
        <v/>
      </c>
      <c r="H232">
        <v>0</v>
      </c>
    </row>
    <row r="233" spans="2:8" x14ac:dyDescent="0.45">
      <c r="B233">
        <v>0</v>
      </c>
      <c r="C233">
        <v>0</v>
      </c>
      <c r="D233">
        <v>0</v>
      </c>
      <c r="E233">
        <v>0</v>
      </c>
      <c r="F233">
        <v>0</v>
      </c>
      <c r="G233" t="str">
        <v/>
      </c>
      <c r="H233">
        <v>0</v>
      </c>
    </row>
    <row r="234" spans="2:8" x14ac:dyDescent="0.45">
      <c r="B234">
        <v>0</v>
      </c>
      <c r="C234">
        <v>0</v>
      </c>
      <c r="D234">
        <v>0</v>
      </c>
      <c r="E234">
        <v>0</v>
      </c>
      <c r="F234">
        <v>0</v>
      </c>
      <c r="G234" t="str">
        <v/>
      </c>
      <c r="H234">
        <v>0</v>
      </c>
    </row>
    <row r="235" spans="2:8" x14ac:dyDescent="0.45">
      <c r="B235">
        <v>0</v>
      </c>
      <c r="C235">
        <v>0</v>
      </c>
      <c r="D235">
        <v>0</v>
      </c>
      <c r="E235">
        <v>0</v>
      </c>
      <c r="F235">
        <v>0</v>
      </c>
      <c r="G235" t="str">
        <v/>
      </c>
      <c r="H235">
        <v>0</v>
      </c>
    </row>
    <row r="236" spans="2:8" x14ac:dyDescent="0.45">
      <c r="B236">
        <v>0</v>
      </c>
      <c r="C236">
        <v>0</v>
      </c>
      <c r="D236">
        <v>0</v>
      </c>
      <c r="E236">
        <v>0</v>
      </c>
      <c r="F236">
        <v>0</v>
      </c>
      <c r="G236" t="str">
        <v/>
      </c>
      <c r="H236">
        <v>0</v>
      </c>
    </row>
    <row r="237" spans="2:8" x14ac:dyDescent="0.45">
      <c r="B237">
        <v>0</v>
      </c>
      <c r="C237">
        <v>0</v>
      </c>
      <c r="D237">
        <v>0</v>
      </c>
      <c r="E237">
        <v>0</v>
      </c>
      <c r="F237">
        <v>0</v>
      </c>
      <c r="G237" t="str">
        <v/>
      </c>
      <c r="H237">
        <v>0</v>
      </c>
    </row>
    <row r="238" spans="2:8" x14ac:dyDescent="0.45">
      <c r="B238">
        <v>0</v>
      </c>
      <c r="C238">
        <v>0</v>
      </c>
      <c r="D238">
        <v>0</v>
      </c>
      <c r="E238">
        <v>0</v>
      </c>
      <c r="F238">
        <v>0</v>
      </c>
      <c r="G238" t="str">
        <v/>
      </c>
      <c r="H238">
        <v>0</v>
      </c>
    </row>
    <row r="239" spans="2:8" x14ac:dyDescent="0.45">
      <c r="B239">
        <v>0</v>
      </c>
      <c r="C239">
        <v>0</v>
      </c>
      <c r="D239">
        <v>0</v>
      </c>
      <c r="E239">
        <v>0</v>
      </c>
      <c r="F239">
        <v>0</v>
      </c>
      <c r="G239" t="str">
        <v/>
      </c>
      <c r="H239">
        <v>0</v>
      </c>
    </row>
    <row r="240" spans="2:8" x14ac:dyDescent="0.45">
      <c r="B240">
        <v>0</v>
      </c>
      <c r="C240">
        <v>0</v>
      </c>
      <c r="D240">
        <v>0</v>
      </c>
      <c r="E240">
        <v>0</v>
      </c>
      <c r="F240">
        <v>0</v>
      </c>
      <c r="G240" t="str">
        <v/>
      </c>
      <c r="H240">
        <v>0</v>
      </c>
    </row>
    <row r="241" spans="2:8" x14ac:dyDescent="0.45">
      <c r="B241">
        <v>0</v>
      </c>
      <c r="C241">
        <v>0</v>
      </c>
      <c r="D241">
        <v>0</v>
      </c>
      <c r="E241">
        <v>0</v>
      </c>
      <c r="F241">
        <v>0</v>
      </c>
      <c r="G241" t="str">
        <v/>
      </c>
      <c r="H241">
        <v>0</v>
      </c>
    </row>
    <row r="242" spans="2:8" x14ac:dyDescent="0.45">
      <c r="B242">
        <v>0</v>
      </c>
      <c r="C242">
        <v>0</v>
      </c>
      <c r="D242">
        <v>0</v>
      </c>
      <c r="E242">
        <v>0</v>
      </c>
      <c r="F242">
        <v>0</v>
      </c>
      <c r="G242" t="str">
        <v/>
      </c>
      <c r="H242">
        <v>0</v>
      </c>
    </row>
    <row r="243" spans="2:8" x14ac:dyDescent="0.45">
      <c r="B243">
        <v>0</v>
      </c>
      <c r="C243">
        <v>0</v>
      </c>
      <c r="D243">
        <v>0</v>
      </c>
      <c r="E243">
        <v>0</v>
      </c>
      <c r="F243">
        <v>0</v>
      </c>
      <c r="G243" t="str">
        <v/>
      </c>
      <c r="H243">
        <v>0</v>
      </c>
    </row>
    <row r="244" spans="2:8" x14ac:dyDescent="0.45">
      <c r="B244">
        <v>0</v>
      </c>
      <c r="C244">
        <v>0</v>
      </c>
      <c r="D244">
        <v>0</v>
      </c>
      <c r="E244">
        <v>0</v>
      </c>
      <c r="F244">
        <v>0</v>
      </c>
      <c r="G244" t="str">
        <v/>
      </c>
      <c r="H244">
        <v>0</v>
      </c>
    </row>
    <row r="245" spans="2:8" x14ac:dyDescent="0.45">
      <c r="B245">
        <v>0</v>
      </c>
      <c r="C245">
        <v>0</v>
      </c>
      <c r="D245">
        <v>0</v>
      </c>
      <c r="E245">
        <v>0</v>
      </c>
      <c r="F245">
        <v>0</v>
      </c>
      <c r="G245" t="str">
        <v/>
      </c>
      <c r="H245">
        <v>0</v>
      </c>
    </row>
    <row r="246" spans="2:8" x14ac:dyDescent="0.45">
      <c r="B246">
        <v>0</v>
      </c>
      <c r="C246">
        <v>0</v>
      </c>
      <c r="D246">
        <v>0</v>
      </c>
      <c r="E246">
        <v>0</v>
      </c>
      <c r="F246">
        <v>0</v>
      </c>
      <c r="G246" t="str">
        <v/>
      </c>
      <c r="H246">
        <v>0</v>
      </c>
    </row>
    <row r="247" spans="2:8" x14ac:dyDescent="0.45">
      <c r="B247">
        <v>0</v>
      </c>
      <c r="C247">
        <v>0</v>
      </c>
      <c r="D247">
        <v>0</v>
      </c>
      <c r="E247">
        <v>0</v>
      </c>
      <c r="F247">
        <v>0</v>
      </c>
      <c r="G247" t="str">
        <v/>
      </c>
      <c r="H247">
        <v>0</v>
      </c>
    </row>
    <row r="248" spans="2:8" x14ac:dyDescent="0.45">
      <c r="B248">
        <v>0</v>
      </c>
      <c r="C248">
        <v>0</v>
      </c>
      <c r="D248">
        <v>0</v>
      </c>
      <c r="E248">
        <v>0</v>
      </c>
      <c r="F248">
        <v>0</v>
      </c>
      <c r="G248" t="str">
        <v/>
      </c>
      <c r="H248">
        <v>0</v>
      </c>
    </row>
    <row r="249" spans="2:8" x14ac:dyDescent="0.45">
      <c r="B249">
        <v>0</v>
      </c>
      <c r="C249">
        <v>0</v>
      </c>
      <c r="D249">
        <v>0</v>
      </c>
      <c r="E249">
        <v>0</v>
      </c>
      <c r="F249">
        <v>0</v>
      </c>
      <c r="G249" t="str">
        <v/>
      </c>
      <c r="H249">
        <v>0</v>
      </c>
    </row>
    <row r="250" spans="2:8" x14ac:dyDescent="0.45">
      <c r="B250">
        <v>0</v>
      </c>
      <c r="C250">
        <v>0</v>
      </c>
      <c r="D250">
        <v>0</v>
      </c>
      <c r="E250">
        <v>0</v>
      </c>
      <c r="F250">
        <v>0</v>
      </c>
      <c r="G250" t="str">
        <v/>
      </c>
      <c r="H250">
        <v>0</v>
      </c>
    </row>
    <row r="251" spans="2:8" x14ac:dyDescent="0.45">
      <c r="B251">
        <v>0</v>
      </c>
      <c r="C251">
        <v>0</v>
      </c>
      <c r="D251">
        <v>0</v>
      </c>
      <c r="E251">
        <v>0</v>
      </c>
      <c r="F251">
        <v>0</v>
      </c>
      <c r="G251" t="str">
        <v/>
      </c>
      <c r="H251">
        <v>0</v>
      </c>
    </row>
    <row r="252" spans="2:8" x14ac:dyDescent="0.45">
      <c r="B252">
        <v>0</v>
      </c>
      <c r="C252">
        <v>0</v>
      </c>
      <c r="D252">
        <v>0</v>
      </c>
      <c r="E252">
        <v>0</v>
      </c>
      <c r="F252">
        <v>0</v>
      </c>
      <c r="G252" t="str">
        <v/>
      </c>
      <c r="H252">
        <v>0</v>
      </c>
    </row>
    <row r="253" spans="2:8" x14ac:dyDescent="0.45">
      <c r="B253">
        <v>0</v>
      </c>
      <c r="C253">
        <v>0</v>
      </c>
      <c r="D253">
        <v>0</v>
      </c>
      <c r="E253">
        <v>0</v>
      </c>
      <c r="F253">
        <v>0</v>
      </c>
      <c r="G253" t="str">
        <v/>
      </c>
      <c r="H253">
        <v>0</v>
      </c>
    </row>
    <row r="254" spans="2:8" x14ac:dyDescent="0.45">
      <c r="B254">
        <v>0</v>
      </c>
      <c r="C254">
        <v>0</v>
      </c>
      <c r="D254">
        <v>0</v>
      </c>
      <c r="E254">
        <v>0</v>
      </c>
      <c r="F254">
        <v>0</v>
      </c>
      <c r="G254" t="str">
        <v/>
      </c>
      <c r="H254">
        <v>0</v>
      </c>
    </row>
    <row r="255" spans="2:8" x14ac:dyDescent="0.45">
      <c r="B255">
        <v>0</v>
      </c>
      <c r="C255">
        <v>0</v>
      </c>
      <c r="D255">
        <v>0</v>
      </c>
      <c r="E255">
        <v>0</v>
      </c>
      <c r="F255">
        <v>0</v>
      </c>
      <c r="G255" t="str">
        <v/>
      </c>
      <c r="H255">
        <v>0</v>
      </c>
    </row>
    <row r="256" spans="2:8" x14ac:dyDescent="0.45">
      <c r="B256">
        <v>0</v>
      </c>
      <c r="C256">
        <v>0</v>
      </c>
      <c r="D256">
        <v>0</v>
      </c>
      <c r="E256">
        <v>0</v>
      </c>
      <c r="F256">
        <v>0</v>
      </c>
      <c r="G256" t="str">
        <v/>
      </c>
      <c r="H256">
        <v>0</v>
      </c>
    </row>
    <row r="257" spans="2:8" x14ac:dyDescent="0.45">
      <c r="B257">
        <v>0</v>
      </c>
      <c r="C257">
        <v>0</v>
      </c>
      <c r="D257">
        <v>0</v>
      </c>
      <c r="E257">
        <v>0</v>
      </c>
      <c r="F257">
        <v>0</v>
      </c>
      <c r="G257" t="str">
        <v/>
      </c>
      <c r="H257">
        <v>0</v>
      </c>
    </row>
    <row r="258" spans="2:8" x14ac:dyDescent="0.45">
      <c r="B258">
        <v>0</v>
      </c>
      <c r="C258">
        <v>0</v>
      </c>
      <c r="D258">
        <v>0</v>
      </c>
      <c r="E258">
        <v>0</v>
      </c>
      <c r="F258">
        <v>0</v>
      </c>
      <c r="G258" t="str">
        <v/>
      </c>
      <c r="H258">
        <v>0</v>
      </c>
    </row>
    <row r="259" spans="2:8" x14ac:dyDescent="0.45">
      <c r="B259">
        <v>0</v>
      </c>
      <c r="C259">
        <v>0</v>
      </c>
      <c r="D259">
        <v>0</v>
      </c>
      <c r="E259">
        <v>0</v>
      </c>
      <c r="F259">
        <v>0</v>
      </c>
      <c r="G259" t="str">
        <v/>
      </c>
      <c r="H259">
        <v>0</v>
      </c>
    </row>
    <row r="260" spans="2:8" x14ac:dyDescent="0.45">
      <c r="B260">
        <v>0</v>
      </c>
      <c r="C260">
        <v>0</v>
      </c>
      <c r="D260">
        <v>0</v>
      </c>
      <c r="E260">
        <v>0</v>
      </c>
      <c r="F260">
        <v>0</v>
      </c>
      <c r="G260" t="str">
        <v/>
      </c>
      <c r="H260">
        <v>0</v>
      </c>
    </row>
    <row r="261" spans="2:8" x14ac:dyDescent="0.45">
      <c r="B261">
        <v>0</v>
      </c>
      <c r="C261">
        <v>0</v>
      </c>
      <c r="D261">
        <v>0</v>
      </c>
      <c r="E261">
        <v>0</v>
      </c>
      <c r="F261">
        <v>0</v>
      </c>
      <c r="G261" t="str">
        <v/>
      </c>
      <c r="H261">
        <v>0</v>
      </c>
    </row>
    <row r="262" spans="2:8" x14ac:dyDescent="0.45">
      <c r="B262">
        <v>0</v>
      </c>
      <c r="C262">
        <v>0</v>
      </c>
      <c r="D262">
        <v>0</v>
      </c>
      <c r="E262">
        <v>0</v>
      </c>
      <c r="F262">
        <v>0</v>
      </c>
      <c r="G262" t="str">
        <v/>
      </c>
      <c r="H262">
        <v>0</v>
      </c>
    </row>
    <row r="263" spans="2:8" x14ac:dyDescent="0.45">
      <c r="B263">
        <v>0</v>
      </c>
      <c r="C263">
        <v>0</v>
      </c>
      <c r="D263">
        <v>0</v>
      </c>
      <c r="E263">
        <v>0</v>
      </c>
      <c r="F263">
        <v>0</v>
      </c>
      <c r="G263" t="str">
        <v/>
      </c>
      <c r="H263">
        <v>0</v>
      </c>
    </row>
    <row r="264" spans="2:8" x14ac:dyDescent="0.45">
      <c r="B264">
        <v>0</v>
      </c>
      <c r="C264">
        <v>0</v>
      </c>
      <c r="D264">
        <v>0</v>
      </c>
      <c r="E264">
        <v>0</v>
      </c>
      <c r="F264">
        <v>0</v>
      </c>
      <c r="G264" t="str">
        <v/>
      </c>
      <c r="H264">
        <v>0</v>
      </c>
    </row>
    <row r="265" spans="2:8" x14ac:dyDescent="0.45">
      <c r="B265">
        <v>0</v>
      </c>
      <c r="C265">
        <v>0</v>
      </c>
      <c r="D265">
        <v>0</v>
      </c>
      <c r="E265">
        <v>0</v>
      </c>
      <c r="F265">
        <v>0</v>
      </c>
      <c r="G265" t="str">
        <v/>
      </c>
      <c r="H265">
        <v>0</v>
      </c>
    </row>
    <row r="266" spans="2:8" x14ac:dyDescent="0.45">
      <c r="B266">
        <v>0</v>
      </c>
      <c r="C266">
        <v>0</v>
      </c>
      <c r="D266">
        <v>0</v>
      </c>
      <c r="E266">
        <v>0</v>
      </c>
      <c r="F266">
        <v>0</v>
      </c>
      <c r="G266" t="str">
        <v/>
      </c>
      <c r="H266">
        <v>0</v>
      </c>
    </row>
    <row r="267" spans="2:8" x14ac:dyDescent="0.45">
      <c r="B267">
        <v>0</v>
      </c>
      <c r="C267">
        <v>0</v>
      </c>
      <c r="D267">
        <v>0</v>
      </c>
      <c r="E267">
        <v>0</v>
      </c>
      <c r="F267">
        <v>0</v>
      </c>
      <c r="G267" t="str">
        <v/>
      </c>
      <c r="H267">
        <v>0</v>
      </c>
    </row>
    <row r="268" spans="2:8" x14ac:dyDescent="0.45">
      <c r="B268">
        <v>0</v>
      </c>
      <c r="C268">
        <v>0</v>
      </c>
      <c r="D268">
        <v>0</v>
      </c>
      <c r="E268">
        <v>0</v>
      </c>
      <c r="F268">
        <v>0</v>
      </c>
      <c r="G268" t="str">
        <v/>
      </c>
      <c r="H268">
        <v>0</v>
      </c>
    </row>
    <row r="269" spans="2:8" x14ac:dyDescent="0.45">
      <c r="B269">
        <v>0</v>
      </c>
      <c r="C269">
        <v>0</v>
      </c>
      <c r="D269">
        <v>0</v>
      </c>
      <c r="E269">
        <v>0</v>
      </c>
      <c r="F269">
        <v>0</v>
      </c>
      <c r="G269" t="str">
        <v/>
      </c>
      <c r="H269">
        <v>0</v>
      </c>
    </row>
    <row r="270" spans="2:8" x14ac:dyDescent="0.45">
      <c r="B270">
        <v>0</v>
      </c>
      <c r="C270">
        <v>0</v>
      </c>
      <c r="D270">
        <v>0</v>
      </c>
      <c r="E270">
        <v>0</v>
      </c>
      <c r="F270">
        <v>0</v>
      </c>
      <c r="G270" t="str">
        <v/>
      </c>
      <c r="H270">
        <v>0</v>
      </c>
    </row>
    <row r="271" spans="2:8" x14ac:dyDescent="0.45">
      <c r="B271">
        <v>0</v>
      </c>
      <c r="C271">
        <v>0</v>
      </c>
      <c r="D271">
        <v>0</v>
      </c>
      <c r="E271">
        <v>0</v>
      </c>
      <c r="F271">
        <v>0</v>
      </c>
      <c r="G271" t="str">
        <v/>
      </c>
      <c r="H271">
        <v>0</v>
      </c>
    </row>
    <row r="272" spans="2:8" x14ac:dyDescent="0.45">
      <c r="B272">
        <v>0</v>
      </c>
      <c r="C272">
        <v>0</v>
      </c>
      <c r="D272">
        <v>0</v>
      </c>
      <c r="E272">
        <v>0</v>
      </c>
      <c r="F272">
        <v>0</v>
      </c>
      <c r="G272" t="str">
        <v/>
      </c>
      <c r="H272">
        <v>0</v>
      </c>
    </row>
    <row r="273" spans="2:8" x14ac:dyDescent="0.45">
      <c r="B273">
        <v>0</v>
      </c>
      <c r="C273">
        <v>0</v>
      </c>
      <c r="D273">
        <v>0</v>
      </c>
      <c r="E273">
        <v>0</v>
      </c>
      <c r="F273">
        <v>0</v>
      </c>
      <c r="G273" t="str">
        <v/>
      </c>
      <c r="H273">
        <v>0</v>
      </c>
    </row>
    <row r="274" spans="2:8" x14ac:dyDescent="0.45">
      <c r="B274">
        <v>0</v>
      </c>
      <c r="C274">
        <v>0</v>
      </c>
      <c r="D274">
        <v>0</v>
      </c>
      <c r="E274">
        <v>0</v>
      </c>
      <c r="F274">
        <v>0</v>
      </c>
      <c r="G274" t="str">
        <v/>
      </c>
      <c r="H274">
        <v>0</v>
      </c>
    </row>
    <row r="275" spans="2:8" x14ac:dyDescent="0.45">
      <c r="B275">
        <v>0</v>
      </c>
      <c r="C275">
        <v>0</v>
      </c>
      <c r="D275">
        <v>0</v>
      </c>
      <c r="E275">
        <v>0</v>
      </c>
      <c r="F275">
        <v>0</v>
      </c>
      <c r="G275" t="str">
        <v/>
      </c>
      <c r="H275">
        <v>0</v>
      </c>
    </row>
    <row r="276" spans="2:8" x14ac:dyDescent="0.45">
      <c r="B276">
        <v>0</v>
      </c>
      <c r="C276">
        <v>0</v>
      </c>
      <c r="D276">
        <v>0</v>
      </c>
      <c r="E276">
        <v>0</v>
      </c>
      <c r="F276">
        <v>0</v>
      </c>
      <c r="G276" t="str">
        <v/>
      </c>
      <c r="H276">
        <v>0</v>
      </c>
    </row>
    <row r="277" spans="2:8" x14ac:dyDescent="0.45">
      <c r="B277">
        <v>0</v>
      </c>
      <c r="C277">
        <v>0</v>
      </c>
      <c r="D277">
        <v>0</v>
      </c>
      <c r="E277">
        <v>0</v>
      </c>
      <c r="F277">
        <v>0</v>
      </c>
      <c r="G277" t="str">
        <v/>
      </c>
      <c r="H277">
        <v>0</v>
      </c>
    </row>
    <row r="278" spans="2:8" x14ac:dyDescent="0.45">
      <c r="B278">
        <v>0</v>
      </c>
      <c r="C278">
        <v>0</v>
      </c>
      <c r="D278">
        <v>0</v>
      </c>
      <c r="E278">
        <v>0</v>
      </c>
      <c r="F278">
        <v>0</v>
      </c>
      <c r="G278" t="str">
        <v/>
      </c>
      <c r="H278">
        <v>0</v>
      </c>
    </row>
    <row r="279" spans="2:8" x14ac:dyDescent="0.45">
      <c r="B279">
        <v>0</v>
      </c>
      <c r="C279">
        <v>0</v>
      </c>
      <c r="D279">
        <v>0</v>
      </c>
      <c r="E279">
        <v>0</v>
      </c>
      <c r="F279">
        <v>0</v>
      </c>
      <c r="G279" t="str">
        <v/>
      </c>
      <c r="H279">
        <v>0</v>
      </c>
    </row>
    <row r="280" spans="2:8" x14ac:dyDescent="0.45">
      <c r="B280">
        <v>0</v>
      </c>
      <c r="C280">
        <v>0</v>
      </c>
      <c r="D280">
        <v>0</v>
      </c>
      <c r="E280">
        <v>0</v>
      </c>
      <c r="F280">
        <v>0</v>
      </c>
      <c r="G280" t="str">
        <v/>
      </c>
      <c r="H280">
        <v>0</v>
      </c>
    </row>
    <row r="281" spans="2:8" x14ac:dyDescent="0.45">
      <c r="B281">
        <v>0</v>
      </c>
      <c r="C281">
        <v>0</v>
      </c>
      <c r="D281">
        <v>0</v>
      </c>
      <c r="E281">
        <v>0</v>
      </c>
      <c r="F281">
        <v>0</v>
      </c>
      <c r="G281" t="str">
        <v/>
      </c>
      <c r="H281">
        <v>0</v>
      </c>
    </row>
    <row r="282" spans="2:8" x14ac:dyDescent="0.45">
      <c r="B282">
        <v>0</v>
      </c>
      <c r="C282">
        <v>0</v>
      </c>
      <c r="D282">
        <v>0</v>
      </c>
      <c r="E282">
        <v>0</v>
      </c>
      <c r="F282">
        <v>0</v>
      </c>
      <c r="G282" t="str">
        <v/>
      </c>
      <c r="H282">
        <v>0</v>
      </c>
    </row>
    <row r="283" spans="2:8" x14ac:dyDescent="0.45">
      <c r="B283">
        <v>0</v>
      </c>
      <c r="C283">
        <v>0</v>
      </c>
      <c r="D283">
        <v>0</v>
      </c>
      <c r="E283">
        <v>0</v>
      </c>
      <c r="F283">
        <v>0</v>
      </c>
      <c r="G283" t="str">
        <v/>
      </c>
      <c r="H283">
        <v>0</v>
      </c>
    </row>
    <row r="284" spans="2:8" x14ac:dyDescent="0.45">
      <c r="B284">
        <v>0</v>
      </c>
      <c r="C284">
        <v>0</v>
      </c>
      <c r="D284">
        <v>0</v>
      </c>
      <c r="E284">
        <v>0</v>
      </c>
      <c r="F284">
        <v>0</v>
      </c>
      <c r="G284" t="str">
        <v/>
      </c>
      <c r="H284">
        <v>0</v>
      </c>
    </row>
    <row r="285" spans="2:8" x14ac:dyDescent="0.45">
      <c r="B285">
        <v>0</v>
      </c>
      <c r="C285">
        <v>0</v>
      </c>
      <c r="D285">
        <v>0</v>
      </c>
      <c r="E285">
        <v>0</v>
      </c>
      <c r="F285">
        <v>0</v>
      </c>
      <c r="G285" t="str">
        <v/>
      </c>
      <c r="H285">
        <v>0</v>
      </c>
    </row>
    <row r="286" spans="2:8" x14ac:dyDescent="0.45">
      <c r="B286">
        <v>0</v>
      </c>
      <c r="C286">
        <v>0</v>
      </c>
      <c r="D286">
        <v>0</v>
      </c>
      <c r="E286">
        <v>0</v>
      </c>
      <c r="F286">
        <v>0</v>
      </c>
      <c r="G286" t="str">
        <v/>
      </c>
      <c r="H286">
        <v>0</v>
      </c>
    </row>
    <row r="287" spans="2:8" x14ac:dyDescent="0.45">
      <c r="B287">
        <v>0</v>
      </c>
      <c r="C287">
        <v>0</v>
      </c>
      <c r="D287">
        <v>0</v>
      </c>
      <c r="E287">
        <v>0</v>
      </c>
      <c r="F287">
        <v>0</v>
      </c>
      <c r="G287" t="str">
        <v/>
      </c>
      <c r="H287">
        <v>0</v>
      </c>
    </row>
    <row r="288" spans="2:8" x14ac:dyDescent="0.45">
      <c r="B288">
        <v>0</v>
      </c>
      <c r="C288">
        <v>0</v>
      </c>
      <c r="D288">
        <v>0</v>
      </c>
      <c r="E288">
        <v>0</v>
      </c>
      <c r="F288">
        <v>0</v>
      </c>
      <c r="G288" t="str">
        <v/>
      </c>
      <c r="H288">
        <v>0</v>
      </c>
    </row>
    <row r="289" spans="2:8" x14ac:dyDescent="0.45">
      <c r="B289">
        <v>0</v>
      </c>
      <c r="C289">
        <v>0</v>
      </c>
      <c r="D289">
        <v>0</v>
      </c>
      <c r="E289">
        <v>0</v>
      </c>
      <c r="F289">
        <v>0</v>
      </c>
      <c r="G289" t="str">
        <v/>
      </c>
      <c r="H289">
        <v>0</v>
      </c>
    </row>
    <row r="290" spans="2:8" x14ac:dyDescent="0.45">
      <c r="B290">
        <v>0</v>
      </c>
      <c r="C290">
        <v>0</v>
      </c>
      <c r="D290">
        <v>0</v>
      </c>
      <c r="E290">
        <v>0</v>
      </c>
      <c r="F290">
        <v>0</v>
      </c>
      <c r="G290" t="str">
        <v/>
      </c>
      <c r="H290">
        <v>0</v>
      </c>
    </row>
    <row r="291" spans="2:8" x14ac:dyDescent="0.45">
      <c r="B291">
        <v>0</v>
      </c>
      <c r="C291">
        <v>0</v>
      </c>
      <c r="D291">
        <v>0</v>
      </c>
      <c r="E291">
        <v>0</v>
      </c>
      <c r="F291">
        <v>0</v>
      </c>
      <c r="G291" t="str">
        <v/>
      </c>
      <c r="H291">
        <v>0</v>
      </c>
    </row>
    <row r="292" spans="2:8" x14ac:dyDescent="0.45">
      <c r="B292">
        <v>0</v>
      </c>
      <c r="C292">
        <v>0</v>
      </c>
      <c r="D292">
        <v>0</v>
      </c>
      <c r="E292">
        <v>0</v>
      </c>
      <c r="F292">
        <v>0</v>
      </c>
      <c r="G292" t="str">
        <v/>
      </c>
      <c r="H292">
        <v>0</v>
      </c>
    </row>
    <row r="293" spans="2:8" x14ac:dyDescent="0.45">
      <c r="B293">
        <v>0</v>
      </c>
      <c r="C293">
        <v>0</v>
      </c>
      <c r="D293">
        <v>0</v>
      </c>
      <c r="E293">
        <v>0</v>
      </c>
      <c r="F293">
        <v>0</v>
      </c>
      <c r="G293" t="str">
        <v/>
      </c>
      <c r="H293">
        <v>0</v>
      </c>
    </row>
    <row r="294" spans="2:8" x14ac:dyDescent="0.45">
      <c r="B294">
        <v>0</v>
      </c>
      <c r="C294">
        <v>0</v>
      </c>
      <c r="D294">
        <v>0</v>
      </c>
      <c r="E294">
        <v>0</v>
      </c>
      <c r="F294">
        <v>0</v>
      </c>
      <c r="G294" t="str">
        <v/>
      </c>
      <c r="H294">
        <v>0</v>
      </c>
    </row>
    <row r="295" spans="2:8" x14ac:dyDescent="0.45">
      <c r="B295">
        <v>0</v>
      </c>
      <c r="C295">
        <v>0</v>
      </c>
      <c r="D295">
        <v>0</v>
      </c>
      <c r="E295">
        <v>0</v>
      </c>
      <c r="F295">
        <v>0</v>
      </c>
      <c r="G295" t="str">
        <v/>
      </c>
      <c r="H295">
        <v>0</v>
      </c>
    </row>
    <row r="296" spans="2:8" x14ac:dyDescent="0.45">
      <c r="B296">
        <v>0</v>
      </c>
      <c r="C296">
        <v>0</v>
      </c>
      <c r="D296">
        <v>0</v>
      </c>
      <c r="E296">
        <v>0</v>
      </c>
      <c r="F296">
        <v>0</v>
      </c>
      <c r="G296" t="str">
        <v/>
      </c>
      <c r="H296">
        <v>0</v>
      </c>
    </row>
    <row r="297" spans="2:8" x14ac:dyDescent="0.45">
      <c r="B297">
        <v>0</v>
      </c>
      <c r="C297">
        <v>0</v>
      </c>
      <c r="D297">
        <v>0</v>
      </c>
      <c r="E297">
        <v>0</v>
      </c>
      <c r="F297">
        <v>0</v>
      </c>
      <c r="G297" t="str">
        <v/>
      </c>
      <c r="H297">
        <v>0</v>
      </c>
    </row>
    <row r="298" spans="2:8" x14ac:dyDescent="0.45">
      <c r="B298">
        <v>0</v>
      </c>
      <c r="C298">
        <v>0</v>
      </c>
      <c r="D298">
        <v>0</v>
      </c>
      <c r="E298">
        <v>0</v>
      </c>
      <c r="F298">
        <v>0</v>
      </c>
      <c r="G298" t="str">
        <v/>
      </c>
      <c r="H298">
        <v>0</v>
      </c>
    </row>
    <row r="299" spans="2:8" x14ac:dyDescent="0.45">
      <c r="B299">
        <v>0</v>
      </c>
      <c r="C299">
        <v>0</v>
      </c>
      <c r="D299">
        <v>0</v>
      </c>
      <c r="E299">
        <v>0</v>
      </c>
      <c r="F299">
        <v>0</v>
      </c>
      <c r="G299" t="str">
        <v/>
      </c>
      <c r="H299">
        <v>0</v>
      </c>
    </row>
    <row r="300" spans="2:8" x14ac:dyDescent="0.45">
      <c r="B300">
        <v>0</v>
      </c>
      <c r="C300">
        <v>0</v>
      </c>
      <c r="D300">
        <v>0</v>
      </c>
      <c r="E300">
        <v>0</v>
      </c>
      <c r="F300">
        <v>0</v>
      </c>
      <c r="G300" t="str">
        <v/>
      </c>
      <c r="H300">
        <v>0</v>
      </c>
    </row>
    <row r="301" spans="2:8" x14ac:dyDescent="0.45">
      <c r="B301">
        <v>0</v>
      </c>
      <c r="C301">
        <v>0</v>
      </c>
      <c r="D301">
        <v>0</v>
      </c>
      <c r="E301">
        <v>0</v>
      </c>
      <c r="F301">
        <v>0</v>
      </c>
      <c r="G301" t="str">
        <v/>
      </c>
      <c r="H301">
        <v>0</v>
      </c>
    </row>
    <row r="302" spans="2:8" x14ac:dyDescent="0.45">
      <c r="B302">
        <v>0</v>
      </c>
      <c r="C302">
        <v>0</v>
      </c>
      <c r="D302">
        <v>0</v>
      </c>
      <c r="E302">
        <v>0</v>
      </c>
      <c r="F302">
        <v>0</v>
      </c>
      <c r="G302" t="str">
        <v/>
      </c>
      <c r="H302">
        <v>0</v>
      </c>
    </row>
    <row r="303" spans="2:8" x14ac:dyDescent="0.45">
      <c r="B303">
        <v>0</v>
      </c>
      <c r="C303">
        <v>0</v>
      </c>
      <c r="D303">
        <v>0</v>
      </c>
      <c r="E303">
        <v>0</v>
      </c>
      <c r="F303">
        <v>0</v>
      </c>
      <c r="G303" t="str">
        <v/>
      </c>
      <c r="H303">
        <v>0</v>
      </c>
    </row>
    <row r="304" spans="2:8" x14ac:dyDescent="0.45">
      <c r="B304">
        <v>0</v>
      </c>
      <c r="C304">
        <v>0</v>
      </c>
      <c r="D304">
        <v>0</v>
      </c>
      <c r="E304">
        <v>0</v>
      </c>
      <c r="F304">
        <v>0</v>
      </c>
      <c r="G304" t="str">
        <v/>
      </c>
      <c r="H304">
        <v>0</v>
      </c>
    </row>
    <row r="305" spans="2:8" x14ac:dyDescent="0.45">
      <c r="B305">
        <v>0</v>
      </c>
      <c r="C305">
        <v>0</v>
      </c>
      <c r="D305">
        <v>0</v>
      </c>
      <c r="E305">
        <v>0</v>
      </c>
      <c r="F305">
        <v>0</v>
      </c>
      <c r="G305" t="str">
        <v/>
      </c>
      <c r="H305">
        <v>0</v>
      </c>
    </row>
    <row r="306" spans="2:8" x14ac:dyDescent="0.45">
      <c r="B306">
        <v>0</v>
      </c>
      <c r="C306">
        <v>0</v>
      </c>
      <c r="D306">
        <v>0</v>
      </c>
      <c r="E306">
        <v>0</v>
      </c>
      <c r="F306">
        <v>0</v>
      </c>
      <c r="G306" t="str">
        <v/>
      </c>
      <c r="H306">
        <v>0</v>
      </c>
    </row>
    <row r="307" spans="2:8" x14ac:dyDescent="0.45">
      <c r="B307">
        <v>0</v>
      </c>
      <c r="C307">
        <v>0</v>
      </c>
      <c r="D307">
        <v>0</v>
      </c>
      <c r="E307">
        <v>0</v>
      </c>
      <c r="F307">
        <v>0</v>
      </c>
      <c r="G307" t="str">
        <v/>
      </c>
      <c r="H307">
        <v>0</v>
      </c>
    </row>
    <row r="308" spans="2:8" x14ac:dyDescent="0.45">
      <c r="B308">
        <v>0</v>
      </c>
      <c r="C308">
        <v>0</v>
      </c>
      <c r="D308">
        <v>0</v>
      </c>
      <c r="E308">
        <v>0</v>
      </c>
      <c r="F308">
        <v>0</v>
      </c>
      <c r="G308" t="str">
        <v/>
      </c>
      <c r="H308">
        <v>0</v>
      </c>
    </row>
    <row r="309" spans="2:8" x14ac:dyDescent="0.45">
      <c r="B309">
        <v>0</v>
      </c>
      <c r="C309">
        <v>0</v>
      </c>
      <c r="D309">
        <v>0</v>
      </c>
      <c r="E309">
        <v>0</v>
      </c>
      <c r="F309">
        <v>0</v>
      </c>
      <c r="G309" t="str">
        <v/>
      </c>
      <c r="H309">
        <v>0</v>
      </c>
    </row>
    <row r="310" spans="2:8" x14ac:dyDescent="0.45">
      <c r="B310">
        <v>0</v>
      </c>
      <c r="C310">
        <v>0</v>
      </c>
      <c r="D310">
        <v>0</v>
      </c>
      <c r="E310">
        <v>0</v>
      </c>
      <c r="F310">
        <v>0</v>
      </c>
      <c r="G310" t="str">
        <v/>
      </c>
      <c r="H310">
        <v>0</v>
      </c>
    </row>
    <row r="311" spans="2:8" x14ac:dyDescent="0.45">
      <c r="B311">
        <v>0</v>
      </c>
      <c r="C311">
        <v>0</v>
      </c>
      <c r="D311">
        <v>0</v>
      </c>
      <c r="E311">
        <v>0</v>
      </c>
      <c r="F311">
        <v>0</v>
      </c>
      <c r="G311" t="str">
        <v/>
      </c>
      <c r="H311">
        <v>0</v>
      </c>
    </row>
    <row r="312" spans="2:8" x14ac:dyDescent="0.45">
      <c r="B312">
        <v>0</v>
      </c>
      <c r="C312">
        <v>0</v>
      </c>
      <c r="D312">
        <v>0</v>
      </c>
      <c r="E312">
        <v>0</v>
      </c>
      <c r="F312">
        <v>0</v>
      </c>
      <c r="G312" t="str">
        <v/>
      </c>
      <c r="H312">
        <v>0</v>
      </c>
    </row>
    <row r="313" spans="2:8" x14ac:dyDescent="0.45">
      <c r="B313">
        <v>0</v>
      </c>
      <c r="C313">
        <v>0</v>
      </c>
      <c r="D313">
        <v>0</v>
      </c>
      <c r="E313">
        <v>0</v>
      </c>
      <c r="F313">
        <v>0</v>
      </c>
      <c r="G313" t="str">
        <v/>
      </c>
      <c r="H313">
        <v>0</v>
      </c>
    </row>
    <row r="314" spans="2:8" x14ac:dyDescent="0.45">
      <c r="B314">
        <v>0</v>
      </c>
      <c r="C314">
        <v>0</v>
      </c>
      <c r="D314">
        <v>0</v>
      </c>
      <c r="E314">
        <v>0</v>
      </c>
      <c r="F314">
        <v>0</v>
      </c>
      <c r="G314" t="str">
        <v/>
      </c>
      <c r="H314">
        <v>0</v>
      </c>
    </row>
    <row r="315" spans="2:8" x14ac:dyDescent="0.45">
      <c r="B315">
        <v>0</v>
      </c>
      <c r="C315">
        <v>0</v>
      </c>
      <c r="D315">
        <v>0</v>
      </c>
      <c r="E315">
        <v>0</v>
      </c>
      <c r="F315">
        <v>0</v>
      </c>
      <c r="G315" t="str">
        <v/>
      </c>
      <c r="H315">
        <v>0</v>
      </c>
    </row>
    <row r="316" spans="2:8" x14ac:dyDescent="0.45">
      <c r="B316">
        <v>0</v>
      </c>
      <c r="C316">
        <v>0</v>
      </c>
      <c r="D316">
        <v>0</v>
      </c>
      <c r="E316">
        <v>0</v>
      </c>
      <c r="F316">
        <v>0</v>
      </c>
      <c r="G316" t="str">
        <v/>
      </c>
      <c r="H316">
        <v>0</v>
      </c>
    </row>
    <row r="317" spans="2:8" x14ac:dyDescent="0.45">
      <c r="B317">
        <v>0</v>
      </c>
      <c r="C317">
        <v>0</v>
      </c>
      <c r="D317">
        <v>0</v>
      </c>
      <c r="E317">
        <v>0</v>
      </c>
      <c r="F317">
        <v>0</v>
      </c>
      <c r="G317" t="str">
        <v/>
      </c>
      <c r="H317">
        <v>0</v>
      </c>
    </row>
    <row r="318" spans="2:8" x14ac:dyDescent="0.45">
      <c r="B318">
        <v>0</v>
      </c>
      <c r="C318">
        <v>0</v>
      </c>
      <c r="D318">
        <v>0</v>
      </c>
      <c r="E318">
        <v>0</v>
      </c>
      <c r="F318">
        <v>0</v>
      </c>
      <c r="G318" t="str">
        <v/>
      </c>
      <c r="H318">
        <v>0</v>
      </c>
    </row>
    <row r="319" spans="2:8" x14ac:dyDescent="0.45">
      <c r="B319">
        <v>0</v>
      </c>
      <c r="C319">
        <v>0</v>
      </c>
      <c r="D319">
        <v>0</v>
      </c>
      <c r="E319">
        <v>0</v>
      </c>
      <c r="F319">
        <v>0</v>
      </c>
      <c r="G319" t="str">
        <v/>
      </c>
      <c r="H319">
        <v>0</v>
      </c>
    </row>
    <row r="320" spans="2:8" x14ac:dyDescent="0.45">
      <c r="B320">
        <v>0</v>
      </c>
      <c r="C320">
        <v>0</v>
      </c>
      <c r="D320">
        <v>0</v>
      </c>
      <c r="E320">
        <v>0</v>
      </c>
      <c r="F320">
        <v>0</v>
      </c>
      <c r="G320" t="str">
        <v/>
      </c>
      <c r="H320">
        <v>0</v>
      </c>
    </row>
    <row r="321" spans="2:8" x14ac:dyDescent="0.45">
      <c r="B321">
        <v>0</v>
      </c>
      <c r="C321">
        <v>0</v>
      </c>
      <c r="D321">
        <v>0</v>
      </c>
      <c r="E321">
        <v>0</v>
      </c>
      <c r="F321">
        <v>0</v>
      </c>
      <c r="G321" t="str">
        <v/>
      </c>
      <c r="H321">
        <v>0</v>
      </c>
    </row>
    <row r="322" spans="2:8" x14ac:dyDescent="0.45">
      <c r="B322">
        <v>0</v>
      </c>
      <c r="C322">
        <v>0</v>
      </c>
      <c r="D322">
        <v>0</v>
      </c>
      <c r="E322">
        <v>0</v>
      </c>
      <c r="F322">
        <v>0</v>
      </c>
      <c r="G322" t="str">
        <v/>
      </c>
      <c r="H322">
        <v>0</v>
      </c>
    </row>
    <row r="323" spans="2:8" x14ac:dyDescent="0.45">
      <c r="B323">
        <v>0</v>
      </c>
      <c r="C323">
        <v>0</v>
      </c>
      <c r="D323">
        <v>0</v>
      </c>
      <c r="E323">
        <v>0</v>
      </c>
      <c r="F323">
        <v>0</v>
      </c>
      <c r="G323" t="str">
        <v/>
      </c>
      <c r="H323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E1752-D4B3-48B8-9F35-54F92C1F4104}">
  <dimension ref="B3:G324"/>
  <sheetViews>
    <sheetView workbookViewId="0">
      <selection activeCell="G5" sqref="G5"/>
    </sheetView>
  </sheetViews>
  <sheetFormatPr defaultRowHeight="14.25" x14ac:dyDescent="0.45"/>
  <cols>
    <col min="4" max="4" width="12.19921875" bestFit="1" customWidth="1"/>
    <col min="7" max="7" width="34.3984375" bestFit="1" customWidth="1"/>
  </cols>
  <sheetData>
    <row r="3" spans="2:7" x14ac:dyDescent="0.45">
      <c r="B3" t="str" cm="1">
        <f t="array" ref="B3:C324">'SPORTS GENIUS'!P5:Q326</f>
        <v>D184</v>
      </c>
      <c r="C3">
        <v>15</v>
      </c>
      <c r="D3" t="str" cm="1">
        <f t="array" ref="D3:G324">'SPORTS GENIUS'!L5:O326</f>
        <v>SUPER SENIOR</v>
      </c>
      <c r="E3" t="str">
        <v>FANT</v>
      </c>
      <c r="F3">
        <v>1</v>
      </c>
      <c r="G3" t="str">
        <v>YASEEN</v>
      </c>
    </row>
    <row r="4" spans="2:7" x14ac:dyDescent="0.45">
      <c r="B4" t="str">
        <v>D174</v>
      </c>
      <c r="C4">
        <v>14</v>
      </c>
      <c r="D4" t="str">
        <v>SUPER SENIOR</v>
      </c>
      <c r="E4" t="str">
        <v>BADF</v>
      </c>
      <c r="F4">
        <v>2</v>
      </c>
      <c r="G4" t="str">
        <v>BADRUDHIN A</v>
      </c>
    </row>
    <row r="5" spans="2:7" x14ac:dyDescent="0.45">
      <c r="B5" t="str">
        <v>B164</v>
      </c>
      <c r="C5">
        <v>13</v>
      </c>
      <c r="D5" t="str">
        <v>JUNIOR</v>
      </c>
      <c r="E5" t="str">
        <v>BADF</v>
      </c>
      <c r="F5">
        <v>3</v>
      </c>
      <c r="G5" t="str">
        <v>RASALUL AMEEN T</v>
      </c>
    </row>
    <row r="6" spans="2:7" x14ac:dyDescent="0.45">
      <c r="B6" t="str">
        <v>B148</v>
      </c>
      <c r="C6">
        <v>13</v>
      </c>
      <c r="D6" t="str">
        <v>JUNIOR</v>
      </c>
      <c r="E6" t="str">
        <v>JARF</v>
      </c>
      <c r="F6">
        <v>3</v>
      </c>
      <c r="G6" t="str">
        <v>MOHAMMED BAQIR TS</v>
      </c>
    </row>
    <row r="7" spans="2:7" x14ac:dyDescent="0.45">
      <c r="B7" t="str">
        <v>C147</v>
      </c>
      <c r="C7">
        <v>12</v>
      </c>
      <c r="D7" t="str">
        <v>SENIOR</v>
      </c>
      <c r="E7" t="str">
        <v>JARF</v>
      </c>
      <c r="F7">
        <v>5</v>
      </c>
      <c r="G7" t="str">
        <v>AHAMED ZAKI FOUZAN T.Z</v>
      </c>
    </row>
    <row r="8" spans="2:7" x14ac:dyDescent="0.45">
      <c r="B8" t="str">
        <v>D136</v>
      </c>
      <c r="C8">
        <v>11</v>
      </c>
      <c r="D8" t="str">
        <v>SUPER SENIOR</v>
      </c>
      <c r="E8" t="str">
        <v>JARF</v>
      </c>
      <c r="F8">
        <v>6</v>
      </c>
      <c r="G8" t="str">
        <v>MUHAMMED ASBAQUE</v>
      </c>
    </row>
    <row r="9" spans="2:7" x14ac:dyDescent="0.45">
      <c r="B9" t="str">
        <v>C179</v>
      </c>
      <c r="C9">
        <v>10</v>
      </c>
      <c r="D9" t="str">
        <v>SENIOR</v>
      </c>
      <c r="E9" t="str">
        <v>DAHF</v>
      </c>
      <c r="F9">
        <v>7</v>
      </c>
      <c r="G9" t="str">
        <v>MUHAMMED FARHAN</v>
      </c>
    </row>
    <row r="10" spans="2:7" x14ac:dyDescent="0.45">
      <c r="B10" t="str">
        <v>C171</v>
      </c>
      <c r="C10">
        <v>10</v>
      </c>
      <c r="D10" t="str">
        <v>SENIOR</v>
      </c>
      <c r="E10" t="str">
        <v>BADF</v>
      </c>
      <c r="F10">
        <v>7</v>
      </c>
      <c r="G10" t="str">
        <v>MUHAMMED THASLEEM</v>
      </c>
    </row>
    <row r="11" spans="2:7" x14ac:dyDescent="0.45">
      <c r="B11" t="str">
        <v>D117</v>
      </c>
      <c r="C11">
        <v>10</v>
      </c>
      <c r="D11" t="str">
        <v>SUPER SENIOR</v>
      </c>
      <c r="E11" t="str">
        <v>FANT</v>
      </c>
      <c r="F11">
        <v>7</v>
      </c>
      <c r="G11" t="str">
        <v>MOHAMMED SAHL CS</v>
      </c>
    </row>
    <row r="12" spans="2:7" x14ac:dyDescent="0.45">
      <c r="B12" t="str">
        <v>C100</v>
      </c>
      <c r="C12">
        <v>10</v>
      </c>
      <c r="D12" t="str">
        <v>SENIOR</v>
      </c>
      <c r="E12" t="str">
        <v>DAHF</v>
      </c>
      <c r="F12">
        <v>7</v>
      </c>
      <c r="G12" t="str">
        <v>IBRAHIM AFIL</v>
      </c>
    </row>
    <row r="13" spans="2:7" x14ac:dyDescent="0.45">
      <c r="B13" t="str">
        <v>C139</v>
      </c>
      <c r="C13">
        <v>9</v>
      </c>
      <c r="D13" t="str">
        <v>SENIOR</v>
      </c>
      <c r="E13" t="str">
        <v>BADF</v>
      </c>
      <c r="F13">
        <v>11</v>
      </c>
      <c r="G13" t="str">
        <v>SULAIMAN FAHAD AP</v>
      </c>
    </row>
    <row r="14" spans="2:7" x14ac:dyDescent="0.45">
      <c r="B14" t="str">
        <v>A151</v>
      </c>
      <c r="C14">
        <v>8</v>
      </c>
      <c r="D14" t="str">
        <v>SUB JUNIOR</v>
      </c>
      <c r="E14" t="str">
        <v>FANT</v>
      </c>
      <c r="F14">
        <v>12</v>
      </c>
      <c r="G14" t="str">
        <v>Mohammad Yaseen</v>
      </c>
    </row>
    <row r="15" spans="2:7" x14ac:dyDescent="0.45">
      <c r="B15" t="str">
        <v>C103</v>
      </c>
      <c r="C15">
        <v>8</v>
      </c>
      <c r="D15" t="str">
        <v>SENIOR</v>
      </c>
      <c r="E15" t="str">
        <v>BADF</v>
      </c>
      <c r="F15">
        <v>12</v>
      </c>
      <c r="G15" t="str">
        <v>MUHAMMED ABDUL KADER</v>
      </c>
    </row>
    <row r="16" spans="2:7" x14ac:dyDescent="0.45">
      <c r="B16" t="str">
        <v>D129</v>
      </c>
      <c r="C16">
        <v>8</v>
      </c>
      <c r="D16" t="str">
        <v>SUPER SENIOR</v>
      </c>
      <c r="E16" t="str">
        <v>BADF</v>
      </c>
      <c r="F16">
        <v>12</v>
      </c>
      <c r="G16" t="str">
        <v>MUHAMMED UNAIS CK</v>
      </c>
    </row>
    <row r="17" spans="2:7" x14ac:dyDescent="0.45">
      <c r="B17" t="str">
        <v>C162</v>
      </c>
      <c r="C17">
        <v>8</v>
      </c>
      <c r="D17" t="str">
        <v>SENIOR</v>
      </c>
      <c r="E17" t="str">
        <v>FANT</v>
      </c>
      <c r="F17">
        <v>12</v>
      </c>
      <c r="G17" t="str">
        <v>MUHAMMAD K.A</v>
      </c>
    </row>
    <row r="18" spans="2:7" x14ac:dyDescent="0.45">
      <c r="B18" t="str">
        <v>A146</v>
      </c>
      <c r="C18">
        <v>8</v>
      </c>
      <c r="D18" t="str">
        <v>SUB JUNIOR</v>
      </c>
      <c r="E18" t="str">
        <v>BADF</v>
      </c>
      <c r="F18">
        <v>12</v>
      </c>
      <c r="G18" t="str">
        <v>AHAMED ADIL. A</v>
      </c>
    </row>
    <row r="19" spans="2:7" x14ac:dyDescent="0.45">
      <c r="B19" t="str">
        <v>A163</v>
      </c>
      <c r="C19">
        <v>8</v>
      </c>
      <c r="D19" t="str">
        <v>SUB JUNIOR</v>
      </c>
      <c r="E19" t="str">
        <v>BADF</v>
      </c>
      <c r="F19">
        <v>12</v>
      </c>
      <c r="G19" t="str">
        <v>MUHAMMED LUQMAN TD</v>
      </c>
    </row>
    <row r="20" spans="2:7" x14ac:dyDescent="0.45">
      <c r="B20" t="str">
        <v>C134</v>
      </c>
      <c r="C20">
        <v>8</v>
      </c>
      <c r="D20" t="str">
        <v>SENIOR</v>
      </c>
      <c r="E20" t="str">
        <v>FANT</v>
      </c>
      <c r="F20">
        <v>12</v>
      </c>
      <c r="G20" t="str">
        <v>MUHAMMED ABDUL NASIF P.A</v>
      </c>
    </row>
    <row r="21" spans="2:7" x14ac:dyDescent="0.45">
      <c r="B21" t="str">
        <v>D172</v>
      </c>
      <c r="C21">
        <v>7</v>
      </c>
      <c r="D21" t="str">
        <v>SUPER SENIOR</v>
      </c>
      <c r="E21" t="str">
        <v>DAHF</v>
      </c>
      <c r="F21">
        <v>19</v>
      </c>
      <c r="G21" t="str">
        <v>MUHAMMED MUFEED</v>
      </c>
    </row>
    <row r="22" spans="2:7" x14ac:dyDescent="0.45">
      <c r="B22" t="str">
        <v>D192</v>
      </c>
      <c r="C22">
        <v>7</v>
      </c>
      <c r="D22" t="str">
        <v>SUPER SENIOR</v>
      </c>
      <c r="E22" t="str">
        <v>DAHF</v>
      </c>
      <c r="F22">
        <v>19</v>
      </c>
      <c r="G22" t="str">
        <v>MUHAMMED SIFARATH T A</v>
      </c>
    </row>
    <row r="23" spans="2:7" x14ac:dyDescent="0.45">
      <c r="B23" t="str">
        <v>A145</v>
      </c>
      <c r="C23">
        <v>6</v>
      </c>
      <c r="D23" t="str">
        <v>SUB JUNIOR</v>
      </c>
      <c r="E23" t="str">
        <v>BADF</v>
      </c>
      <c r="F23">
        <v>21</v>
      </c>
      <c r="G23" t="str">
        <v>ABDULLAH A P</v>
      </c>
    </row>
    <row r="24" spans="2:7" x14ac:dyDescent="0.45">
      <c r="B24" t="str">
        <v>A123</v>
      </c>
      <c r="C24">
        <v>6</v>
      </c>
      <c r="D24" t="str">
        <v>SUB JUNIOR</v>
      </c>
      <c r="E24" t="str">
        <v>JARF</v>
      </c>
      <c r="F24">
        <v>21</v>
      </c>
      <c r="G24" t="str">
        <v>IBRAHIM KALEEL</v>
      </c>
    </row>
    <row r="25" spans="2:7" x14ac:dyDescent="0.45">
      <c r="B25" t="str">
        <v>D121</v>
      </c>
      <c r="C25">
        <v>6</v>
      </c>
      <c r="D25" t="str">
        <v>SUPER SENIOR</v>
      </c>
      <c r="E25" t="str">
        <v>DAHF</v>
      </c>
      <c r="F25">
        <v>21</v>
      </c>
      <c r="G25" t="str">
        <v>ABDUL RAHMAN MUNZIR</v>
      </c>
    </row>
    <row r="26" spans="2:7" x14ac:dyDescent="0.45">
      <c r="B26" t="str">
        <v>A111</v>
      </c>
      <c r="C26">
        <v>5</v>
      </c>
      <c r="D26" t="str">
        <v>SUB JUNIOR</v>
      </c>
      <c r="E26" t="str">
        <v>FANT</v>
      </c>
      <c r="F26">
        <v>24</v>
      </c>
      <c r="G26" t="str">
        <v>HUSSAIN MUHAVIZ B A</v>
      </c>
    </row>
    <row r="27" spans="2:7" x14ac:dyDescent="0.45">
      <c r="B27" t="str">
        <v>C151</v>
      </c>
      <c r="C27">
        <v>5</v>
      </c>
      <c r="D27" t="str">
        <v>SENIOR</v>
      </c>
      <c r="E27" t="str">
        <v>JARF</v>
      </c>
      <c r="F27">
        <v>24</v>
      </c>
      <c r="G27" t="str">
        <v>MOHAMMED ASHMIL K A</v>
      </c>
    </row>
    <row r="28" spans="2:7" x14ac:dyDescent="0.45">
      <c r="B28" t="str">
        <v>D163</v>
      </c>
      <c r="C28">
        <v>5</v>
      </c>
      <c r="D28" t="str">
        <v>SUPER SENIOR</v>
      </c>
      <c r="E28" t="str">
        <v>FANT</v>
      </c>
      <c r="F28">
        <v>24</v>
      </c>
      <c r="G28" t="str">
        <v>ABDUL JANIS</v>
      </c>
    </row>
    <row r="29" spans="2:7" x14ac:dyDescent="0.45">
      <c r="B29" t="str">
        <v>A129</v>
      </c>
      <c r="C29">
        <v>5</v>
      </c>
      <c r="D29" t="str">
        <v>SUB JUNIOR</v>
      </c>
      <c r="E29" t="str">
        <v>FANT</v>
      </c>
      <c r="F29">
        <v>24</v>
      </c>
      <c r="G29" t="str">
        <v>MUHAMMED BIN JAFAR</v>
      </c>
    </row>
    <row r="30" spans="2:7" x14ac:dyDescent="0.45">
      <c r="B30" t="str">
        <v>D176</v>
      </c>
      <c r="C30">
        <v>5</v>
      </c>
      <c r="D30" t="str">
        <v>SUPER SENIOR</v>
      </c>
      <c r="E30" t="str">
        <v>JARF</v>
      </c>
      <c r="F30">
        <v>24</v>
      </c>
      <c r="G30" t="str">
        <v>MOHAMMED NASFAR AFNAN H</v>
      </c>
    </row>
    <row r="31" spans="2:7" x14ac:dyDescent="0.45">
      <c r="B31" t="str">
        <v>B152</v>
      </c>
      <c r="C31">
        <v>5</v>
      </c>
      <c r="D31" t="str">
        <v>JUNIOR</v>
      </c>
      <c r="E31" t="str">
        <v>JARF</v>
      </c>
      <c r="F31">
        <v>24</v>
      </c>
      <c r="G31" t="str">
        <v>MUHAMMED MUNAZIR MM</v>
      </c>
    </row>
    <row r="32" spans="2:7" x14ac:dyDescent="0.45">
      <c r="B32" t="str">
        <v>D150</v>
      </c>
      <c r="C32">
        <v>5</v>
      </c>
      <c r="D32" t="str">
        <v>SUPER SENIOR</v>
      </c>
      <c r="E32" t="str">
        <v>DAHF</v>
      </c>
      <c r="F32">
        <v>24</v>
      </c>
      <c r="G32" t="str">
        <v>ABDUL KHADER</v>
      </c>
    </row>
    <row r="33" spans="2:7" x14ac:dyDescent="0.45">
      <c r="B33" t="str">
        <v>D102</v>
      </c>
      <c r="C33">
        <v>5</v>
      </c>
      <c r="D33" t="str">
        <v>SUPER SENIOR</v>
      </c>
      <c r="E33" t="str">
        <v>DAHF</v>
      </c>
      <c r="F33">
        <v>24</v>
      </c>
      <c r="G33" t="str">
        <v>JALALUDHEEN K</v>
      </c>
    </row>
    <row r="34" spans="2:7" x14ac:dyDescent="0.45">
      <c r="B34" t="str">
        <v>D171</v>
      </c>
      <c r="C34">
        <v>5</v>
      </c>
      <c r="D34" t="str">
        <v>SUPER SENIOR</v>
      </c>
      <c r="E34" t="str">
        <v>FANT</v>
      </c>
      <c r="F34">
        <v>24</v>
      </c>
      <c r="G34" t="str">
        <v>MOHAMMED ANFAHUDEEN T.A</v>
      </c>
    </row>
    <row r="35" spans="2:7" x14ac:dyDescent="0.45">
      <c r="B35" t="str">
        <v>B107</v>
      </c>
      <c r="C35">
        <v>5</v>
      </c>
      <c r="D35" t="str">
        <v>JUNIOR</v>
      </c>
      <c r="E35" t="str">
        <v>JARF</v>
      </c>
      <c r="F35">
        <v>24</v>
      </c>
      <c r="G35" t="str">
        <v>MUHAMMED ZAMIL</v>
      </c>
    </row>
    <row r="36" spans="2:7" x14ac:dyDescent="0.45">
      <c r="B36" t="str">
        <v>A164</v>
      </c>
      <c r="C36">
        <v>5</v>
      </c>
      <c r="D36" t="str">
        <v>SUB JUNIOR</v>
      </c>
      <c r="E36" t="str">
        <v>DAHF</v>
      </c>
      <c r="F36">
        <v>24</v>
      </c>
      <c r="G36" t="str">
        <v>MUHAMMED MICDAD RAMEES A H</v>
      </c>
    </row>
    <row r="37" spans="2:7" x14ac:dyDescent="0.45">
      <c r="B37" t="str">
        <v>A174</v>
      </c>
      <c r="C37">
        <v>5</v>
      </c>
      <c r="D37" t="str">
        <v>SUB JUNIOR</v>
      </c>
      <c r="E37" t="str">
        <v>DAHF</v>
      </c>
      <c r="F37">
        <v>24</v>
      </c>
      <c r="G37" t="str">
        <v>THUFAIL</v>
      </c>
    </row>
    <row r="38" spans="2:7" x14ac:dyDescent="0.45">
      <c r="B38" t="str">
        <v>B138</v>
      </c>
      <c r="C38">
        <v>5</v>
      </c>
      <c r="D38" t="str">
        <v>JUNIOR</v>
      </c>
      <c r="E38" t="str">
        <v>BADF</v>
      </c>
      <c r="F38">
        <v>24</v>
      </c>
      <c r="G38" t="str">
        <v>HABEEB RAHMAN CA</v>
      </c>
    </row>
    <row r="39" spans="2:7" x14ac:dyDescent="0.45">
      <c r="B39" t="str">
        <v>A108</v>
      </c>
      <c r="C39">
        <v>5</v>
      </c>
      <c r="D39" t="str">
        <v>SUB JUNIOR</v>
      </c>
      <c r="E39" t="str">
        <v>BADF</v>
      </c>
      <c r="F39">
        <v>24</v>
      </c>
      <c r="G39" t="str">
        <v>Mohammed Sinan N.A</v>
      </c>
    </row>
    <row r="40" spans="2:7" x14ac:dyDescent="0.45">
      <c r="B40" t="str">
        <v>C113</v>
      </c>
      <c r="C40">
        <v>5</v>
      </c>
      <c r="D40" t="str">
        <v>SENIOR</v>
      </c>
      <c r="E40" t="str">
        <v>JARF</v>
      </c>
      <c r="F40">
        <v>24</v>
      </c>
      <c r="G40" t="str">
        <v>SEYYAD MUHAMMED FAHMAN</v>
      </c>
    </row>
    <row r="41" spans="2:7" x14ac:dyDescent="0.45">
      <c r="B41" t="str">
        <v>C115</v>
      </c>
      <c r="C41">
        <v>5</v>
      </c>
      <c r="D41" t="str">
        <v>SENIOR</v>
      </c>
      <c r="E41" t="str">
        <v>FANT</v>
      </c>
      <c r="F41">
        <v>24</v>
      </c>
      <c r="G41" t="str">
        <v>MOHAMMED ABDUL KHADER K</v>
      </c>
    </row>
    <row r="42" spans="2:7" x14ac:dyDescent="0.45">
      <c r="B42" t="str">
        <v>C161</v>
      </c>
      <c r="C42">
        <v>4</v>
      </c>
      <c r="D42" t="str">
        <v>SENIOR</v>
      </c>
      <c r="E42" t="str">
        <v>DAHF</v>
      </c>
      <c r="F42">
        <v>40</v>
      </c>
      <c r="G42" t="str">
        <v>MOHAMMED ABDUL KHADER NABAVI E A</v>
      </c>
    </row>
    <row r="43" spans="2:7" x14ac:dyDescent="0.45">
      <c r="B43" t="str">
        <v>C172</v>
      </c>
      <c r="C43">
        <v>4</v>
      </c>
      <c r="D43" t="str">
        <v>SENIOR</v>
      </c>
      <c r="E43" t="str">
        <v>DAHF</v>
      </c>
      <c r="F43">
        <v>40</v>
      </c>
      <c r="G43" t="str">
        <v>AHAMED SHAMMAS C.M</v>
      </c>
    </row>
    <row r="44" spans="2:7" x14ac:dyDescent="0.45">
      <c r="B44" t="str">
        <v>C169</v>
      </c>
      <c r="C44">
        <v>4</v>
      </c>
      <c r="D44" t="str">
        <v>SENIOR</v>
      </c>
      <c r="E44" t="str">
        <v>BADF</v>
      </c>
      <c r="F44">
        <v>40</v>
      </c>
      <c r="G44" t="str">
        <v>MOHAMMED THAJUDDEEN A R P</v>
      </c>
    </row>
    <row r="45" spans="2:7" x14ac:dyDescent="0.45">
      <c r="B45" t="str">
        <v>B141</v>
      </c>
      <c r="C45">
        <v>4</v>
      </c>
      <c r="D45" t="str">
        <v>JUNIOR</v>
      </c>
      <c r="E45" t="str">
        <v>FANT</v>
      </c>
      <c r="F45">
        <v>40</v>
      </c>
      <c r="G45" t="str">
        <v>RAFNAS P</v>
      </c>
    </row>
    <row r="46" spans="2:7" x14ac:dyDescent="0.45">
      <c r="B46" t="str">
        <v>D166</v>
      </c>
      <c r="C46">
        <v>4</v>
      </c>
      <c r="D46" t="str">
        <v>SUPER SENIOR</v>
      </c>
      <c r="E46" t="str">
        <v>DAHF</v>
      </c>
      <c r="F46">
        <v>40</v>
      </c>
      <c r="G46" t="str">
        <v>MOHAMMED IRFAN C</v>
      </c>
    </row>
    <row r="47" spans="2:7" x14ac:dyDescent="0.45">
      <c r="B47" t="str">
        <v>D119</v>
      </c>
      <c r="C47">
        <v>4</v>
      </c>
      <c r="D47" t="str">
        <v>SUPER SENIOR</v>
      </c>
      <c r="E47" t="str">
        <v>BADF</v>
      </c>
      <c r="F47">
        <v>40</v>
      </c>
      <c r="G47" t="str">
        <v>ABU THAHIR</v>
      </c>
    </row>
    <row r="48" spans="2:7" x14ac:dyDescent="0.45">
      <c r="B48" t="str">
        <v>B114</v>
      </c>
      <c r="C48">
        <v>3</v>
      </c>
      <c r="D48" t="str">
        <v>JUNIOR</v>
      </c>
      <c r="E48" t="str">
        <v>DAHF</v>
      </c>
      <c r="F48">
        <v>46</v>
      </c>
      <c r="G48" t="str">
        <v>AMEEN RAHMAN MTP</v>
      </c>
    </row>
    <row r="49" spans="2:7" x14ac:dyDescent="0.45">
      <c r="B49" t="str">
        <v>A107</v>
      </c>
      <c r="C49">
        <v>3</v>
      </c>
      <c r="D49" t="str">
        <v>SUB JUNIOR</v>
      </c>
      <c r="E49" t="str">
        <v>FANT</v>
      </c>
      <c r="F49">
        <v>46</v>
      </c>
      <c r="G49" t="str">
        <v>MUHAMMED ADHIL C H</v>
      </c>
    </row>
    <row r="50" spans="2:7" x14ac:dyDescent="0.45">
      <c r="B50" t="str">
        <v>C148</v>
      </c>
      <c r="C50">
        <v>3</v>
      </c>
      <c r="D50" t="str">
        <v>SENIOR</v>
      </c>
      <c r="E50" t="str">
        <v>BADF</v>
      </c>
      <c r="F50">
        <v>46</v>
      </c>
      <c r="G50" t="str">
        <v>MUHAMMED SHABEEB</v>
      </c>
    </row>
    <row r="51" spans="2:7" x14ac:dyDescent="0.45">
      <c r="B51" t="str">
        <v>A101</v>
      </c>
      <c r="C51">
        <v>3</v>
      </c>
      <c r="D51" t="str">
        <v>SUB JUNIOR</v>
      </c>
      <c r="E51" t="str">
        <v>JARF</v>
      </c>
      <c r="F51">
        <v>46</v>
      </c>
      <c r="G51" t="str">
        <v>MUHAMMED TAMEEM</v>
      </c>
    </row>
    <row r="52" spans="2:7" x14ac:dyDescent="0.45">
      <c r="B52" t="str">
        <v>B102</v>
      </c>
      <c r="C52">
        <v>3</v>
      </c>
      <c r="D52" t="str">
        <v>JUNIOR</v>
      </c>
      <c r="E52" t="str">
        <v>FANT</v>
      </c>
      <c r="F52">
        <v>46</v>
      </c>
      <c r="G52" t="str">
        <v>AHMAD MUBASHAR</v>
      </c>
    </row>
    <row r="53" spans="2:7" x14ac:dyDescent="0.45">
      <c r="B53" t="str">
        <v>A142</v>
      </c>
      <c r="C53">
        <v>3</v>
      </c>
      <c r="D53" t="str">
        <v>SUB JUNIOR</v>
      </c>
      <c r="E53" t="str">
        <v>BADF</v>
      </c>
      <c r="F53">
        <v>46</v>
      </c>
      <c r="G53" t="str">
        <v>Muhammed Anshad A</v>
      </c>
    </row>
    <row r="54" spans="2:7" x14ac:dyDescent="0.45">
      <c r="B54" t="str">
        <v>C143</v>
      </c>
      <c r="C54">
        <v>3</v>
      </c>
      <c r="D54" t="str">
        <v>SENIOR</v>
      </c>
      <c r="E54" t="str">
        <v>JARF</v>
      </c>
      <c r="F54">
        <v>46</v>
      </c>
      <c r="G54" t="str">
        <v>MUHAMMED SINAN M</v>
      </c>
    </row>
    <row r="55" spans="2:7" x14ac:dyDescent="0.45">
      <c r="B55" t="str">
        <v>A113</v>
      </c>
      <c r="C55">
        <v>3</v>
      </c>
      <c r="D55" t="str">
        <v>SUB JUNIOR</v>
      </c>
      <c r="E55" t="str">
        <v>DAHF</v>
      </c>
      <c r="F55">
        <v>46</v>
      </c>
      <c r="G55" t="str">
        <v>MOIDEEN KAIS</v>
      </c>
    </row>
    <row r="56" spans="2:7" x14ac:dyDescent="0.45">
      <c r="B56" t="str">
        <v>C152</v>
      </c>
      <c r="C56">
        <v>3</v>
      </c>
      <c r="D56" t="str">
        <v>SENIOR</v>
      </c>
      <c r="E56" t="str">
        <v>JARF</v>
      </c>
      <c r="F56">
        <v>46</v>
      </c>
      <c r="G56" t="str">
        <v>MUHAMMED SABITH ALI TM</v>
      </c>
    </row>
    <row r="57" spans="2:7" x14ac:dyDescent="0.45">
      <c r="B57" t="str">
        <v>D104</v>
      </c>
      <c r="C57">
        <v>3</v>
      </c>
      <c r="D57" t="str">
        <v>SUPER SENIOR</v>
      </c>
      <c r="E57" t="str">
        <v>JARF</v>
      </c>
      <c r="F57">
        <v>46</v>
      </c>
      <c r="G57" t="str">
        <v>MUHAMMAD SHANEED.</v>
      </c>
    </row>
    <row r="58" spans="2:7" x14ac:dyDescent="0.45">
      <c r="B58" t="str">
        <v>A166</v>
      </c>
      <c r="C58">
        <v>3</v>
      </c>
      <c r="D58" t="str">
        <v>SUB JUNIOR</v>
      </c>
      <c r="E58" t="str">
        <v>BADF</v>
      </c>
      <c r="F58">
        <v>46</v>
      </c>
      <c r="G58" t="str">
        <v>Muhammed Naieem</v>
      </c>
    </row>
    <row r="59" spans="2:7" x14ac:dyDescent="0.45">
      <c r="B59" t="str">
        <v>A127</v>
      </c>
      <c r="C59">
        <v>3</v>
      </c>
      <c r="D59" t="str">
        <v>SUB JUNIOR</v>
      </c>
      <c r="E59" t="str">
        <v>BADF</v>
      </c>
      <c r="F59">
        <v>46</v>
      </c>
      <c r="G59" t="str">
        <v>MUHAMMED HAFEEZ P</v>
      </c>
    </row>
    <row r="60" spans="2:7" x14ac:dyDescent="0.45">
      <c r="B60" t="str">
        <v>D100</v>
      </c>
      <c r="C60">
        <v>3</v>
      </c>
      <c r="D60" t="str">
        <v>SUPER SENIOR</v>
      </c>
      <c r="E60" t="str">
        <v>JARF</v>
      </c>
      <c r="F60">
        <v>46</v>
      </c>
      <c r="G60" t="str">
        <v>MOHAMMED RAZI</v>
      </c>
    </row>
    <row r="61" spans="2:7" x14ac:dyDescent="0.45">
      <c r="B61" t="str">
        <v>D139</v>
      </c>
      <c r="C61">
        <v>3</v>
      </c>
      <c r="D61" t="str">
        <v>SUPER SENIOR</v>
      </c>
      <c r="E61" t="str">
        <v>JARF</v>
      </c>
      <c r="F61">
        <v>46</v>
      </c>
      <c r="G61" t="str">
        <v>AHAMMED MUBARAK KA</v>
      </c>
    </row>
    <row r="62" spans="2:7" x14ac:dyDescent="0.45">
      <c r="B62" t="str">
        <v>A105</v>
      </c>
      <c r="C62">
        <v>3</v>
      </c>
      <c r="D62" t="str">
        <v>SUB JUNIOR</v>
      </c>
      <c r="E62" t="str">
        <v>FANT</v>
      </c>
      <c r="F62">
        <v>46</v>
      </c>
      <c r="G62" t="str">
        <v>MUHAMMED HAFIZ S T</v>
      </c>
    </row>
    <row r="63" spans="2:7" x14ac:dyDescent="0.45">
      <c r="B63" t="str">
        <v>B156</v>
      </c>
      <c r="C63">
        <v>3</v>
      </c>
      <c r="D63" t="str">
        <v>JUNIOR</v>
      </c>
      <c r="E63" t="str">
        <v>JARF</v>
      </c>
      <c r="F63">
        <v>46</v>
      </c>
      <c r="G63" t="str">
        <v>MOHAMMED ANAS A.A</v>
      </c>
    </row>
    <row r="64" spans="2:7" x14ac:dyDescent="0.45">
      <c r="B64" t="str">
        <v>D123</v>
      </c>
      <c r="C64">
        <v>3</v>
      </c>
      <c r="D64" t="str">
        <v>SUPER SENIOR</v>
      </c>
      <c r="E64" t="str">
        <v>JARF</v>
      </c>
      <c r="F64">
        <v>46</v>
      </c>
      <c r="G64" t="str">
        <v>MOHAMMED SALIH</v>
      </c>
    </row>
    <row r="65" spans="2:7" x14ac:dyDescent="0.45">
      <c r="B65" t="str">
        <v>B158</v>
      </c>
      <c r="C65">
        <v>3</v>
      </c>
      <c r="D65" t="str">
        <v>JUNIOR</v>
      </c>
      <c r="E65" t="str">
        <v>DAHF</v>
      </c>
      <c r="F65">
        <v>46</v>
      </c>
      <c r="G65" t="str">
        <v>FADIL MOHAMMED K M</v>
      </c>
    </row>
    <row r="66" spans="2:7" x14ac:dyDescent="0.45">
      <c r="B66" t="str">
        <v>D147</v>
      </c>
      <c r="C66">
        <v>3</v>
      </c>
      <c r="D66" t="str">
        <v>SUPER SENIOR</v>
      </c>
      <c r="E66" t="str">
        <v>FANT</v>
      </c>
      <c r="F66">
        <v>46</v>
      </c>
      <c r="G66" t="str">
        <v>MOHAMMED SHAHZAN T.K</v>
      </c>
    </row>
    <row r="67" spans="2:7" x14ac:dyDescent="0.45">
      <c r="B67" t="str">
        <v>C109</v>
      </c>
      <c r="C67">
        <v>3</v>
      </c>
      <c r="D67" t="str">
        <v>SENIOR</v>
      </c>
      <c r="E67" t="str">
        <v>BADF</v>
      </c>
      <c r="F67">
        <v>46</v>
      </c>
      <c r="G67" t="str">
        <v>ABDULLA FARHAN M</v>
      </c>
    </row>
    <row r="68" spans="2:7" x14ac:dyDescent="0.45">
      <c r="B68" t="str">
        <v>D183</v>
      </c>
      <c r="C68">
        <v>3</v>
      </c>
      <c r="D68" t="str">
        <v>SUPER SENIOR</v>
      </c>
      <c r="E68" t="str">
        <v>DAHF</v>
      </c>
      <c r="F68">
        <v>46</v>
      </c>
      <c r="G68" t="str">
        <v>MOHAMMAD SWALIH K</v>
      </c>
    </row>
    <row r="69" spans="2:7" x14ac:dyDescent="0.45">
      <c r="B69" t="str">
        <v>D188</v>
      </c>
      <c r="C69">
        <v>3</v>
      </c>
      <c r="D69" t="str">
        <v>SUPER SENIOR</v>
      </c>
      <c r="E69" t="str">
        <v>FANT</v>
      </c>
      <c r="F69">
        <v>46</v>
      </c>
      <c r="G69" t="str">
        <v>AHMED MANHAL HUSSAIN</v>
      </c>
    </row>
    <row r="70" spans="2:7" x14ac:dyDescent="0.45">
      <c r="B70" t="str">
        <v>C131</v>
      </c>
      <c r="C70">
        <v>3</v>
      </c>
      <c r="D70" t="str">
        <v>SENIOR</v>
      </c>
      <c r="E70" t="str">
        <v>FANT</v>
      </c>
      <c r="F70">
        <v>46</v>
      </c>
      <c r="G70" t="str">
        <v>IBRAHIM AHRAZ</v>
      </c>
    </row>
    <row r="71" spans="2:7" x14ac:dyDescent="0.45">
      <c r="B71" t="str">
        <v>A121</v>
      </c>
      <c r="C71">
        <v>1</v>
      </c>
      <c r="D71" t="str">
        <v>SUB JUNIOR</v>
      </c>
      <c r="E71" t="str">
        <v>JARF</v>
      </c>
      <c r="F71">
        <v>69</v>
      </c>
      <c r="G71" t="str">
        <v>BEERAN MUEENUDHEEN MH</v>
      </c>
    </row>
    <row r="72" spans="2:7" x14ac:dyDescent="0.45">
      <c r="B72" t="str">
        <v>D132</v>
      </c>
      <c r="C72">
        <v>1</v>
      </c>
      <c r="D72" t="str">
        <v>SUPER SENIOR</v>
      </c>
      <c r="E72" t="str">
        <v>FANT</v>
      </c>
      <c r="F72">
        <v>69</v>
      </c>
      <c r="G72" t="str">
        <v>ABOOBAKR MA'ROOF</v>
      </c>
    </row>
    <row r="73" spans="2:7" x14ac:dyDescent="0.45">
      <c r="B73" t="str">
        <v>D109</v>
      </c>
      <c r="C73">
        <v>1</v>
      </c>
      <c r="D73" t="str">
        <v>SUPER SENIOR</v>
      </c>
      <c r="E73" t="str">
        <v>BADF</v>
      </c>
      <c r="F73">
        <v>69</v>
      </c>
      <c r="G73" t="str">
        <v>AHAMMED AJEER</v>
      </c>
    </row>
    <row r="74" spans="2:7" x14ac:dyDescent="0.45">
      <c r="B74" t="str">
        <v>A143</v>
      </c>
      <c r="C74">
        <v>1</v>
      </c>
      <c r="D74" t="str">
        <v>SUB JUNIOR</v>
      </c>
      <c r="E74" t="str">
        <v>FANT</v>
      </c>
      <c r="F74">
        <v>69</v>
      </c>
      <c r="G74" t="str">
        <v>ABDUL AFEEZ C.F</v>
      </c>
    </row>
    <row r="75" spans="2:7" x14ac:dyDescent="0.45">
      <c r="B75" t="str">
        <v>D177</v>
      </c>
      <c r="C75">
        <v>1</v>
      </c>
      <c r="D75" t="str">
        <v>SUPER SENIOR</v>
      </c>
      <c r="E75" t="str">
        <v>FANT</v>
      </c>
      <c r="F75">
        <v>69</v>
      </c>
      <c r="G75" t="str">
        <v>SHAMEEM ABDULLA P.S</v>
      </c>
    </row>
    <row r="76" spans="2:7" x14ac:dyDescent="0.45">
      <c r="B76" t="str">
        <v>B103</v>
      </c>
      <c r="C76">
        <v>1</v>
      </c>
      <c r="D76" t="str">
        <v>JUNIOR</v>
      </c>
      <c r="E76" t="str">
        <v>BADF</v>
      </c>
      <c r="F76">
        <v>69</v>
      </c>
      <c r="G76" t="str">
        <v>MOHAMMED NAFIH BA</v>
      </c>
    </row>
    <row r="77" spans="2:7" x14ac:dyDescent="0.45">
      <c r="B77" t="str">
        <v>C166</v>
      </c>
      <c r="C77">
        <v>1</v>
      </c>
      <c r="D77" t="str">
        <v>SENIOR</v>
      </c>
      <c r="E77" t="str">
        <v>DAHF</v>
      </c>
      <c r="F77">
        <v>69</v>
      </c>
      <c r="G77" t="str">
        <v>RESWAN</v>
      </c>
    </row>
    <row r="78" spans="2:7" x14ac:dyDescent="0.45">
      <c r="B78" t="str">
        <v>A110</v>
      </c>
      <c r="C78">
        <v>1</v>
      </c>
      <c r="D78" t="str">
        <v>SUB JUNIOR</v>
      </c>
      <c r="E78" t="str">
        <v>FANT</v>
      </c>
      <c r="F78">
        <v>69</v>
      </c>
      <c r="G78" t="str">
        <v>Muhammed Hisham K M</v>
      </c>
    </row>
    <row r="79" spans="2:7" x14ac:dyDescent="0.45">
      <c r="B79" t="str">
        <v>D116</v>
      </c>
      <c r="C79">
        <v>1</v>
      </c>
      <c r="D79" t="str">
        <v>SUPER SENIOR</v>
      </c>
      <c r="E79" t="str">
        <v>JARF</v>
      </c>
      <c r="F79">
        <v>69</v>
      </c>
      <c r="G79" t="str">
        <v>HASSAN SHADDAD UM</v>
      </c>
    </row>
    <row r="80" spans="2:7" x14ac:dyDescent="0.45">
      <c r="B80" t="str">
        <v>B108</v>
      </c>
      <c r="C80">
        <v>1</v>
      </c>
      <c r="D80" t="str">
        <v>JUNIOR</v>
      </c>
      <c r="E80" t="str">
        <v>JARF</v>
      </c>
      <c r="F80">
        <v>69</v>
      </c>
      <c r="G80" t="str">
        <v>ABDUL RAHIMAN FAIZ T A</v>
      </c>
    </row>
    <row r="81" spans="2:7" x14ac:dyDescent="0.45">
      <c r="B81" t="str">
        <v>D141</v>
      </c>
      <c r="C81">
        <v>1</v>
      </c>
      <c r="D81" t="str">
        <v>SUPER SENIOR</v>
      </c>
      <c r="E81" t="str">
        <v>BADF</v>
      </c>
      <c r="F81">
        <v>69</v>
      </c>
      <c r="G81" t="str">
        <v>MUHAMMAD MUSTHAFA P.K</v>
      </c>
    </row>
    <row r="82" spans="2:7" x14ac:dyDescent="0.45">
      <c r="B82" t="str">
        <v>B121</v>
      </c>
      <c r="C82">
        <v>1</v>
      </c>
      <c r="D82" t="str">
        <v>JUNIOR</v>
      </c>
      <c r="E82" t="str">
        <v>BADF</v>
      </c>
      <c r="F82">
        <v>69</v>
      </c>
      <c r="G82" t="str">
        <v>MOHIDDEEN SHAHSHAD</v>
      </c>
    </row>
    <row r="83" spans="2:7" x14ac:dyDescent="0.45">
      <c r="B83" t="str">
        <v>A153</v>
      </c>
      <c r="C83">
        <v>1</v>
      </c>
      <c r="D83" t="str">
        <v>SUB JUNIOR</v>
      </c>
      <c r="E83" t="str">
        <v>FANT</v>
      </c>
      <c r="F83">
        <v>69</v>
      </c>
      <c r="G83" t="str">
        <v>MOHAMMED SAWA T A</v>
      </c>
    </row>
    <row r="84" spans="2:7" x14ac:dyDescent="0.45">
      <c r="B84" t="str">
        <v>B131</v>
      </c>
      <c r="C84">
        <v>1</v>
      </c>
      <c r="D84" t="str">
        <v>JUNIOR</v>
      </c>
      <c r="E84" t="str">
        <v>JARF</v>
      </c>
      <c r="F84">
        <v>69</v>
      </c>
      <c r="G84" t="str">
        <v>MUHAMMED BASSIM. E</v>
      </c>
    </row>
    <row r="85" spans="2:7" x14ac:dyDescent="0.45">
      <c r="B85" t="str">
        <v>A122</v>
      </c>
      <c r="C85">
        <v>1</v>
      </c>
      <c r="D85" t="str">
        <v>SUB JUNIOR</v>
      </c>
      <c r="E85" t="str">
        <v>FANT</v>
      </c>
      <c r="F85">
        <v>69</v>
      </c>
      <c r="G85" t="str">
        <v>MOHAMMAD K A</v>
      </c>
    </row>
    <row r="86" spans="2:7" x14ac:dyDescent="0.45">
      <c r="B86" t="str">
        <v>A140</v>
      </c>
      <c r="C86">
        <v>1</v>
      </c>
      <c r="D86" t="str">
        <v>SUB JUNIOR</v>
      </c>
      <c r="E86" t="str">
        <v>FANT</v>
      </c>
      <c r="F86">
        <v>69</v>
      </c>
      <c r="G86" t="str">
        <v>MUHAMMED AFLAH.MK</v>
      </c>
    </row>
    <row r="87" spans="2:7" x14ac:dyDescent="0.45">
      <c r="B87" t="str">
        <v>C170</v>
      </c>
      <c r="C87">
        <v>1</v>
      </c>
      <c r="D87" t="str">
        <v>SENIOR</v>
      </c>
      <c r="E87" t="str">
        <v>BADF</v>
      </c>
      <c r="F87">
        <v>69</v>
      </c>
      <c r="G87" t="str">
        <v>RUMAIZALI R IBRAHIM</v>
      </c>
    </row>
    <row r="88" spans="2:7" x14ac:dyDescent="0.45">
      <c r="B88" t="str">
        <v>B155</v>
      </c>
      <c r="C88">
        <v>1</v>
      </c>
      <c r="D88" t="str">
        <v>JUNIOR</v>
      </c>
      <c r="E88" t="str">
        <v>DAHF</v>
      </c>
      <c r="F88">
        <v>69</v>
      </c>
      <c r="G88" t="str">
        <v>MUHAMMED A</v>
      </c>
    </row>
    <row r="89" spans="2:7" x14ac:dyDescent="0.45">
      <c r="B89" t="str">
        <v>D115</v>
      </c>
      <c r="C89">
        <v>1</v>
      </c>
      <c r="D89" t="str">
        <v>SUPER SENIOR</v>
      </c>
      <c r="E89" t="str">
        <v>DAHF</v>
      </c>
      <c r="F89">
        <v>69</v>
      </c>
      <c r="G89" t="str">
        <v>ABDULLA M HAKEEM</v>
      </c>
    </row>
    <row r="90" spans="2:7" x14ac:dyDescent="0.45">
      <c r="B90" t="str">
        <v>C102</v>
      </c>
      <c r="C90">
        <v>1</v>
      </c>
      <c r="D90" t="str">
        <v>SENIOR</v>
      </c>
      <c r="E90" t="str">
        <v>DAHF</v>
      </c>
      <c r="F90">
        <v>69</v>
      </c>
      <c r="G90" t="str">
        <v>AHAMMED MAHSHOOK M.B</v>
      </c>
    </row>
    <row r="91" spans="2:7" x14ac:dyDescent="0.45">
      <c r="B91" t="str">
        <v>A128</v>
      </c>
      <c r="C91">
        <v>1</v>
      </c>
      <c r="D91" t="str">
        <v>SUB JUNIOR</v>
      </c>
      <c r="E91" t="str">
        <v>DAHF</v>
      </c>
      <c r="F91">
        <v>69</v>
      </c>
      <c r="G91" t="str">
        <v>MOHAMMED HAFEEZ B</v>
      </c>
    </row>
    <row r="92" spans="2:7" x14ac:dyDescent="0.45">
      <c r="B92" t="str">
        <v>C104</v>
      </c>
      <c r="C92">
        <v>1</v>
      </c>
      <c r="D92" t="str">
        <v>SENIOR</v>
      </c>
      <c r="E92" t="str">
        <v>BADF</v>
      </c>
      <c r="F92">
        <v>69</v>
      </c>
      <c r="G92" t="str">
        <v>HADIL RIJAS</v>
      </c>
    </row>
    <row r="93" spans="2:7" x14ac:dyDescent="0.45">
      <c r="B93" t="str">
        <v>D134</v>
      </c>
      <c r="C93">
        <v>1</v>
      </c>
      <c r="D93" t="str">
        <v>SUPER SENIOR</v>
      </c>
      <c r="E93" t="str">
        <v>FANT</v>
      </c>
      <c r="F93">
        <v>69</v>
      </c>
      <c r="G93" t="str">
        <v>AJMAL ANEES</v>
      </c>
    </row>
    <row r="94" spans="2:7" x14ac:dyDescent="0.45">
      <c r="B94" t="str">
        <v>C105</v>
      </c>
      <c r="C94">
        <v>1</v>
      </c>
      <c r="D94" t="str">
        <v>SENIOR</v>
      </c>
      <c r="E94" t="str">
        <v>JARF</v>
      </c>
      <c r="F94">
        <v>69</v>
      </c>
      <c r="G94" t="str">
        <v>AHMAD MANAL KUDINGILA</v>
      </c>
    </row>
    <row r="95" spans="2:7" x14ac:dyDescent="0.45">
      <c r="B95" t="str">
        <v>D143</v>
      </c>
      <c r="C95">
        <v>1</v>
      </c>
      <c r="D95" t="str">
        <v>SUPER SENIOR</v>
      </c>
      <c r="E95" t="str">
        <v>BADF</v>
      </c>
      <c r="F95">
        <v>69</v>
      </c>
      <c r="G95" t="str">
        <v>MUHAMMED MA</v>
      </c>
    </row>
    <row r="96" spans="2:7" x14ac:dyDescent="0.45">
      <c r="B96" t="str">
        <v>C108</v>
      </c>
      <c r="C96">
        <v>1</v>
      </c>
      <c r="D96" t="str">
        <v>SENIOR</v>
      </c>
      <c r="E96" t="str">
        <v>FANT</v>
      </c>
      <c r="F96">
        <v>69</v>
      </c>
      <c r="G96" t="str">
        <v>ABDULLA SALMAN FARIS M</v>
      </c>
    </row>
    <row r="97" spans="2:7" x14ac:dyDescent="0.45">
      <c r="B97" t="str">
        <v>D170</v>
      </c>
      <c r="C97">
        <v>1</v>
      </c>
      <c r="D97" t="str">
        <v>SUPER SENIOR</v>
      </c>
      <c r="E97" t="str">
        <v>JARF</v>
      </c>
      <c r="F97">
        <v>69</v>
      </c>
      <c r="G97" t="str">
        <v>AHMED ADIL B.K</v>
      </c>
    </row>
    <row r="98" spans="2:7" x14ac:dyDescent="0.45">
      <c r="B98" t="str">
        <v>A158</v>
      </c>
      <c r="C98">
        <v>0</v>
      </c>
      <c r="D98" t="str">
        <v>SUB JUNIOR</v>
      </c>
      <c r="E98" t="str">
        <v>DAHF</v>
      </c>
      <c r="F98">
        <v>96</v>
      </c>
      <c r="G98" t="str">
        <v>Muhammed Anas</v>
      </c>
    </row>
    <row r="99" spans="2:7" x14ac:dyDescent="0.45">
      <c r="B99" t="str">
        <v>D164</v>
      </c>
      <c r="C99">
        <v>0</v>
      </c>
      <c r="D99" t="str">
        <v>SUPER SENIOR</v>
      </c>
      <c r="E99" t="str">
        <v>JARF</v>
      </c>
      <c r="F99">
        <v>96</v>
      </c>
      <c r="G99" t="str">
        <v>AHMED SULTHAN</v>
      </c>
    </row>
    <row r="100" spans="2:7" x14ac:dyDescent="0.45">
      <c r="B100" t="str">
        <v>A144</v>
      </c>
      <c r="C100">
        <v>0</v>
      </c>
      <c r="D100" t="str">
        <v>SUB JUNIOR</v>
      </c>
      <c r="E100" t="str">
        <v>JARF</v>
      </c>
      <c r="F100">
        <v>96</v>
      </c>
      <c r="G100" t="str">
        <v>ABDULLA</v>
      </c>
    </row>
    <row r="101" spans="2:7" x14ac:dyDescent="0.45">
      <c r="B101" t="str">
        <v>B119</v>
      </c>
      <c r="C101">
        <v>0</v>
      </c>
      <c r="D101" t="str">
        <v>JUNIOR</v>
      </c>
      <c r="E101" t="str">
        <v>JARF</v>
      </c>
      <c r="F101">
        <v>96</v>
      </c>
      <c r="G101" t="str">
        <v>ABDUL SA-AD</v>
      </c>
    </row>
    <row r="102" spans="2:7" x14ac:dyDescent="0.45">
      <c r="B102" t="str">
        <v>C164</v>
      </c>
      <c r="C102">
        <v>0</v>
      </c>
      <c r="D102" t="str">
        <v>SENIOR</v>
      </c>
      <c r="E102" t="str">
        <v>FANT</v>
      </c>
      <c r="F102">
        <v>96</v>
      </c>
      <c r="G102" t="str">
        <v>AHMED FAHEEM MA</v>
      </c>
    </row>
    <row r="103" spans="2:7" x14ac:dyDescent="0.45">
      <c r="B103" t="str">
        <v>B120</v>
      </c>
      <c r="C103">
        <v>0</v>
      </c>
      <c r="D103" t="str">
        <v>JUNIOR</v>
      </c>
      <c r="E103" t="str">
        <v>FANT</v>
      </c>
      <c r="F103">
        <v>96</v>
      </c>
      <c r="G103" t="str">
        <v>MOHAMMED RIYAN</v>
      </c>
    </row>
    <row r="104" spans="2:7" x14ac:dyDescent="0.45">
      <c r="B104" t="str">
        <v>B112</v>
      </c>
      <c r="C104">
        <v>0</v>
      </c>
      <c r="D104" t="str">
        <v>JUNIOR</v>
      </c>
      <c r="E104" t="str">
        <v>FANT</v>
      </c>
      <c r="F104">
        <v>96</v>
      </c>
      <c r="G104" t="str">
        <v>SHARAZ AHAMMED</v>
      </c>
    </row>
    <row r="105" spans="2:7" x14ac:dyDescent="0.45">
      <c r="B105" t="str">
        <v>A172</v>
      </c>
      <c r="C105">
        <v>0</v>
      </c>
      <c r="D105" t="str">
        <v>SUB JUNIOR</v>
      </c>
      <c r="E105" t="str">
        <v>DAHF</v>
      </c>
      <c r="F105">
        <v>96</v>
      </c>
      <c r="G105" t="str">
        <v>SAYYED MUHAMMED ABOOBACKER</v>
      </c>
    </row>
    <row r="106" spans="2:7" x14ac:dyDescent="0.45">
      <c r="B106" t="str">
        <v>D148</v>
      </c>
      <c r="C106">
        <v>0</v>
      </c>
      <c r="D106" t="str">
        <v>SUPER SENIOR</v>
      </c>
      <c r="E106" t="str">
        <v>DAHF</v>
      </c>
      <c r="F106">
        <v>96</v>
      </c>
      <c r="G106" t="str">
        <v>UMARUL FAROOK K .K</v>
      </c>
    </row>
    <row r="107" spans="2:7" x14ac:dyDescent="0.45">
      <c r="B107" t="str">
        <v>B122</v>
      </c>
      <c r="C107">
        <v>0</v>
      </c>
      <c r="D107" t="str">
        <v>JUNIOR</v>
      </c>
      <c r="E107" t="str">
        <v>DAHF</v>
      </c>
      <c r="F107">
        <v>96</v>
      </c>
      <c r="G107" t="str">
        <v>MUHAMMAD FAYIZ B</v>
      </c>
    </row>
    <row r="108" spans="2:7" x14ac:dyDescent="0.45">
      <c r="B108" t="str">
        <v>C156</v>
      </c>
      <c r="C108">
        <v>0</v>
      </c>
      <c r="D108" t="str">
        <v>SENIOR</v>
      </c>
      <c r="E108" t="str">
        <v>FANT</v>
      </c>
      <c r="F108">
        <v>96</v>
      </c>
      <c r="G108" t="str">
        <v>ABDULLA RAMSHAD</v>
      </c>
    </row>
    <row r="109" spans="2:7" x14ac:dyDescent="0.45">
      <c r="B109" t="str">
        <v>B123</v>
      </c>
      <c r="C109">
        <v>0</v>
      </c>
      <c r="D109" t="str">
        <v>JUNIOR</v>
      </c>
      <c r="E109" t="str">
        <v>FANT</v>
      </c>
      <c r="F109">
        <v>96</v>
      </c>
      <c r="G109" t="str">
        <v>MUHAMMED YASEEN</v>
      </c>
    </row>
    <row r="110" spans="2:7" x14ac:dyDescent="0.45">
      <c r="B110" t="str">
        <v>A157</v>
      </c>
      <c r="C110">
        <v>0</v>
      </c>
      <c r="D110" t="str">
        <v>SUB JUNIOR</v>
      </c>
      <c r="E110" t="str">
        <v>FANT</v>
      </c>
      <c r="F110">
        <v>96</v>
      </c>
      <c r="G110" t="str">
        <v>MUHAMMED ADNAN K.A</v>
      </c>
    </row>
    <row r="111" spans="2:7" x14ac:dyDescent="0.45">
      <c r="B111" t="str">
        <v>B124</v>
      </c>
      <c r="C111">
        <v>0</v>
      </c>
      <c r="D111" t="str">
        <v>JUNIOR</v>
      </c>
      <c r="E111" t="str">
        <v>DAHF</v>
      </c>
      <c r="F111">
        <v>96</v>
      </c>
      <c r="G111" t="str">
        <v>MOHAMMED RAED. UA</v>
      </c>
    </row>
    <row r="112" spans="2:7" x14ac:dyDescent="0.45">
      <c r="B112" t="str">
        <v>D108</v>
      </c>
      <c r="C112">
        <v>0</v>
      </c>
      <c r="D112" t="str">
        <v>SUPER SENIOR</v>
      </c>
      <c r="E112" t="str">
        <v>DAHF</v>
      </c>
      <c r="F112">
        <v>96</v>
      </c>
      <c r="G112" t="str">
        <v>MOHAMMED HASHIR</v>
      </c>
    </row>
    <row r="113" spans="2:7" x14ac:dyDescent="0.45">
      <c r="B113" t="str">
        <v>B125</v>
      </c>
      <c r="C113">
        <v>0</v>
      </c>
      <c r="D113" t="str">
        <v>JUNIOR</v>
      </c>
      <c r="E113" t="str">
        <v>DAHF</v>
      </c>
      <c r="F113">
        <v>96</v>
      </c>
      <c r="G113" t="str">
        <v>MUHAMMED SHANIFM P</v>
      </c>
    </row>
    <row r="114" spans="2:7" x14ac:dyDescent="0.45">
      <c r="B114" t="str">
        <v>D124</v>
      </c>
      <c r="C114">
        <v>0</v>
      </c>
      <c r="D114" t="str">
        <v>SUPER SENIOR</v>
      </c>
      <c r="E114" t="str">
        <v>BADF</v>
      </c>
      <c r="F114">
        <v>96</v>
      </c>
      <c r="G114" t="str">
        <v>MUHAMMED SUFAZ P</v>
      </c>
    </row>
    <row r="115" spans="2:7" x14ac:dyDescent="0.45">
      <c r="B115" t="str">
        <v>B126</v>
      </c>
      <c r="C115">
        <v>0</v>
      </c>
      <c r="D115" t="str">
        <v>JUNIOR</v>
      </c>
      <c r="E115" t="str">
        <v>JARF</v>
      </c>
      <c r="F115">
        <v>96</v>
      </c>
      <c r="G115" t="str">
        <v>AHAMMED JABIR K H</v>
      </c>
    </row>
    <row r="116" spans="2:7" x14ac:dyDescent="0.45">
      <c r="B116" t="str">
        <v>D140</v>
      </c>
      <c r="C116">
        <v>0</v>
      </c>
      <c r="D116" t="str">
        <v>SUPER SENIOR</v>
      </c>
      <c r="E116" t="str">
        <v>DAHF</v>
      </c>
      <c r="F116">
        <v>96</v>
      </c>
      <c r="G116" t="str">
        <v>MUHAMMED FAISAL A K</v>
      </c>
    </row>
    <row r="117" spans="2:7" x14ac:dyDescent="0.45">
      <c r="B117" t="str">
        <v>B127</v>
      </c>
      <c r="C117">
        <v>0</v>
      </c>
      <c r="D117" t="str">
        <v>JUNIOR</v>
      </c>
      <c r="E117" t="str">
        <v>DAHF</v>
      </c>
      <c r="F117">
        <v>96</v>
      </c>
      <c r="G117" t="str">
        <v>THANSEEHU RAHMAN</v>
      </c>
    </row>
    <row r="118" spans="2:7" x14ac:dyDescent="0.45">
      <c r="B118" t="str">
        <v>D156</v>
      </c>
      <c r="C118">
        <v>0</v>
      </c>
      <c r="D118" t="str">
        <v>SUPER SENIOR</v>
      </c>
      <c r="E118">
        <v>0</v>
      </c>
      <c r="F118">
        <v>96</v>
      </c>
      <c r="G118" t="str">
        <v>MUHAMMED BIN ABDUL KADHAR</v>
      </c>
    </row>
    <row r="119" spans="2:7" x14ac:dyDescent="0.45">
      <c r="B119" t="str">
        <v>B128</v>
      </c>
      <c r="C119">
        <v>0</v>
      </c>
      <c r="D119" t="str">
        <v>JUNIOR</v>
      </c>
      <c r="E119" t="str">
        <v>BADF</v>
      </c>
      <c r="F119">
        <v>96</v>
      </c>
      <c r="G119" t="str">
        <v>MOHAMMED AFNAN</v>
      </c>
    </row>
    <row r="120" spans="2:7" x14ac:dyDescent="0.45">
      <c r="B120" t="str">
        <v>A154</v>
      </c>
      <c r="C120">
        <v>0</v>
      </c>
      <c r="D120" t="str">
        <v>SUB JUNIOR</v>
      </c>
      <c r="E120" t="str">
        <v>JARF</v>
      </c>
      <c r="F120">
        <v>96</v>
      </c>
      <c r="G120" t="str">
        <v>MOHAMMED WASIM SHAHAD SM</v>
      </c>
    </row>
    <row r="121" spans="2:7" x14ac:dyDescent="0.45">
      <c r="B121" t="str">
        <v>B129</v>
      </c>
      <c r="C121">
        <v>0</v>
      </c>
      <c r="D121" t="str">
        <v>JUNIOR</v>
      </c>
      <c r="E121" t="str">
        <v>FANT</v>
      </c>
      <c r="F121">
        <v>96</v>
      </c>
      <c r="G121" t="str">
        <v>MOHAMMED SABITH KU</v>
      </c>
    </row>
    <row r="122" spans="2:7" x14ac:dyDescent="0.45">
      <c r="B122" t="str">
        <v>C160</v>
      </c>
      <c r="C122">
        <v>0</v>
      </c>
      <c r="D122" t="str">
        <v>SENIOR</v>
      </c>
      <c r="E122" t="str">
        <v>BADF</v>
      </c>
      <c r="F122">
        <v>96</v>
      </c>
      <c r="G122" t="str">
        <v>AJMAL AM</v>
      </c>
    </row>
    <row r="123" spans="2:7" x14ac:dyDescent="0.45">
      <c r="B123" t="str">
        <v>B130</v>
      </c>
      <c r="C123">
        <v>0</v>
      </c>
      <c r="D123" t="str">
        <v>JUNIOR</v>
      </c>
      <c r="E123" t="str">
        <v>FANT</v>
      </c>
      <c r="F123">
        <v>96</v>
      </c>
      <c r="G123" t="str">
        <v>HAFIL ADIL AMANULLAH K K</v>
      </c>
    </row>
    <row r="124" spans="2:7" x14ac:dyDescent="0.45">
      <c r="B124" t="str">
        <v>C168</v>
      </c>
      <c r="C124">
        <v>0</v>
      </c>
      <c r="D124" t="str">
        <v>SENIOR</v>
      </c>
      <c r="E124" t="str">
        <v>FANT</v>
      </c>
      <c r="F124">
        <v>96</v>
      </c>
      <c r="G124" t="str">
        <v>MUHAMMED SHAHAN P.S</v>
      </c>
    </row>
    <row r="125" spans="2:7" x14ac:dyDescent="0.45">
      <c r="B125" t="str">
        <v>A173</v>
      </c>
      <c r="C125">
        <v>0</v>
      </c>
      <c r="D125" t="str">
        <v>SUB JUNIOR</v>
      </c>
      <c r="E125" t="str">
        <v>BADF</v>
      </c>
      <c r="F125">
        <v>96</v>
      </c>
      <c r="G125" t="str">
        <v>SHAHUL HAMEED B.I</v>
      </c>
    </row>
    <row r="126" spans="2:7" x14ac:dyDescent="0.45">
      <c r="B126" t="str">
        <v>C176</v>
      </c>
      <c r="C126">
        <v>0</v>
      </c>
      <c r="D126" t="str">
        <v>SENIOR</v>
      </c>
      <c r="E126" t="str">
        <v>FANT</v>
      </c>
      <c r="F126">
        <v>96</v>
      </c>
      <c r="G126" t="str">
        <v>MUHAMMED T A</v>
      </c>
    </row>
    <row r="127" spans="2:7" x14ac:dyDescent="0.45">
      <c r="B127" t="str">
        <v>B132</v>
      </c>
      <c r="C127">
        <v>0</v>
      </c>
      <c r="D127" t="str">
        <v>JUNIOR</v>
      </c>
      <c r="E127" t="str">
        <v>DAHF</v>
      </c>
      <c r="F127">
        <v>96</v>
      </c>
      <c r="G127" t="str">
        <v>MUHAMMED SAEED THUFAIL</v>
      </c>
    </row>
    <row r="128" spans="2:7" x14ac:dyDescent="0.45">
      <c r="B128" t="str">
        <v>A159</v>
      </c>
      <c r="C128">
        <v>0</v>
      </c>
      <c r="D128" t="str">
        <v>SUB JUNIOR</v>
      </c>
      <c r="E128" t="str">
        <v>JARF</v>
      </c>
      <c r="F128">
        <v>96</v>
      </c>
      <c r="G128" t="str">
        <v>MUHAMMED ASHIR M</v>
      </c>
    </row>
    <row r="129" spans="2:7" x14ac:dyDescent="0.45">
      <c r="B129" t="str">
        <v>B133</v>
      </c>
      <c r="C129">
        <v>0</v>
      </c>
      <c r="D129" t="str">
        <v>JUNIOR</v>
      </c>
      <c r="E129" t="str">
        <v>JARF</v>
      </c>
      <c r="F129">
        <v>96</v>
      </c>
      <c r="G129" t="str">
        <v>MEERAN MOHIUDHEEN RAFIH</v>
      </c>
    </row>
    <row r="130" spans="2:7" x14ac:dyDescent="0.45">
      <c r="B130" t="str">
        <v>D112</v>
      </c>
      <c r="C130">
        <v>0</v>
      </c>
      <c r="D130" t="str">
        <v>SUPER SENIOR</v>
      </c>
      <c r="E130" t="str">
        <v>FANT</v>
      </c>
      <c r="F130">
        <v>96</v>
      </c>
      <c r="G130" t="str">
        <v>AMEEN ABDULLA</v>
      </c>
    </row>
    <row r="131" spans="2:7" x14ac:dyDescent="0.45">
      <c r="B131" t="str">
        <v>B134</v>
      </c>
      <c r="C131">
        <v>0</v>
      </c>
      <c r="D131" t="str">
        <v>JUNIOR</v>
      </c>
      <c r="E131" t="str">
        <v>JARF</v>
      </c>
      <c r="F131">
        <v>96</v>
      </c>
      <c r="G131" t="str">
        <v>ABDUL RAHIMAN AZAAN</v>
      </c>
    </row>
    <row r="132" spans="2:7" x14ac:dyDescent="0.45">
      <c r="B132" t="str">
        <v>D120</v>
      </c>
      <c r="C132">
        <v>0</v>
      </c>
      <c r="D132" t="str">
        <v>SUPER SENIOR</v>
      </c>
      <c r="E132" t="str">
        <v>FANT</v>
      </c>
      <c r="F132">
        <v>96</v>
      </c>
      <c r="G132" t="str">
        <v>MUHAMMAD SINAN NP</v>
      </c>
    </row>
    <row r="133" spans="2:7" x14ac:dyDescent="0.45">
      <c r="B133" t="str">
        <v>B135</v>
      </c>
      <c r="C133">
        <v>0</v>
      </c>
      <c r="D133" t="str">
        <v>JUNIOR</v>
      </c>
      <c r="E133" t="str">
        <v>FANT</v>
      </c>
      <c r="F133">
        <v>96</v>
      </c>
      <c r="G133" t="str">
        <v>MOHAMMED RAFIH M R</v>
      </c>
    </row>
    <row r="134" spans="2:7" x14ac:dyDescent="0.45">
      <c r="B134" t="str">
        <v>D128</v>
      </c>
      <c r="C134">
        <v>0</v>
      </c>
      <c r="D134" t="str">
        <v>SUPER SENIOR</v>
      </c>
      <c r="E134" t="str">
        <v>FANT</v>
      </c>
      <c r="F134">
        <v>96</v>
      </c>
      <c r="G134" t="str">
        <v>MEHAZIN AMAN T</v>
      </c>
    </row>
    <row r="135" spans="2:7" x14ac:dyDescent="0.45">
      <c r="B135" t="str">
        <v>B136</v>
      </c>
      <c r="C135">
        <v>0</v>
      </c>
      <c r="D135" t="str">
        <v>JUNIOR</v>
      </c>
      <c r="E135" t="str">
        <v>BADF</v>
      </c>
      <c r="F135">
        <v>96</v>
      </c>
      <c r="G135" t="str">
        <v>MUHAMMAD MIJVAD K</v>
      </c>
    </row>
    <row r="136" spans="2:7" x14ac:dyDescent="0.45">
      <c r="B136" t="str">
        <v>A103</v>
      </c>
      <c r="C136">
        <v>0</v>
      </c>
      <c r="D136" t="str">
        <v>SUB JUNIOR</v>
      </c>
      <c r="E136" t="str">
        <v>JARF</v>
      </c>
      <c r="F136">
        <v>96</v>
      </c>
      <c r="G136" t="str">
        <v>MUHAMMED RIZIN AMAN</v>
      </c>
    </row>
    <row r="137" spans="2:7" x14ac:dyDescent="0.45">
      <c r="B137" t="str">
        <v>B137</v>
      </c>
      <c r="C137">
        <v>0</v>
      </c>
      <c r="D137" t="str">
        <v>JUNIOR</v>
      </c>
      <c r="E137" t="str">
        <v>BADF</v>
      </c>
      <c r="F137">
        <v>96</v>
      </c>
      <c r="G137" t="str">
        <v>MOHAMMAD IJAN</v>
      </c>
    </row>
    <row r="138" spans="2:7" x14ac:dyDescent="0.45">
      <c r="B138" t="str">
        <v>D144</v>
      </c>
      <c r="C138">
        <v>0</v>
      </c>
      <c r="D138" t="str">
        <v>SUPER SENIOR</v>
      </c>
      <c r="E138" t="str">
        <v>JARF</v>
      </c>
      <c r="F138">
        <v>96</v>
      </c>
      <c r="G138" t="str">
        <v>MUHAMMED RASHAD KA</v>
      </c>
    </row>
    <row r="139" spans="2:7" x14ac:dyDescent="0.45">
      <c r="B139" t="str">
        <v>A104</v>
      </c>
      <c r="C139">
        <v>0</v>
      </c>
      <c r="D139" t="str">
        <v>SUB JUNIOR</v>
      </c>
      <c r="E139" t="str">
        <v>BADF</v>
      </c>
      <c r="F139">
        <v>96</v>
      </c>
      <c r="G139" t="str">
        <v>MUHAMMAD AZEEM</v>
      </c>
    </row>
    <row r="140" spans="2:7" x14ac:dyDescent="0.45">
      <c r="B140" t="str">
        <v>D152</v>
      </c>
      <c r="C140">
        <v>0</v>
      </c>
      <c r="D140" t="str">
        <v>SUPER SENIOR</v>
      </c>
      <c r="E140" t="str">
        <v>DAHF</v>
      </c>
      <c r="F140">
        <v>96</v>
      </c>
      <c r="G140" t="str">
        <v>MOHAMMAD ISMAIL SINAN KM</v>
      </c>
    </row>
    <row r="141" spans="2:7" x14ac:dyDescent="0.45">
      <c r="B141" t="str">
        <v>B139</v>
      </c>
      <c r="C141">
        <v>0</v>
      </c>
      <c r="D141" t="str">
        <v>JUNIOR</v>
      </c>
      <c r="E141" t="str">
        <v>DAHF</v>
      </c>
      <c r="F141">
        <v>96</v>
      </c>
      <c r="G141" t="str">
        <v>Muhammad</v>
      </c>
    </row>
    <row r="142" spans="2:7" x14ac:dyDescent="0.45">
      <c r="B142" t="str">
        <v>D160</v>
      </c>
      <c r="C142">
        <v>0</v>
      </c>
      <c r="D142" t="str">
        <v>SUPER SENIOR</v>
      </c>
      <c r="E142" t="str">
        <v>JARF</v>
      </c>
      <c r="F142">
        <v>96</v>
      </c>
      <c r="G142" t="str">
        <v>SALMAN FARIS</v>
      </c>
    </row>
    <row r="143" spans="2:7" x14ac:dyDescent="0.45">
      <c r="B143" t="str">
        <v>B140</v>
      </c>
      <c r="C143">
        <v>0</v>
      </c>
      <c r="D143" t="str">
        <v>JUNIOR</v>
      </c>
      <c r="E143" t="str">
        <v>BADF</v>
      </c>
      <c r="F143">
        <v>96</v>
      </c>
      <c r="G143" t="str">
        <v>MOHAMMED SHAHID</v>
      </c>
    </row>
    <row r="144" spans="2:7" x14ac:dyDescent="0.45">
      <c r="B144" t="str">
        <v>D168</v>
      </c>
      <c r="C144">
        <v>0</v>
      </c>
      <c r="D144" t="str">
        <v>SUPER SENIOR</v>
      </c>
      <c r="E144" t="str">
        <v>FANT</v>
      </c>
      <c r="F144">
        <v>96</v>
      </c>
      <c r="G144" t="str">
        <v>MOHAMMED NAFIH KA</v>
      </c>
    </row>
    <row r="145" spans="2:7" x14ac:dyDescent="0.45">
      <c r="B145" t="str">
        <v>A109</v>
      </c>
      <c r="C145">
        <v>0</v>
      </c>
      <c r="D145" t="str">
        <v>SUB JUNIOR</v>
      </c>
      <c r="E145" t="str">
        <v>BADF</v>
      </c>
      <c r="F145">
        <v>96</v>
      </c>
      <c r="G145" t="str">
        <v>AHMED RAZI MR</v>
      </c>
    </row>
    <row r="146" spans="2:7" x14ac:dyDescent="0.45">
      <c r="B146" t="str">
        <v>C154</v>
      </c>
      <c r="C146">
        <v>0</v>
      </c>
      <c r="D146" t="str">
        <v>SENIOR</v>
      </c>
      <c r="E146" t="str">
        <v>DAHF</v>
      </c>
      <c r="F146">
        <v>96</v>
      </c>
      <c r="G146" t="str">
        <v>MOHAMMED RAZEEN S.P</v>
      </c>
    </row>
    <row r="147" spans="2:7" x14ac:dyDescent="0.45">
      <c r="B147" t="str">
        <v>B142</v>
      </c>
      <c r="C147">
        <v>0</v>
      </c>
      <c r="D147" t="str">
        <v>JUNIOR</v>
      </c>
      <c r="E147" t="str">
        <v>BADF</v>
      </c>
      <c r="F147">
        <v>96</v>
      </c>
      <c r="G147" t="str">
        <v>MUHAMMED HAMDAN A.P</v>
      </c>
    </row>
    <row r="148" spans="2:7" x14ac:dyDescent="0.45">
      <c r="B148" t="str">
        <v>C158</v>
      </c>
      <c r="C148">
        <v>0</v>
      </c>
      <c r="D148" t="str">
        <v>SENIOR</v>
      </c>
      <c r="E148" t="str">
        <v>DAHF</v>
      </c>
      <c r="F148">
        <v>96</v>
      </c>
      <c r="G148" t="str">
        <v>ABDUL FATHAH AHAMMED C</v>
      </c>
    </row>
    <row r="149" spans="2:7" x14ac:dyDescent="0.45">
      <c r="B149" t="str">
        <v>B143</v>
      </c>
      <c r="C149">
        <v>0</v>
      </c>
      <c r="D149" t="str">
        <v>JUNIOR</v>
      </c>
      <c r="E149" t="str">
        <v>FANT</v>
      </c>
      <c r="F149">
        <v>96</v>
      </c>
      <c r="G149" t="str">
        <v>MOHAMMED SHADIL AP</v>
      </c>
    </row>
    <row r="150" spans="2:7" x14ac:dyDescent="0.45">
      <c r="B150" t="str">
        <v>A170</v>
      </c>
      <c r="C150">
        <v>0</v>
      </c>
      <c r="D150" t="str">
        <v>SUB JUNIOR</v>
      </c>
      <c r="E150" t="str">
        <v>DAHF</v>
      </c>
      <c r="F150">
        <v>96</v>
      </c>
      <c r="G150" t="str">
        <v>P.V.AHMAD ANAS</v>
      </c>
    </row>
    <row r="151" spans="2:7" x14ac:dyDescent="0.45">
      <c r="B151" t="str">
        <v>B144</v>
      </c>
      <c r="C151">
        <v>0</v>
      </c>
      <c r="D151" t="str">
        <v>JUNIOR</v>
      </c>
      <c r="E151" t="str">
        <v>FANT</v>
      </c>
      <c r="F151">
        <v>96</v>
      </c>
      <c r="G151" t="str">
        <v>MUHAMMED NAFIH CI</v>
      </c>
    </row>
    <row r="152" spans="2:7" x14ac:dyDescent="0.45">
      <c r="B152" t="str">
        <v>A171</v>
      </c>
      <c r="C152">
        <v>0</v>
      </c>
      <c r="D152" t="str">
        <v>SUB JUNIOR</v>
      </c>
      <c r="E152" t="str">
        <v>DAHF</v>
      </c>
      <c r="F152">
        <v>96</v>
      </c>
      <c r="G152" t="str">
        <v>SAYYED MOHAMMED SINAN AM</v>
      </c>
    </row>
    <row r="153" spans="2:7" x14ac:dyDescent="0.45">
      <c r="B153" t="str">
        <v>B145</v>
      </c>
      <c r="C153">
        <v>0</v>
      </c>
      <c r="D153" t="str">
        <v>JUNIOR</v>
      </c>
      <c r="E153" t="str">
        <v>FANT</v>
      </c>
      <c r="F153">
        <v>96</v>
      </c>
      <c r="G153" t="str">
        <v>YASEEN NOORULLA PH</v>
      </c>
    </row>
    <row r="154" spans="2:7" x14ac:dyDescent="0.45">
      <c r="B154" t="str">
        <v>B109</v>
      </c>
      <c r="C154">
        <v>0</v>
      </c>
      <c r="D154" t="str">
        <v>JUNIOR</v>
      </c>
      <c r="E154" t="str">
        <v>DAHF</v>
      </c>
      <c r="F154">
        <v>96</v>
      </c>
      <c r="G154" t="str">
        <v>AHAMMED SAFAR ZAKARIYA</v>
      </c>
    </row>
    <row r="155" spans="2:7" x14ac:dyDescent="0.45">
      <c r="B155" t="str">
        <v>B146</v>
      </c>
      <c r="C155">
        <v>0</v>
      </c>
      <c r="D155" t="str">
        <v>JUNIOR</v>
      </c>
      <c r="E155" t="str">
        <v>BADF</v>
      </c>
      <c r="F155">
        <v>96</v>
      </c>
      <c r="G155" t="str">
        <v>WASEEM NIHAD A M</v>
      </c>
    </row>
    <row r="156" spans="2:7" x14ac:dyDescent="0.45">
      <c r="B156" t="str">
        <v>C174</v>
      </c>
      <c r="C156">
        <v>0</v>
      </c>
      <c r="D156" t="str">
        <v>SENIOR</v>
      </c>
      <c r="E156" t="str">
        <v>BADF</v>
      </c>
      <c r="F156">
        <v>96</v>
      </c>
      <c r="G156" t="str">
        <v>MUHAMMAD MUSTHAFA K.M</v>
      </c>
    </row>
    <row r="157" spans="2:7" x14ac:dyDescent="0.45">
      <c r="B157" t="str">
        <v>B147</v>
      </c>
      <c r="C157">
        <v>0</v>
      </c>
      <c r="D157" t="str">
        <v>JUNIOR</v>
      </c>
      <c r="E157" t="str">
        <v>JARF</v>
      </c>
      <c r="F157">
        <v>96</v>
      </c>
      <c r="G157" t="str">
        <v>MOHAMMED SHAMEEM B K</v>
      </c>
    </row>
    <row r="158" spans="2:7" x14ac:dyDescent="0.45">
      <c r="B158" t="str">
        <v>C178</v>
      </c>
      <c r="C158">
        <v>0</v>
      </c>
      <c r="D158" t="str">
        <v>SENIOR</v>
      </c>
      <c r="E158" t="str">
        <v>JARF</v>
      </c>
      <c r="F158">
        <v>96</v>
      </c>
      <c r="G158" t="str">
        <v>MUHAMMED ZAYAN N.S</v>
      </c>
    </row>
    <row r="159" spans="2:7" x14ac:dyDescent="0.45">
      <c r="B159" t="str">
        <v>A112</v>
      </c>
      <c r="C159">
        <v>0</v>
      </c>
      <c r="D159" t="str">
        <v>SUB JUNIOR</v>
      </c>
      <c r="E159" t="str">
        <v>DAHF</v>
      </c>
      <c r="F159">
        <v>96</v>
      </c>
      <c r="G159" t="str">
        <v>HILAL ABDULLA C H</v>
      </c>
    </row>
    <row r="160" spans="2:7" x14ac:dyDescent="0.45">
      <c r="B160" t="str">
        <v>A125</v>
      </c>
      <c r="C160">
        <v>0</v>
      </c>
      <c r="D160" t="str">
        <v>SUB JUNIOR</v>
      </c>
      <c r="E160" t="str">
        <v>DAHF</v>
      </c>
      <c r="F160">
        <v>96</v>
      </c>
      <c r="G160" t="str">
        <v>MUHAMMED RAZI A T</v>
      </c>
    </row>
    <row r="161" spans="2:7" x14ac:dyDescent="0.45">
      <c r="B161" t="str">
        <v>B149</v>
      </c>
      <c r="C161">
        <v>0</v>
      </c>
      <c r="D161" t="str">
        <v>JUNIOR</v>
      </c>
      <c r="E161" t="str">
        <v>DAHF</v>
      </c>
      <c r="F161">
        <v>96</v>
      </c>
      <c r="G161" t="str">
        <v>MUHAMMED FARHAN PH</v>
      </c>
    </row>
    <row r="162" spans="2:7" x14ac:dyDescent="0.45">
      <c r="B162" t="str">
        <v>D106</v>
      </c>
      <c r="C162">
        <v>0</v>
      </c>
      <c r="D162" t="str">
        <v>SUPER SENIOR</v>
      </c>
      <c r="E162" t="str">
        <v>DAHF</v>
      </c>
      <c r="F162">
        <v>96</v>
      </c>
      <c r="G162" t="str">
        <v>MOHAMMED SHAMMAS S.I</v>
      </c>
    </row>
    <row r="163" spans="2:7" x14ac:dyDescent="0.45">
      <c r="B163" t="str">
        <v>B150</v>
      </c>
      <c r="C163">
        <v>0</v>
      </c>
      <c r="D163" t="str">
        <v>JUNIOR</v>
      </c>
      <c r="E163" t="str">
        <v>FANT</v>
      </c>
      <c r="F163">
        <v>96</v>
      </c>
      <c r="G163" t="str">
        <v>ABDULLA FAHAD T.U</v>
      </c>
    </row>
    <row r="164" spans="2:7" x14ac:dyDescent="0.45">
      <c r="B164" t="str">
        <v>D110</v>
      </c>
      <c r="C164">
        <v>0</v>
      </c>
      <c r="D164" t="str">
        <v>SUPER SENIOR</v>
      </c>
      <c r="E164" t="str">
        <v>BADF</v>
      </c>
      <c r="F164">
        <v>96</v>
      </c>
      <c r="G164" t="str">
        <v>ABBAS AZNAB M.A</v>
      </c>
    </row>
    <row r="165" spans="2:7" x14ac:dyDescent="0.45">
      <c r="B165" t="str">
        <v>B151</v>
      </c>
      <c r="C165">
        <v>0</v>
      </c>
      <c r="D165" t="str">
        <v>JUNIOR</v>
      </c>
      <c r="E165" t="str">
        <v>BADF</v>
      </c>
      <c r="F165">
        <v>96</v>
      </c>
      <c r="G165" t="str">
        <v>ABDUL GAFOOR</v>
      </c>
    </row>
    <row r="166" spans="2:7" x14ac:dyDescent="0.45">
      <c r="B166" t="str">
        <v>D114</v>
      </c>
      <c r="C166">
        <v>0</v>
      </c>
      <c r="D166" t="str">
        <v>SUPER SENIOR</v>
      </c>
      <c r="E166" t="str">
        <v>FANT</v>
      </c>
      <c r="F166">
        <v>96</v>
      </c>
      <c r="G166" t="str">
        <v>MUHAMMED ANAS M.N</v>
      </c>
    </row>
    <row r="167" spans="2:7" x14ac:dyDescent="0.45">
      <c r="B167" t="str">
        <v>A147</v>
      </c>
      <c r="C167">
        <v>0</v>
      </c>
      <c r="D167" t="str">
        <v>SUB JUNIOR</v>
      </c>
      <c r="E167" t="str">
        <v>DAHF</v>
      </c>
      <c r="F167">
        <v>96</v>
      </c>
      <c r="G167" t="str">
        <v>AHMED WALEED K A</v>
      </c>
    </row>
    <row r="168" spans="2:7" x14ac:dyDescent="0.45">
      <c r="B168" t="str">
        <v>D118</v>
      </c>
      <c r="C168">
        <v>0</v>
      </c>
      <c r="D168" t="str">
        <v>SUPER SENIOR</v>
      </c>
      <c r="E168" t="str">
        <v>BADF</v>
      </c>
      <c r="F168">
        <v>96</v>
      </c>
      <c r="G168" t="str">
        <v>MOHAMMAD KHALANDAR ZIYAD</v>
      </c>
    </row>
    <row r="169" spans="2:7" x14ac:dyDescent="0.45">
      <c r="B169" t="str">
        <v>B153</v>
      </c>
      <c r="C169">
        <v>0</v>
      </c>
      <c r="D169" t="str">
        <v>JUNIOR</v>
      </c>
      <c r="E169" t="str">
        <v>BADF</v>
      </c>
      <c r="F169">
        <v>96</v>
      </c>
      <c r="G169" t="str">
        <v>ABDUL KHADER ISHAQUE</v>
      </c>
    </row>
    <row r="170" spans="2:7" x14ac:dyDescent="0.45">
      <c r="B170" t="str">
        <v>D122</v>
      </c>
      <c r="C170">
        <v>0</v>
      </c>
      <c r="D170" t="str">
        <v>SUPER SENIOR</v>
      </c>
      <c r="E170">
        <v>0</v>
      </c>
      <c r="F170">
        <v>96</v>
      </c>
      <c r="G170" t="str">
        <v>MUHAMMED MUZAMMIL P.M</v>
      </c>
    </row>
    <row r="171" spans="2:7" x14ac:dyDescent="0.45">
      <c r="B171" t="str">
        <v>B154</v>
      </c>
      <c r="C171">
        <v>0</v>
      </c>
      <c r="D171" t="str">
        <v>JUNIOR</v>
      </c>
      <c r="E171" t="str">
        <v>DAHF</v>
      </c>
      <c r="F171">
        <v>96</v>
      </c>
      <c r="G171" t="str">
        <v>ABDULLA ALBAS</v>
      </c>
    </row>
    <row r="172" spans="2:7" x14ac:dyDescent="0.45">
      <c r="B172" t="str">
        <v>D126</v>
      </c>
      <c r="C172">
        <v>0</v>
      </c>
      <c r="D172" t="str">
        <v>SUPER SENIOR</v>
      </c>
      <c r="E172" t="str">
        <v>BADF</v>
      </c>
      <c r="F172">
        <v>96</v>
      </c>
      <c r="G172" t="str">
        <v>MUHAMMED MIDHLAJ KK</v>
      </c>
    </row>
    <row r="173" spans="2:7" x14ac:dyDescent="0.45">
      <c r="B173" t="str">
        <v>A175</v>
      </c>
      <c r="C173">
        <v>0</v>
      </c>
      <c r="D173" t="str">
        <v>SUB JUNIOR</v>
      </c>
      <c r="E173" t="str">
        <v>DAHF</v>
      </c>
      <c r="F173">
        <v>96</v>
      </c>
      <c r="G173" t="str">
        <v>YOUSUF FAHEEM P</v>
      </c>
    </row>
    <row r="174" spans="2:7" x14ac:dyDescent="0.45">
      <c r="B174" t="str">
        <v>D130</v>
      </c>
      <c r="C174">
        <v>0</v>
      </c>
      <c r="D174" t="str">
        <v>SUPER SENIOR</v>
      </c>
      <c r="E174" t="str">
        <v>DAHF</v>
      </c>
      <c r="F174">
        <v>96</v>
      </c>
      <c r="G174" t="str">
        <v>ZAINUDEEN</v>
      </c>
    </row>
    <row r="175" spans="2:7" x14ac:dyDescent="0.45">
      <c r="B175" t="str">
        <v>A148</v>
      </c>
      <c r="C175">
        <v>0</v>
      </c>
      <c r="D175" t="str">
        <v>SUB JUNIOR</v>
      </c>
      <c r="E175" t="str">
        <v>BADF</v>
      </c>
      <c r="F175">
        <v>96</v>
      </c>
      <c r="G175" t="str">
        <v>AYAAN ABOOBAKAR</v>
      </c>
    </row>
    <row r="176" spans="2:7" x14ac:dyDescent="0.45">
      <c r="B176" t="str">
        <v>B115</v>
      </c>
      <c r="C176">
        <v>0</v>
      </c>
      <c r="D176" t="str">
        <v>JUNIOR</v>
      </c>
      <c r="E176" t="str">
        <v>FANT</v>
      </c>
      <c r="F176">
        <v>96</v>
      </c>
      <c r="G176" t="str">
        <v>HASSAN SAHAL N A</v>
      </c>
    </row>
    <row r="177" spans="2:7" x14ac:dyDescent="0.45">
      <c r="B177" t="str">
        <v>B157</v>
      </c>
      <c r="C177">
        <v>0</v>
      </c>
      <c r="D177" t="str">
        <v>JUNIOR</v>
      </c>
      <c r="E177" t="str">
        <v>FANT</v>
      </c>
      <c r="F177">
        <v>96</v>
      </c>
      <c r="G177" t="str">
        <v>MUHAMMED MIHRAZ</v>
      </c>
    </row>
    <row r="178" spans="2:7" x14ac:dyDescent="0.45">
      <c r="B178" t="str">
        <v>D138</v>
      </c>
      <c r="C178">
        <v>0</v>
      </c>
      <c r="D178" t="str">
        <v>SUPER SENIOR</v>
      </c>
      <c r="E178" t="str">
        <v>FANT</v>
      </c>
      <c r="F178">
        <v>96</v>
      </c>
      <c r="G178" t="str">
        <v>MOHAMMED JAWAD A</v>
      </c>
    </row>
    <row r="179" spans="2:7" x14ac:dyDescent="0.45">
      <c r="B179" t="str">
        <v>A149</v>
      </c>
      <c r="C179">
        <v>0</v>
      </c>
      <c r="D179" t="str">
        <v>SUB JUNIOR</v>
      </c>
      <c r="E179" t="str">
        <v>JARF</v>
      </c>
      <c r="F179">
        <v>96</v>
      </c>
      <c r="G179" t="str">
        <v>FADIL AMEEN ABDULLA</v>
      </c>
    </row>
    <row r="180" spans="2:7" x14ac:dyDescent="0.45">
      <c r="B180" t="str">
        <v>D142</v>
      </c>
      <c r="C180">
        <v>0</v>
      </c>
      <c r="D180" t="str">
        <v>SUPER SENIOR</v>
      </c>
      <c r="E180" t="str">
        <v>FANT</v>
      </c>
      <c r="F180">
        <v>96</v>
      </c>
      <c r="G180" t="str">
        <v>ISHAM V.K</v>
      </c>
    </row>
    <row r="181" spans="2:7" x14ac:dyDescent="0.45">
      <c r="B181" t="str">
        <v>B159</v>
      </c>
      <c r="C181">
        <v>0</v>
      </c>
      <c r="D181" t="str">
        <v>JUNIOR</v>
      </c>
      <c r="E181" t="str">
        <v>DAHF</v>
      </c>
      <c r="F181">
        <v>96</v>
      </c>
      <c r="G181" t="str">
        <v>AJMAL AHMED MT</v>
      </c>
    </row>
    <row r="182" spans="2:7" x14ac:dyDescent="0.45">
      <c r="B182" t="str">
        <v>D146</v>
      </c>
      <c r="C182">
        <v>0</v>
      </c>
      <c r="D182" t="str">
        <v>SUPER SENIOR</v>
      </c>
      <c r="E182" t="str">
        <v>DAHF</v>
      </c>
      <c r="F182">
        <v>96</v>
      </c>
      <c r="G182" t="str">
        <v>ABDUL YOUNUS</v>
      </c>
    </row>
    <row r="183" spans="2:7" x14ac:dyDescent="0.45">
      <c r="B183" t="str">
        <v>B160</v>
      </c>
      <c r="C183">
        <v>0</v>
      </c>
      <c r="D183" t="str">
        <v>JUNIOR</v>
      </c>
      <c r="E183" t="str">
        <v>JARF</v>
      </c>
      <c r="F183">
        <v>96</v>
      </c>
      <c r="G183" t="str">
        <v>MOHAMMED DAWOOD K</v>
      </c>
    </row>
    <row r="184" spans="2:7" x14ac:dyDescent="0.45">
      <c r="B184" t="str">
        <v>A130</v>
      </c>
      <c r="C184">
        <v>0</v>
      </c>
      <c r="D184" t="str">
        <v>SUB JUNIOR</v>
      </c>
      <c r="E184" t="str">
        <v>JARF</v>
      </c>
      <c r="F184">
        <v>96</v>
      </c>
      <c r="G184" t="str">
        <v>MOHAMMAD AJWAD</v>
      </c>
    </row>
    <row r="185" spans="2:7" x14ac:dyDescent="0.45">
      <c r="B185" t="str">
        <v>B161</v>
      </c>
      <c r="C185">
        <v>0</v>
      </c>
      <c r="D185" t="str">
        <v>JUNIOR</v>
      </c>
      <c r="E185" t="str">
        <v>DAHF</v>
      </c>
      <c r="F185">
        <v>96</v>
      </c>
      <c r="G185" t="str">
        <v>MUHAMMED RAZI TM</v>
      </c>
    </row>
    <row r="186" spans="2:7" x14ac:dyDescent="0.45">
      <c r="B186" t="str">
        <v>D154</v>
      </c>
      <c r="C186">
        <v>0</v>
      </c>
      <c r="D186" t="str">
        <v>SUPER SENIOR</v>
      </c>
      <c r="E186" t="str">
        <v>JARF</v>
      </c>
      <c r="F186">
        <v>96</v>
      </c>
      <c r="G186" t="str">
        <v>ASHIKK.I</v>
      </c>
    </row>
    <row r="187" spans="2:7" x14ac:dyDescent="0.45">
      <c r="B187" t="str">
        <v>B162</v>
      </c>
      <c r="C187">
        <v>0</v>
      </c>
      <c r="D187" t="str">
        <v>JUNIOR</v>
      </c>
      <c r="E187" t="str">
        <v>JARF</v>
      </c>
      <c r="F187">
        <v>96</v>
      </c>
      <c r="G187" t="str">
        <v>RAYHAN PH</v>
      </c>
    </row>
    <row r="188" spans="2:7" x14ac:dyDescent="0.45">
      <c r="B188" t="str">
        <v>D158</v>
      </c>
      <c r="C188">
        <v>0</v>
      </c>
      <c r="D188" t="str">
        <v>SUPER SENIOR</v>
      </c>
      <c r="E188">
        <v>0</v>
      </c>
      <c r="F188">
        <v>96</v>
      </c>
      <c r="G188" t="str">
        <v>MUHAMMED UNAIS</v>
      </c>
    </row>
    <row r="189" spans="2:7" x14ac:dyDescent="0.45">
      <c r="B189" t="str">
        <v>B163</v>
      </c>
      <c r="C189">
        <v>0</v>
      </c>
      <c r="D189" t="str">
        <v>JUNIOR</v>
      </c>
      <c r="E189" t="str">
        <v>JARF</v>
      </c>
      <c r="F189">
        <v>96</v>
      </c>
      <c r="G189" t="str">
        <v>MOHAMMED YOUNUS</v>
      </c>
    </row>
    <row r="190" spans="2:7" x14ac:dyDescent="0.45">
      <c r="B190" t="str">
        <v>D162</v>
      </c>
      <c r="C190">
        <v>0</v>
      </c>
      <c r="D190" t="str">
        <v>SUPER SENIOR</v>
      </c>
      <c r="E190" t="str">
        <v>BADF</v>
      </c>
      <c r="F190">
        <v>96</v>
      </c>
      <c r="G190" t="str">
        <v>ABDURAHMAN P.H</v>
      </c>
    </row>
    <row r="191" spans="2:7" x14ac:dyDescent="0.45">
      <c r="B191" t="str">
        <v>A114</v>
      </c>
      <c r="C191">
        <v>0</v>
      </c>
      <c r="D191" t="str">
        <v>SUB JUNIOR</v>
      </c>
      <c r="E191" t="str">
        <v>BADF</v>
      </c>
      <c r="F191">
        <v>96</v>
      </c>
      <c r="G191" t="str">
        <v>MUHAMMED SHAHID K A</v>
      </c>
    </row>
    <row r="192" spans="2:7" x14ac:dyDescent="0.45">
      <c r="B192" t="str">
        <v>A165</v>
      </c>
      <c r="C192">
        <v>0</v>
      </c>
      <c r="D192" t="str">
        <v>SUB JUNIOR</v>
      </c>
      <c r="E192" t="str">
        <v>DAHF</v>
      </c>
      <c r="F192">
        <v>96</v>
      </c>
      <c r="G192" t="str">
        <v>MUHAMMED MIDLAJ</v>
      </c>
    </row>
    <row r="193" spans="2:7" x14ac:dyDescent="0.45">
      <c r="B193" t="str">
        <v>A115</v>
      </c>
      <c r="C193">
        <v>0</v>
      </c>
      <c r="D193" t="str">
        <v>SUB JUNIOR</v>
      </c>
      <c r="E193" t="str">
        <v>DAHF</v>
      </c>
      <c r="F193">
        <v>96</v>
      </c>
      <c r="G193" t="str">
        <v>K MUHAMMAD JALAL</v>
      </c>
    </row>
    <row r="194" spans="2:7" x14ac:dyDescent="0.45">
      <c r="B194" t="str">
        <v>B106</v>
      </c>
      <c r="C194">
        <v>0</v>
      </c>
      <c r="D194" t="str">
        <v>JUNIOR</v>
      </c>
      <c r="E194" t="str">
        <v>BADF</v>
      </c>
      <c r="F194">
        <v>96</v>
      </c>
      <c r="G194" t="str">
        <v>MUHAMMED ROUHAN M.K</v>
      </c>
    </row>
    <row r="195" spans="2:7" x14ac:dyDescent="0.45">
      <c r="B195" t="str">
        <v>C101</v>
      </c>
      <c r="C195">
        <v>0</v>
      </c>
      <c r="D195" t="str">
        <v>SENIOR</v>
      </c>
      <c r="E195" t="str">
        <v>FANT</v>
      </c>
      <c r="F195">
        <v>96</v>
      </c>
      <c r="G195" t="str">
        <v>MUHAMMED KASHIF</v>
      </c>
    </row>
    <row r="196" spans="2:7" x14ac:dyDescent="0.45">
      <c r="B196" t="str">
        <v>C153</v>
      </c>
      <c r="C196">
        <v>0</v>
      </c>
      <c r="D196" t="str">
        <v>SENIOR</v>
      </c>
      <c r="E196" t="str">
        <v>DAHF</v>
      </c>
      <c r="F196">
        <v>96</v>
      </c>
      <c r="G196" t="str">
        <v>MUHAMMED AHMASH K</v>
      </c>
    </row>
    <row r="197" spans="2:7" x14ac:dyDescent="0.45">
      <c r="B197" t="str">
        <v>B100</v>
      </c>
      <c r="C197">
        <v>0</v>
      </c>
      <c r="D197" t="str">
        <v>JUNIOR</v>
      </c>
      <c r="E197" t="str">
        <v>BADF</v>
      </c>
      <c r="F197">
        <v>96</v>
      </c>
      <c r="G197" t="str">
        <v>ZAINUL ABID K</v>
      </c>
    </row>
    <row r="198" spans="2:7" x14ac:dyDescent="0.45">
      <c r="B198" t="str">
        <v>C155</v>
      </c>
      <c r="C198">
        <v>0</v>
      </c>
      <c r="D198" t="str">
        <v>SENIOR</v>
      </c>
      <c r="E198" t="str">
        <v>FANT</v>
      </c>
      <c r="F198">
        <v>96</v>
      </c>
      <c r="G198" t="str">
        <v>HASSAN ZARKASH</v>
      </c>
    </row>
    <row r="199" spans="2:7" x14ac:dyDescent="0.45">
      <c r="B199" t="str">
        <v>A116</v>
      </c>
      <c r="C199">
        <v>0</v>
      </c>
      <c r="D199" t="str">
        <v>SUB JUNIOR</v>
      </c>
      <c r="E199">
        <v>0</v>
      </c>
      <c r="F199">
        <v>96</v>
      </c>
      <c r="G199" t="str">
        <v>MUHAMMED T K</v>
      </c>
    </row>
    <row r="200" spans="2:7" x14ac:dyDescent="0.45">
      <c r="B200" t="str">
        <v>C157</v>
      </c>
      <c r="C200">
        <v>0</v>
      </c>
      <c r="D200" t="str">
        <v>SENIOR</v>
      </c>
      <c r="E200" t="str">
        <v>BADF</v>
      </c>
      <c r="F200">
        <v>96</v>
      </c>
      <c r="G200" t="str">
        <v>HASAN YASIR</v>
      </c>
    </row>
    <row r="201" spans="2:7" x14ac:dyDescent="0.45">
      <c r="B201" t="str">
        <v>B101</v>
      </c>
      <c r="C201">
        <v>0</v>
      </c>
      <c r="D201" t="str">
        <v>JUNIOR</v>
      </c>
      <c r="E201" t="str">
        <v>DAHF</v>
      </c>
      <c r="F201">
        <v>96</v>
      </c>
      <c r="G201" t="str">
        <v>AHMED AFRAZ MB</v>
      </c>
    </row>
    <row r="202" spans="2:7" x14ac:dyDescent="0.45">
      <c r="B202" t="str">
        <v>C159</v>
      </c>
      <c r="C202">
        <v>0</v>
      </c>
      <c r="D202" t="str">
        <v>SENIOR</v>
      </c>
      <c r="E202" t="str">
        <v>BADF</v>
      </c>
      <c r="F202">
        <v>96</v>
      </c>
      <c r="G202" t="str">
        <v>MUHAMMED KAIF BS</v>
      </c>
    </row>
    <row r="203" spans="2:7" x14ac:dyDescent="0.45">
      <c r="B203" t="str">
        <v>A168</v>
      </c>
      <c r="C203">
        <v>0</v>
      </c>
      <c r="D203" t="str">
        <v>SUB JUNIOR</v>
      </c>
      <c r="E203" t="str">
        <v>JARF</v>
      </c>
      <c r="F203">
        <v>96</v>
      </c>
      <c r="G203" t="str">
        <v>Muhammed Sinan D A</v>
      </c>
    </row>
    <row r="204" spans="2:7" x14ac:dyDescent="0.45">
      <c r="B204" t="str">
        <v>A155</v>
      </c>
      <c r="C204">
        <v>0</v>
      </c>
      <c r="D204" t="str">
        <v>SUB JUNIOR</v>
      </c>
      <c r="E204" t="str">
        <v>JARF</v>
      </c>
      <c r="F204">
        <v>96</v>
      </c>
      <c r="G204" t="str">
        <v>Muhammad M</v>
      </c>
    </row>
    <row r="205" spans="2:7" x14ac:dyDescent="0.45">
      <c r="B205" t="str">
        <v>C106</v>
      </c>
      <c r="C205">
        <v>0</v>
      </c>
      <c r="D205" t="str">
        <v>SENIOR</v>
      </c>
      <c r="E205" t="str">
        <v>BADF</v>
      </c>
      <c r="F205">
        <v>96</v>
      </c>
      <c r="G205" t="str">
        <v>ABDUL RAHMAN ANFHAL M I</v>
      </c>
    </row>
    <row r="206" spans="2:7" x14ac:dyDescent="0.45">
      <c r="B206" t="str">
        <v>C163</v>
      </c>
      <c r="C206">
        <v>0</v>
      </c>
      <c r="D206" t="str">
        <v>SENIOR</v>
      </c>
      <c r="E206" t="str">
        <v>JARF</v>
      </c>
      <c r="F206">
        <v>96</v>
      </c>
      <c r="G206" t="str">
        <v>MOHAMMED SAHEED A.K</v>
      </c>
    </row>
    <row r="207" spans="2:7" x14ac:dyDescent="0.45">
      <c r="B207" t="str">
        <v>C107</v>
      </c>
      <c r="C207">
        <v>0</v>
      </c>
      <c r="D207" t="str">
        <v>SENIOR</v>
      </c>
      <c r="E207" t="str">
        <v>DAHF</v>
      </c>
      <c r="F207">
        <v>96</v>
      </c>
      <c r="G207" t="str">
        <v>ADIL ABDULLA A</v>
      </c>
    </row>
    <row r="208" spans="2:7" x14ac:dyDescent="0.45">
      <c r="B208" t="str">
        <v>C165</v>
      </c>
      <c r="C208">
        <v>0</v>
      </c>
      <c r="D208" t="str">
        <v>SENIOR</v>
      </c>
      <c r="E208" t="str">
        <v>JARF</v>
      </c>
      <c r="F208">
        <v>96</v>
      </c>
      <c r="G208" t="str">
        <v>MUHAMMAD IBN AHMAD</v>
      </c>
    </row>
    <row r="209" spans="2:7" x14ac:dyDescent="0.45">
      <c r="B209" t="str">
        <v>A169</v>
      </c>
      <c r="C209">
        <v>0</v>
      </c>
      <c r="D209" t="str">
        <v>SUB JUNIOR</v>
      </c>
      <c r="E209" t="str">
        <v>FANT</v>
      </c>
      <c r="F209">
        <v>96</v>
      </c>
      <c r="G209" t="str">
        <v>NAZWAN MOHAMMED</v>
      </c>
    </row>
    <row r="210" spans="2:7" x14ac:dyDescent="0.45">
      <c r="B210" t="str">
        <v>C167</v>
      </c>
      <c r="C210">
        <v>0</v>
      </c>
      <c r="D210" t="str">
        <v>SENIOR</v>
      </c>
      <c r="E210" t="str">
        <v>JARF</v>
      </c>
      <c r="F210">
        <v>96</v>
      </c>
      <c r="G210" t="str">
        <v>MUHAMMED MUJTHABA MK</v>
      </c>
    </row>
    <row r="211" spans="2:7" x14ac:dyDescent="0.45">
      <c r="B211" t="str">
        <v>A150</v>
      </c>
      <c r="C211">
        <v>0</v>
      </c>
      <c r="D211" t="str">
        <v>SUB JUNIOR</v>
      </c>
      <c r="E211" t="str">
        <v>FANT</v>
      </c>
      <c r="F211">
        <v>96</v>
      </c>
      <c r="G211" t="str">
        <v>MOHAMED JAWHAR J A</v>
      </c>
    </row>
    <row r="212" spans="2:7" x14ac:dyDescent="0.45">
      <c r="B212" t="str">
        <v>A156</v>
      </c>
      <c r="C212">
        <v>0</v>
      </c>
      <c r="D212" t="str">
        <v>SUB JUNIOR</v>
      </c>
      <c r="E212" t="str">
        <v>JARF</v>
      </c>
      <c r="F212">
        <v>96</v>
      </c>
      <c r="G212" t="str">
        <v>MUHAMMAD SHAHSAD HASAN</v>
      </c>
    </row>
    <row r="213" spans="2:7" x14ac:dyDescent="0.45">
      <c r="B213" t="str">
        <v>C110</v>
      </c>
      <c r="C213">
        <v>0</v>
      </c>
      <c r="D213" t="str">
        <v>SENIOR</v>
      </c>
      <c r="E213" t="str">
        <v>DAHF</v>
      </c>
      <c r="F213">
        <v>96</v>
      </c>
      <c r="G213" t="str">
        <v>SHADIL AHAMED</v>
      </c>
    </row>
    <row r="214" spans="2:7" x14ac:dyDescent="0.45">
      <c r="B214" t="str">
        <v>A102</v>
      </c>
      <c r="C214">
        <v>0</v>
      </c>
      <c r="D214" t="str">
        <v>SUB JUNIOR</v>
      </c>
      <c r="E214" t="str">
        <v>JARF</v>
      </c>
      <c r="F214">
        <v>96</v>
      </c>
      <c r="G214" t="str">
        <v>AJZAL ASHRAF OV</v>
      </c>
    </row>
    <row r="215" spans="2:7" x14ac:dyDescent="0.45">
      <c r="B215" t="str">
        <v>C111</v>
      </c>
      <c r="C215">
        <v>0</v>
      </c>
      <c r="D215" t="str">
        <v>SENIOR</v>
      </c>
      <c r="E215" t="str">
        <v>JARF</v>
      </c>
      <c r="F215">
        <v>96</v>
      </c>
      <c r="G215" t="str">
        <v>MUHAMMAD ISMAIL HAMDULLA V K</v>
      </c>
    </row>
    <row r="216" spans="2:7" x14ac:dyDescent="0.45">
      <c r="B216" t="str">
        <v>C173</v>
      </c>
      <c r="C216">
        <v>0</v>
      </c>
      <c r="D216" t="str">
        <v>SENIOR</v>
      </c>
      <c r="E216" t="str">
        <v>FANT</v>
      </c>
      <c r="F216">
        <v>96</v>
      </c>
      <c r="G216" t="str">
        <v>ABDUL HADIL P.M</v>
      </c>
    </row>
    <row r="217" spans="2:7" x14ac:dyDescent="0.45">
      <c r="B217" t="str">
        <v>C112</v>
      </c>
      <c r="C217">
        <v>0</v>
      </c>
      <c r="D217" t="str">
        <v>SENIOR</v>
      </c>
      <c r="E217" t="str">
        <v>FANT</v>
      </c>
      <c r="F217">
        <v>96</v>
      </c>
      <c r="G217" t="str">
        <v>MOHAMMED SA'DUDDEEN K</v>
      </c>
    </row>
    <row r="218" spans="2:7" x14ac:dyDescent="0.45">
      <c r="B218" t="str">
        <v>C175</v>
      </c>
      <c r="C218">
        <v>0</v>
      </c>
      <c r="D218" t="str">
        <v>SENIOR</v>
      </c>
      <c r="E218" t="str">
        <v>JARF</v>
      </c>
      <c r="F218">
        <v>96</v>
      </c>
      <c r="G218" t="str">
        <v>ABDULLAH MAZIN</v>
      </c>
    </row>
    <row r="219" spans="2:7" x14ac:dyDescent="0.45">
      <c r="B219" t="str">
        <v>A117</v>
      </c>
      <c r="C219">
        <v>0</v>
      </c>
      <c r="D219" t="str">
        <v>SUB JUNIOR</v>
      </c>
      <c r="E219" t="str">
        <v>JARF</v>
      </c>
      <c r="F219">
        <v>96</v>
      </c>
      <c r="G219" t="str">
        <v>Muhammed Waheed R K</v>
      </c>
    </row>
    <row r="220" spans="2:7" x14ac:dyDescent="0.45">
      <c r="B220" t="str">
        <v>C177</v>
      </c>
      <c r="C220">
        <v>0</v>
      </c>
      <c r="D220" t="str">
        <v>SENIOR</v>
      </c>
      <c r="E220" t="str">
        <v>DAHF</v>
      </c>
      <c r="F220">
        <v>96</v>
      </c>
      <c r="G220" t="str">
        <v>MOHAMMED HUSSAIN</v>
      </c>
    </row>
    <row r="221" spans="2:7" x14ac:dyDescent="0.45">
      <c r="B221" t="str">
        <v>C114</v>
      </c>
      <c r="C221">
        <v>0</v>
      </c>
      <c r="D221" t="str">
        <v>SENIOR</v>
      </c>
      <c r="E221" t="str">
        <v>BADF</v>
      </c>
      <c r="F221">
        <v>96</v>
      </c>
      <c r="G221" t="str">
        <v>AJMAL RUWAIS</v>
      </c>
    </row>
    <row r="222" spans="2:7" x14ac:dyDescent="0.45">
      <c r="B222" t="str">
        <v>A124</v>
      </c>
      <c r="C222">
        <v>0</v>
      </c>
      <c r="D222" t="str">
        <v>SUB JUNIOR</v>
      </c>
      <c r="E222" t="str">
        <v>BADF</v>
      </c>
      <c r="F222">
        <v>96</v>
      </c>
      <c r="G222" t="str">
        <v>MOHAMMED JASEEM</v>
      </c>
    </row>
    <row r="223" spans="2:7" x14ac:dyDescent="0.45">
      <c r="B223" t="str">
        <v>D194</v>
      </c>
      <c r="C223">
        <v>0</v>
      </c>
      <c r="D223" t="str">
        <v>SUPER SENIOR</v>
      </c>
      <c r="E223" t="str">
        <v>JARF</v>
      </c>
      <c r="F223">
        <v>96</v>
      </c>
      <c r="G223" t="str">
        <v>AYAZ RAHMAN T</v>
      </c>
    </row>
    <row r="224" spans="2:7" x14ac:dyDescent="0.45">
      <c r="B224" t="str">
        <v>D101</v>
      </c>
      <c r="C224">
        <v>0</v>
      </c>
      <c r="D224" t="str">
        <v>SUPER SENIOR</v>
      </c>
      <c r="E224" t="str">
        <v>JARF</v>
      </c>
      <c r="F224">
        <v>96</v>
      </c>
      <c r="G224" t="str">
        <v>MOHAMMED AFSAL</v>
      </c>
    </row>
    <row r="225" spans="2:7" x14ac:dyDescent="0.45">
      <c r="B225" t="str">
        <v>D195</v>
      </c>
      <c r="C225">
        <v>0</v>
      </c>
      <c r="D225" t="str">
        <v>SUPER SENIOR</v>
      </c>
      <c r="E225" t="str">
        <v>BADF</v>
      </c>
      <c r="F225">
        <v>96</v>
      </c>
      <c r="G225" t="str">
        <v>AHMED SWALAHUDHEEN PI</v>
      </c>
    </row>
    <row r="226" spans="2:7" x14ac:dyDescent="0.45">
      <c r="B226" t="str">
        <v>D103</v>
      </c>
      <c r="C226">
        <v>0</v>
      </c>
      <c r="D226" t="str">
        <v>SUPER SENIOR</v>
      </c>
      <c r="E226" t="str">
        <v>DAHF</v>
      </c>
      <c r="F226">
        <v>96</v>
      </c>
      <c r="G226" t="str">
        <v>MUHAMMAD RAZI</v>
      </c>
    </row>
    <row r="227" spans="2:7" x14ac:dyDescent="0.45">
      <c r="B227" t="str">
        <v>D197</v>
      </c>
      <c r="C227">
        <v>0</v>
      </c>
      <c r="D227" t="str">
        <v>SUPER SENIOR</v>
      </c>
      <c r="E227" t="str">
        <v>DAHF</v>
      </c>
      <c r="F227">
        <v>96</v>
      </c>
      <c r="G227" t="str">
        <v>MUHAMMED ASHFAK K</v>
      </c>
    </row>
    <row r="228" spans="2:7" x14ac:dyDescent="0.45">
      <c r="B228" t="str">
        <v>D105</v>
      </c>
      <c r="C228">
        <v>0</v>
      </c>
      <c r="D228" t="str">
        <v>SUPER SENIOR</v>
      </c>
      <c r="E228" t="str">
        <v>FANT</v>
      </c>
      <c r="F228">
        <v>96</v>
      </c>
      <c r="G228" t="str">
        <v>ABDUL WADHOOD</v>
      </c>
    </row>
    <row r="229" spans="2:7" x14ac:dyDescent="0.45">
      <c r="B229" t="str">
        <v>D199</v>
      </c>
      <c r="C229">
        <v>0</v>
      </c>
      <c r="D229" t="str">
        <v>SUPER SENIOR</v>
      </c>
      <c r="E229" t="str">
        <v>BADF</v>
      </c>
      <c r="F229">
        <v>96</v>
      </c>
      <c r="G229" t="str">
        <v>Simsarul Haq VPM</v>
      </c>
    </row>
    <row r="230" spans="2:7" x14ac:dyDescent="0.45">
      <c r="B230" t="str">
        <v>D107</v>
      </c>
      <c r="C230">
        <v>0</v>
      </c>
      <c r="D230" t="str">
        <v>SUPER SENIOR</v>
      </c>
      <c r="E230" t="str">
        <v>DAHF</v>
      </c>
      <c r="F230">
        <v>96</v>
      </c>
      <c r="G230" t="str">
        <v>AHMMED HASHIM M</v>
      </c>
    </row>
    <row r="231" spans="2:7" x14ac:dyDescent="0.45">
      <c r="B231" t="str">
        <v>C119</v>
      </c>
      <c r="C231">
        <v>0</v>
      </c>
      <c r="D231" t="str">
        <v>SENIOR</v>
      </c>
      <c r="E231" t="str">
        <v>JARF</v>
      </c>
      <c r="F231">
        <v>96</v>
      </c>
      <c r="G231" t="str">
        <v>ARIFUDEEN ABBAS A</v>
      </c>
    </row>
    <row r="232" spans="2:7" x14ac:dyDescent="0.45">
      <c r="B232" t="str">
        <v>B110</v>
      </c>
      <c r="C232">
        <v>0</v>
      </c>
      <c r="D232" t="str">
        <v>JUNIOR</v>
      </c>
      <c r="E232" t="str">
        <v>DAHF</v>
      </c>
      <c r="F232">
        <v>96</v>
      </c>
      <c r="G232" t="str">
        <v>MUHAMMED MUHAZ P A</v>
      </c>
    </row>
    <row r="233" spans="2:7" x14ac:dyDescent="0.45">
      <c r="B233" t="str">
        <v>C120</v>
      </c>
      <c r="C233">
        <v>0</v>
      </c>
      <c r="D233" t="str">
        <v>SENIOR</v>
      </c>
      <c r="E233" t="str">
        <v>DAHF</v>
      </c>
      <c r="F233">
        <v>96</v>
      </c>
      <c r="G233" t="str">
        <v>MAJID MUHAMMED M</v>
      </c>
    </row>
    <row r="234" spans="2:7" x14ac:dyDescent="0.45">
      <c r="B234" t="str">
        <v>D111</v>
      </c>
      <c r="C234">
        <v>0</v>
      </c>
      <c r="D234" t="str">
        <v>SUPER SENIOR</v>
      </c>
      <c r="E234" t="str">
        <v>JARF</v>
      </c>
      <c r="F234">
        <v>96</v>
      </c>
      <c r="G234" t="str">
        <v>MAHAMMED SHAMEEL</v>
      </c>
    </row>
    <row r="235" spans="2:7" x14ac:dyDescent="0.45">
      <c r="B235" t="str">
        <v>C121</v>
      </c>
      <c r="C235">
        <v>0</v>
      </c>
      <c r="D235" t="str">
        <v>SENIOR</v>
      </c>
      <c r="E235" t="str">
        <v>JARF</v>
      </c>
      <c r="F235">
        <v>96</v>
      </c>
      <c r="G235" t="str">
        <v>ABDUL SALAM ARIF</v>
      </c>
    </row>
    <row r="236" spans="2:7" x14ac:dyDescent="0.45">
      <c r="B236" t="str">
        <v>D113</v>
      </c>
      <c r="C236">
        <v>0</v>
      </c>
      <c r="D236" t="str">
        <v>SUPER SENIOR</v>
      </c>
      <c r="E236" t="str">
        <v>JARF</v>
      </c>
      <c r="F236">
        <v>96</v>
      </c>
      <c r="G236" t="str">
        <v>ZULFIKARALI</v>
      </c>
    </row>
    <row r="237" spans="2:7" x14ac:dyDescent="0.45">
      <c r="B237" t="str">
        <v>C122</v>
      </c>
      <c r="C237">
        <v>0</v>
      </c>
      <c r="D237" t="str">
        <v>SENIOR</v>
      </c>
      <c r="E237" t="str">
        <v>BADF</v>
      </c>
      <c r="F237">
        <v>96</v>
      </c>
      <c r="G237" t="str">
        <v>MOHAMMED K H</v>
      </c>
    </row>
    <row r="238" spans="2:7" x14ac:dyDescent="0.45">
      <c r="B238" t="str">
        <v>B111</v>
      </c>
      <c r="C238">
        <v>0</v>
      </c>
      <c r="D238" t="str">
        <v>JUNIOR</v>
      </c>
      <c r="E238" t="str">
        <v>FANT</v>
      </c>
      <c r="F238">
        <v>96</v>
      </c>
      <c r="G238" t="str">
        <v>MUHAMMED SAHEEM ASHRAF</v>
      </c>
    </row>
    <row r="239" spans="2:7" x14ac:dyDescent="0.45">
      <c r="B239" t="str">
        <v>C123</v>
      </c>
      <c r="C239">
        <v>0</v>
      </c>
      <c r="D239" t="str">
        <v>SENIOR</v>
      </c>
      <c r="E239" t="str">
        <v>BADF</v>
      </c>
      <c r="F239">
        <v>96</v>
      </c>
      <c r="G239" t="str">
        <v>MOHAMMED FAQRUDDEEN RAZI</v>
      </c>
    </row>
    <row r="240" spans="2:7" x14ac:dyDescent="0.45">
      <c r="B240" t="str">
        <v>A126</v>
      </c>
      <c r="C240">
        <v>0</v>
      </c>
      <c r="D240" t="str">
        <v>SUB JUNIOR</v>
      </c>
      <c r="E240" t="str">
        <v>JARF</v>
      </c>
      <c r="F240">
        <v>96</v>
      </c>
      <c r="G240" t="str">
        <v>MUHAMMED ZAID</v>
      </c>
    </row>
    <row r="241" spans="2:7" x14ac:dyDescent="0.45">
      <c r="B241" t="str">
        <v>C124</v>
      </c>
      <c r="C241">
        <v>0</v>
      </c>
      <c r="D241" t="str">
        <v>SENIOR</v>
      </c>
      <c r="E241" t="str">
        <v>BADF</v>
      </c>
      <c r="F241">
        <v>96</v>
      </c>
      <c r="G241" t="str">
        <v>MOHAMMED MUBASHIR</v>
      </c>
    </row>
    <row r="242" spans="2:7" x14ac:dyDescent="0.45">
      <c r="B242" t="str">
        <v>A160</v>
      </c>
      <c r="C242">
        <v>0</v>
      </c>
      <c r="D242" t="str">
        <v>SUB JUNIOR</v>
      </c>
      <c r="E242" t="str">
        <v>JARF</v>
      </c>
      <c r="F242">
        <v>96</v>
      </c>
      <c r="G242" t="str">
        <v>MUHAMMED AYAAN</v>
      </c>
    </row>
    <row r="243" spans="2:7" x14ac:dyDescent="0.45">
      <c r="B243" t="str">
        <v>C125</v>
      </c>
      <c r="C243">
        <v>0</v>
      </c>
      <c r="D243" t="str">
        <v>SENIOR</v>
      </c>
      <c r="E243" t="str">
        <v>FANT</v>
      </c>
      <c r="F243">
        <v>96</v>
      </c>
      <c r="G243" t="str">
        <v>AHAMMED MINHAJ E M</v>
      </c>
    </row>
    <row r="244" spans="2:7" x14ac:dyDescent="0.45">
      <c r="B244" t="str">
        <v>A161</v>
      </c>
      <c r="C244">
        <v>0</v>
      </c>
      <c r="D244" t="str">
        <v>SUB JUNIOR</v>
      </c>
      <c r="E244" t="str">
        <v>FANT</v>
      </c>
      <c r="F244">
        <v>96</v>
      </c>
      <c r="G244" t="str">
        <v>MUHAMMED FAHAD</v>
      </c>
    </row>
    <row r="245" spans="2:7" x14ac:dyDescent="0.45">
      <c r="B245" t="str">
        <v>C126</v>
      </c>
      <c r="C245">
        <v>0</v>
      </c>
      <c r="D245" t="str">
        <v>SENIOR</v>
      </c>
      <c r="E245" t="str">
        <v>JARF</v>
      </c>
      <c r="F245">
        <v>96</v>
      </c>
      <c r="G245" t="str">
        <v>ADNAN ABDULLAH B A</v>
      </c>
    </row>
    <row r="246" spans="2:7" x14ac:dyDescent="0.45">
      <c r="B246" t="str">
        <v>A162</v>
      </c>
      <c r="C246">
        <v>0</v>
      </c>
      <c r="D246" t="str">
        <v>SUB JUNIOR</v>
      </c>
      <c r="E246" t="str">
        <v>FANT</v>
      </c>
      <c r="F246">
        <v>96</v>
      </c>
      <c r="G246" t="str">
        <v>MUHAMMED FAREED A S</v>
      </c>
    </row>
    <row r="247" spans="2:7" x14ac:dyDescent="0.45">
      <c r="B247" t="str">
        <v>C127</v>
      </c>
      <c r="C247">
        <v>0</v>
      </c>
      <c r="D247" t="str">
        <v>SENIOR</v>
      </c>
      <c r="E247" t="str">
        <v>FANT</v>
      </c>
      <c r="F247">
        <v>96</v>
      </c>
      <c r="G247" t="str">
        <v>SHAMMAZ P A</v>
      </c>
    </row>
    <row r="248" spans="2:7" x14ac:dyDescent="0.45">
      <c r="B248" t="str">
        <v>D125</v>
      </c>
      <c r="C248">
        <v>0</v>
      </c>
      <c r="D248" t="str">
        <v>SUPER SENIOR</v>
      </c>
      <c r="E248" t="str">
        <v>DAHF</v>
      </c>
      <c r="F248">
        <v>96</v>
      </c>
      <c r="G248" t="str">
        <v>SAYYAD MOHAMMED VASIL</v>
      </c>
    </row>
    <row r="249" spans="2:7" x14ac:dyDescent="0.45">
      <c r="B249" t="str">
        <v>C128</v>
      </c>
      <c r="C249">
        <v>0</v>
      </c>
      <c r="D249" t="str">
        <v>SENIOR</v>
      </c>
      <c r="E249" t="str">
        <v>DAHF</v>
      </c>
      <c r="F249">
        <v>96</v>
      </c>
      <c r="G249" t="str">
        <v>MAHIN SINAN</v>
      </c>
    </row>
    <row r="250" spans="2:7" x14ac:dyDescent="0.45">
      <c r="B250" t="str">
        <v>D127</v>
      </c>
      <c r="C250">
        <v>0</v>
      </c>
      <c r="D250" t="str">
        <v>SUPER SENIOR</v>
      </c>
      <c r="E250" t="str">
        <v>FANT</v>
      </c>
      <c r="F250">
        <v>96</v>
      </c>
      <c r="G250" t="str">
        <v>SHADIN G</v>
      </c>
    </row>
    <row r="251" spans="2:7" x14ac:dyDescent="0.45">
      <c r="B251" t="str">
        <v>C129</v>
      </c>
      <c r="C251">
        <v>0</v>
      </c>
      <c r="D251" t="str">
        <v>SENIOR</v>
      </c>
      <c r="E251" t="str">
        <v>BADF</v>
      </c>
      <c r="F251">
        <v>96</v>
      </c>
      <c r="G251" t="str">
        <v>P K ZAMEEL AHMED</v>
      </c>
    </row>
    <row r="252" spans="2:7" x14ac:dyDescent="0.45">
      <c r="B252" t="str">
        <v>B113</v>
      </c>
      <c r="C252">
        <v>0</v>
      </c>
      <c r="D252" t="str">
        <v>JUNIOR</v>
      </c>
      <c r="E252" t="str">
        <v>BADF</v>
      </c>
      <c r="F252">
        <v>96</v>
      </c>
      <c r="G252" t="str">
        <v>MUHAMMED IHTHISHAM P I</v>
      </c>
    </row>
    <row r="253" spans="2:7" x14ac:dyDescent="0.45">
      <c r="B253" t="str">
        <v>C130</v>
      </c>
      <c r="C253">
        <v>0</v>
      </c>
      <c r="D253" t="str">
        <v>SENIOR</v>
      </c>
      <c r="E253" t="str">
        <v>DAHF</v>
      </c>
      <c r="F253">
        <v>96</v>
      </c>
      <c r="G253" t="str">
        <v>MOHAMMED HISHAM</v>
      </c>
    </row>
    <row r="254" spans="2:7" x14ac:dyDescent="0.45">
      <c r="B254" t="str">
        <v>D131</v>
      </c>
      <c r="C254">
        <v>0</v>
      </c>
      <c r="D254" t="str">
        <v>SUPER SENIOR</v>
      </c>
      <c r="E254" t="str">
        <v>DAHF</v>
      </c>
      <c r="F254">
        <v>96</v>
      </c>
      <c r="G254" t="str">
        <v>MAHAMMAD RIYAZ</v>
      </c>
    </row>
    <row r="255" spans="2:7" x14ac:dyDescent="0.45">
      <c r="B255" t="str">
        <v>D187</v>
      </c>
      <c r="C255">
        <v>0</v>
      </c>
      <c r="D255" t="str">
        <v>SUPER SENIOR</v>
      </c>
      <c r="E255" t="str">
        <v>DAHF</v>
      </c>
      <c r="F255">
        <v>96</v>
      </c>
      <c r="G255" t="str">
        <v>ABDUL RAHMAN</v>
      </c>
    </row>
    <row r="256" spans="2:7" x14ac:dyDescent="0.45">
      <c r="B256" t="str">
        <v>D133</v>
      </c>
      <c r="C256">
        <v>0</v>
      </c>
      <c r="D256" t="str">
        <v>SUPER SENIOR</v>
      </c>
      <c r="E256" t="str">
        <v>FANT</v>
      </c>
      <c r="F256">
        <v>96</v>
      </c>
      <c r="G256" t="str">
        <v>MOHAMMED SHAMSHEER</v>
      </c>
    </row>
    <row r="257" spans="2:7" x14ac:dyDescent="0.45">
      <c r="B257" t="str">
        <v>A106</v>
      </c>
      <c r="C257">
        <v>0</v>
      </c>
      <c r="D257" t="str">
        <v>SUB JUNIOR</v>
      </c>
      <c r="E257" t="str">
        <v>BADF</v>
      </c>
      <c r="F257">
        <v>96</v>
      </c>
      <c r="G257" t="str">
        <v>Abdul Khader Uvais K A</v>
      </c>
    </row>
    <row r="258" spans="2:7" x14ac:dyDescent="0.45">
      <c r="B258" t="str">
        <v>D135</v>
      </c>
      <c r="C258">
        <v>0</v>
      </c>
      <c r="D258" t="str">
        <v>SUPER SENIOR</v>
      </c>
      <c r="E258" t="str">
        <v>DAHF</v>
      </c>
      <c r="F258">
        <v>96</v>
      </c>
      <c r="G258" t="str">
        <v>HASHIR HUSSAIN IK</v>
      </c>
    </row>
    <row r="259" spans="2:7" x14ac:dyDescent="0.45">
      <c r="B259" t="str">
        <v>D190</v>
      </c>
      <c r="C259">
        <v>0</v>
      </c>
      <c r="D259" t="str">
        <v>SUPER SENIOR</v>
      </c>
      <c r="E259" t="str">
        <v>BADF</v>
      </c>
      <c r="F259">
        <v>96</v>
      </c>
      <c r="G259" t="str">
        <v>MOHAMMED AMEEN B.A</v>
      </c>
    </row>
    <row r="260" spans="2:7" x14ac:dyDescent="0.45">
      <c r="B260" t="str">
        <v>D137</v>
      </c>
      <c r="C260">
        <v>0</v>
      </c>
      <c r="D260" t="str">
        <v>SUPER SENIOR</v>
      </c>
      <c r="E260" t="str">
        <v>BADF</v>
      </c>
      <c r="F260">
        <v>96</v>
      </c>
      <c r="G260" t="str">
        <v>AYYOOB V.N</v>
      </c>
    </row>
    <row r="261" spans="2:7" x14ac:dyDescent="0.45">
      <c r="B261" t="str">
        <v>A137</v>
      </c>
      <c r="C261">
        <v>0</v>
      </c>
      <c r="D261" t="str">
        <v>SUB JUNIOR</v>
      </c>
      <c r="E261" t="str">
        <v>DAHF</v>
      </c>
      <c r="F261">
        <v>96</v>
      </c>
      <c r="G261" t="str">
        <v>MOHAMMED SHUAIB K M</v>
      </c>
    </row>
    <row r="262" spans="2:7" x14ac:dyDescent="0.45">
      <c r="B262" t="str">
        <v>A141</v>
      </c>
      <c r="C262">
        <v>0</v>
      </c>
      <c r="D262" t="str">
        <v>SUB JUNIOR</v>
      </c>
      <c r="E262" t="str">
        <v>JARF</v>
      </c>
      <c r="F262">
        <v>96</v>
      </c>
      <c r="G262" t="str">
        <v>MUHAMMED SHUHAIR</v>
      </c>
    </row>
    <row r="263" spans="2:7" x14ac:dyDescent="0.45">
      <c r="B263" t="str">
        <v>A138</v>
      </c>
      <c r="C263">
        <v>0</v>
      </c>
      <c r="D263" t="str">
        <v>SUB JUNIOR</v>
      </c>
      <c r="E263">
        <v>0</v>
      </c>
      <c r="F263">
        <v>96</v>
      </c>
      <c r="G263" t="str">
        <v>ziyad. K. M. C</v>
      </c>
    </row>
    <row r="264" spans="2:7" x14ac:dyDescent="0.45">
      <c r="B264" t="str">
        <v>B116</v>
      </c>
      <c r="C264">
        <v>0</v>
      </c>
      <c r="D264" t="str">
        <v>JUNIOR</v>
      </c>
      <c r="E264" t="str">
        <v>JARF</v>
      </c>
      <c r="F264">
        <v>96</v>
      </c>
      <c r="G264" t="str">
        <v>MOHAMMED SABIK BM</v>
      </c>
    </row>
    <row r="265" spans="2:7" x14ac:dyDescent="0.45">
      <c r="B265" t="str">
        <v>C136</v>
      </c>
      <c r="C265">
        <v>0</v>
      </c>
      <c r="D265" t="str">
        <v>SENIOR</v>
      </c>
      <c r="E265" t="str">
        <v>DAHF</v>
      </c>
      <c r="F265">
        <v>96</v>
      </c>
      <c r="G265" t="str">
        <v>MOHAMMED SHAKIR HUSSAIN K.Y</v>
      </c>
    </row>
    <row r="266" spans="2:7" x14ac:dyDescent="0.45">
      <c r="B266" t="str">
        <v>B117</v>
      </c>
      <c r="C266">
        <v>0</v>
      </c>
      <c r="D266" t="str">
        <v>JUNIOR</v>
      </c>
      <c r="E266" t="str">
        <v>BADF</v>
      </c>
      <c r="F266">
        <v>96</v>
      </c>
      <c r="G266" t="str">
        <v>MUHAMMAD SABITH V K P</v>
      </c>
    </row>
    <row r="267" spans="2:7" x14ac:dyDescent="0.45">
      <c r="B267" t="str">
        <v>D169</v>
      </c>
      <c r="C267">
        <v>0</v>
      </c>
      <c r="D267" t="str">
        <v>SUPER SENIOR</v>
      </c>
      <c r="E267" t="str">
        <v>BADF</v>
      </c>
      <c r="F267">
        <v>96</v>
      </c>
      <c r="G267" t="str">
        <v>MUHAMMED AYIZ</v>
      </c>
    </row>
    <row r="268" spans="2:7" x14ac:dyDescent="0.45">
      <c r="B268" t="str">
        <v>D145</v>
      </c>
      <c r="C268">
        <v>0</v>
      </c>
      <c r="D268" t="str">
        <v>SUPER SENIOR</v>
      </c>
      <c r="E268" t="str">
        <v>BADF</v>
      </c>
      <c r="F268">
        <v>96</v>
      </c>
      <c r="G268" t="str">
        <v>ABBAS ARFAS O.R</v>
      </c>
    </row>
    <row r="269" spans="2:7" x14ac:dyDescent="0.45">
      <c r="B269" t="str">
        <v>A132</v>
      </c>
      <c r="C269">
        <v>0</v>
      </c>
      <c r="D269" t="str">
        <v>SUB JUNIOR</v>
      </c>
      <c r="E269" t="str">
        <v>FANT</v>
      </c>
      <c r="F269">
        <v>96</v>
      </c>
      <c r="G269" t="str">
        <v>MUHAMMED SHIRAZ ISHAQUE</v>
      </c>
    </row>
    <row r="270" spans="2:7" x14ac:dyDescent="0.45">
      <c r="B270" t="str">
        <v>A100</v>
      </c>
      <c r="C270">
        <v>0</v>
      </c>
      <c r="D270" t="str">
        <v>SUB JUNIOR</v>
      </c>
      <c r="E270" t="str">
        <v>FANT</v>
      </c>
      <c r="F270">
        <v>96</v>
      </c>
      <c r="G270" t="str">
        <v>ADINAN ABOOBACKER K</v>
      </c>
    </row>
    <row r="271" spans="2:7" x14ac:dyDescent="0.45">
      <c r="B271" t="str">
        <v>D173</v>
      </c>
      <c r="C271">
        <v>0</v>
      </c>
      <c r="D271" t="str">
        <v>SUPER SENIOR</v>
      </c>
      <c r="E271" t="str">
        <v>BADF</v>
      </c>
      <c r="F271">
        <v>96</v>
      </c>
      <c r="G271" t="str">
        <v>ABOOBACKER SIDDIK</v>
      </c>
    </row>
    <row r="272" spans="2:7" x14ac:dyDescent="0.45">
      <c r="B272" t="str">
        <v>D149</v>
      </c>
      <c r="C272">
        <v>0</v>
      </c>
      <c r="D272" t="str">
        <v>SUPER SENIOR</v>
      </c>
      <c r="E272" t="str">
        <v>JARF</v>
      </c>
      <c r="F272">
        <v>96</v>
      </c>
      <c r="G272" t="str">
        <v>MOHAMMED MARZOOK AM</v>
      </c>
    </row>
    <row r="273" spans="2:7" x14ac:dyDescent="0.45">
      <c r="B273" t="str">
        <v>D175</v>
      </c>
      <c r="C273">
        <v>0</v>
      </c>
      <c r="D273" t="str">
        <v>SUPER SENIOR</v>
      </c>
      <c r="E273" t="str">
        <v>FANT</v>
      </c>
      <c r="F273">
        <v>96</v>
      </c>
      <c r="G273" t="str">
        <v>AKBAR P</v>
      </c>
    </row>
    <row r="274" spans="2:7" x14ac:dyDescent="0.45">
      <c r="B274" t="str">
        <v>D151</v>
      </c>
      <c r="C274">
        <v>0</v>
      </c>
      <c r="D274" t="str">
        <v>SUPER SENIOR</v>
      </c>
      <c r="E274" t="str">
        <v>JARF</v>
      </c>
      <c r="F274">
        <v>96</v>
      </c>
      <c r="G274" t="str">
        <v>MUHAMMED SHANAVAS M.A</v>
      </c>
    </row>
    <row r="275" spans="2:7" x14ac:dyDescent="0.45">
      <c r="B275" t="str">
        <v>B104</v>
      </c>
      <c r="C275">
        <v>0</v>
      </c>
      <c r="D275" t="str">
        <v>JUNIOR</v>
      </c>
      <c r="E275" t="str">
        <v>FANT</v>
      </c>
      <c r="F275">
        <v>96</v>
      </c>
      <c r="G275" t="str">
        <v>FAKRUDDIN NAFIL</v>
      </c>
    </row>
    <row r="276" spans="2:7" x14ac:dyDescent="0.45">
      <c r="B276" t="str">
        <v>D153</v>
      </c>
      <c r="C276">
        <v>0</v>
      </c>
      <c r="D276" t="str">
        <v>SUPER SENIOR</v>
      </c>
      <c r="E276" t="str">
        <v>JARF</v>
      </c>
      <c r="F276">
        <v>96</v>
      </c>
      <c r="G276" t="str">
        <v>MUHAMMED UNAIS PT</v>
      </c>
    </row>
    <row r="277" spans="2:7" x14ac:dyDescent="0.45">
      <c r="B277" t="str">
        <v>D179</v>
      </c>
      <c r="C277">
        <v>0</v>
      </c>
      <c r="D277" t="str">
        <v>SUPER SENIOR</v>
      </c>
      <c r="E277" t="str">
        <v>DAHF</v>
      </c>
      <c r="F277">
        <v>96</v>
      </c>
      <c r="G277" t="str">
        <v>MUHAMMED AKBAR NP</v>
      </c>
    </row>
    <row r="278" spans="2:7" x14ac:dyDescent="0.45">
      <c r="B278" t="str">
        <v>D155</v>
      </c>
      <c r="C278">
        <v>0</v>
      </c>
      <c r="D278" t="str">
        <v>SUPER SENIOR</v>
      </c>
      <c r="E278" t="str">
        <v>BADF</v>
      </c>
      <c r="F278">
        <v>96</v>
      </c>
      <c r="G278" t="str">
        <v>MUHAMMED YASIR K</v>
      </c>
    </row>
    <row r="279" spans="2:7" x14ac:dyDescent="0.45">
      <c r="B279" t="str">
        <v>D181</v>
      </c>
      <c r="C279">
        <v>0</v>
      </c>
      <c r="D279" t="str">
        <v>SUPER SENIOR</v>
      </c>
      <c r="E279" t="str">
        <v>DAHF</v>
      </c>
      <c r="F279">
        <v>96</v>
      </c>
      <c r="G279" t="str">
        <v>MUHAMMED SAJJAD</v>
      </c>
    </row>
    <row r="280" spans="2:7" x14ac:dyDescent="0.45">
      <c r="B280" t="str">
        <v>D157</v>
      </c>
      <c r="C280">
        <v>0</v>
      </c>
      <c r="D280" t="str">
        <v>SUPER SENIOR</v>
      </c>
      <c r="E280" t="str">
        <v>BADF</v>
      </c>
      <c r="F280">
        <v>96</v>
      </c>
      <c r="G280" t="str">
        <v>MUHAMMAD MUZAMMIL E.A</v>
      </c>
    </row>
    <row r="281" spans="2:7" x14ac:dyDescent="0.45">
      <c r="B281" t="str">
        <v>A139</v>
      </c>
      <c r="C281">
        <v>0</v>
      </c>
      <c r="D281" t="str">
        <v>SUB JUNIOR</v>
      </c>
      <c r="E281" t="str">
        <v>FANT</v>
      </c>
      <c r="F281">
        <v>96</v>
      </c>
      <c r="G281" t="str">
        <v>MUHAMMED MOIDEEN KUNHI</v>
      </c>
    </row>
    <row r="282" spans="2:7" x14ac:dyDescent="0.45">
      <c r="B282" t="str">
        <v>D159</v>
      </c>
      <c r="C282">
        <v>0</v>
      </c>
      <c r="D282" t="str">
        <v>SUPER SENIOR</v>
      </c>
      <c r="E282" t="str">
        <v>FANT</v>
      </c>
      <c r="F282">
        <v>96</v>
      </c>
      <c r="G282" t="str">
        <v>MUHAMMED MUZAMMIL</v>
      </c>
    </row>
    <row r="283" spans="2:7" x14ac:dyDescent="0.45">
      <c r="B283" t="str">
        <v>D185</v>
      </c>
      <c r="C283">
        <v>0</v>
      </c>
      <c r="D283" t="str">
        <v>SUPER SENIOR</v>
      </c>
      <c r="E283">
        <v>0</v>
      </c>
      <c r="F283">
        <v>96</v>
      </c>
      <c r="G283" t="str">
        <v>MAHAMMED ASHIK</v>
      </c>
    </row>
    <row r="284" spans="2:7" x14ac:dyDescent="0.45">
      <c r="B284" t="str">
        <v>D161</v>
      </c>
      <c r="C284">
        <v>0</v>
      </c>
      <c r="D284" t="str">
        <v>SUPER SENIOR</v>
      </c>
      <c r="E284" t="str">
        <v>BADF</v>
      </c>
      <c r="F284">
        <v>96</v>
      </c>
      <c r="G284" t="str">
        <v>MOHAMMED ATHHAR THAYYIB MS</v>
      </c>
    </row>
    <row r="285" spans="2:7" x14ac:dyDescent="0.45">
      <c r="B285" t="str">
        <v>A167</v>
      </c>
      <c r="C285">
        <v>0</v>
      </c>
      <c r="D285" t="str">
        <v>SUB JUNIOR</v>
      </c>
      <c r="E285" t="str">
        <v>BADF</v>
      </c>
      <c r="F285">
        <v>96</v>
      </c>
      <c r="G285" t="str">
        <v>MUHAMMED RAEES C A</v>
      </c>
    </row>
    <row r="286" spans="2:7" x14ac:dyDescent="0.45">
      <c r="B286" t="str">
        <v>A131</v>
      </c>
      <c r="C286">
        <v>0</v>
      </c>
      <c r="D286" t="str">
        <v>SUB JUNIOR</v>
      </c>
      <c r="E286" t="str">
        <v>DAHF</v>
      </c>
      <c r="F286">
        <v>96</v>
      </c>
      <c r="G286" t="str">
        <v>FAZIL ABDULLA</v>
      </c>
    </row>
    <row r="287" spans="2:7" x14ac:dyDescent="0.45">
      <c r="B287" t="str">
        <v>A120</v>
      </c>
      <c r="C287">
        <v>0</v>
      </c>
      <c r="D287" t="str">
        <v>SUB JUNIOR</v>
      </c>
      <c r="E287" t="str">
        <v>DAHF</v>
      </c>
      <c r="F287">
        <v>96</v>
      </c>
      <c r="G287" t="str">
        <v>MOHAMMED NAFIH</v>
      </c>
    </row>
    <row r="288" spans="2:7" x14ac:dyDescent="0.45">
      <c r="B288" t="str">
        <v>D165</v>
      </c>
      <c r="C288">
        <v>0</v>
      </c>
      <c r="D288" t="str">
        <v>SUPER SENIOR</v>
      </c>
      <c r="E288" t="str">
        <v>FANT</v>
      </c>
      <c r="F288">
        <v>96</v>
      </c>
      <c r="G288" t="str">
        <v>AJMAL KI</v>
      </c>
    </row>
    <row r="289" spans="2:7" x14ac:dyDescent="0.45">
      <c r="B289" t="str">
        <v>B105</v>
      </c>
      <c r="C289">
        <v>0</v>
      </c>
      <c r="D289" t="str">
        <v>JUNIOR</v>
      </c>
      <c r="E289" t="str">
        <v>JARF</v>
      </c>
      <c r="F289">
        <v>96</v>
      </c>
      <c r="G289" t="str">
        <v>HASAN THAMMEEM</v>
      </c>
    </row>
    <row r="290" spans="2:7" x14ac:dyDescent="0.45">
      <c r="B290" t="str">
        <v>D167</v>
      </c>
      <c r="C290">
        <v>0</v>
      </c>
      <c r="D290" t="str">
        <v>SUPER SENIOR</v>
      </c>
      <c r="E290" t="str">
        <v>JARF</v>
      </c>
      <c r="F290">
        <v>96</v>
      </c>
      <c r="G290" t="str">
        <v>AHMAD BINYAMUL ASHIQUE</v>
      </c>
    </row>
    <row r="291" spans="2:7" x14ac:dyDescent="0.45">
      <c r="B291" t="str">
        <v>C149</v>
      </c>
      <c r="C291">
        <v>0</v>
      </c>
      <c r="D291" t="str">
        <v>SENIOR</v>
      </c>
      <c r="E291" t="str">
        <v>FANT</v>
      </c>
      <c r="F291">
        <v>96</v>
      </c>
      <c r="G291" t="str">
        <v>ABDUL BAAIS N.A</v>
      </c>
    </row>
    <row r="292" spans="2:7" x14ac:dyDescent="0.45">
      <c r="B292" t="str">
        <v>B118</v>
      </c>
      <c r="C292">
        <v>0</v>
      </c>
      <c r="D292" t="str">
        <v>JUNIOR</v>
      </c>
      <c r="E292" t="str">
        <v>JARF</v>
      </c>
      <c r="F292">
        <v>96</v>
      </c>
      <c r="G292" t="str">
        <v>Muhammad Muaaz</v>
      </c>
    </row>
    <row r="293" spans="2:7" x14ac:dyDescent="0.45">
      <c r="B293" t="str">
        <v>C150</v>
      </c>
      <c r="C293">
        <v>0</v>
      </c>
      <c r="D293" t="str">
        <v>SENIOR</v>
      </c>
      <c r="E293" t="str">
        <v>DAHF</v>
      </c>
      <c r="F293">
        <v>96</v>
      </c>
      <c r="G293" t="str">
        <v>MUHAMMED PK</v>
      </c>
    </row>
    <row r="294" spans="2:7" x14ac:dyDescent="0.45">
      <c r="B294" t="str">
        <v>C137</v>
      </c>
      <c r="C294">
        <v>0</v>
      </c>
      <c r="D294" t="str">
        <v>SENIOR</v>
      </c>
      <c r="E294" t="str">
        <v>FANT</v>
      </c>
      <c r="F294">
        <v>96</v>
      </c>
      <c r="G294" t="str">
        <v>MUHAMMED SHUHAIB S</v>
      </c>
    </row>
    <row r="295" spans="2:7" x14ac:dyDescent="0.45">
      <c r="B295" t="str">
        <v>A133</v>
      </c>
      <c r="C295">
        <v>0</v>
      </c>
      <c r="D295" t="str">
        <v>SUB JUNIOR</v>
      </c>
      <c r="E295" t="str">
        <v>JARF</v>
      </c>
      <c r="F295">
        <v>96</v>
      </c>
      <c r="G295" t="str">
        <v>JAUHAR ASHFAQUE MUHSIN</v>
      </c>
    </row>
    <row r="296" spans="2:7" x14ac:dyDescent="0.45">
      <c r="B296" t="str">
        <v>C138</v>
      </c>
      <c r="C296">
        <v>0</v>
      </c>
      <c r="D296" t="str">
        <v>SENIOR</v>
      </c>
      <c r="E296" t="str">
        <v>FANT</v>
      </c>
      <c r="F296">
        <v>96</v>
      </c>
      <c r="G296" t="str">
        <v>MOHAMMED MOINUDDEEN CHISTY</v>
      </c>
    </row>
    <row r="297" spans="2:7" x14ac:dyDescent="0.45">
      <c r="B297" t="str">
        <v>A134</v>
      </c>
      <c r="C297">
        <v>0</v>
      </c>
      <c r="D297" t="str">
        <v>SUB JUNIOR</v>
      </c>
      <c r="E297" t="str">
        <v>DAHF</v>
      </c>
      <c r="F297">
        <v>96</v>
      </c>
      <c r="G297" t="str">
        <v>YASEEN MUHAMMED</v>
      </c>
    </row>
    <row r="298" spans="2:7" x14ac:dyDescent="0.45">
      <c r="B298" t="str">
        <v>A119</v>
      </c>
      <c r="C298">
        <v>0</v>
      </c>
      <c r="D298" t="str">
        <v>SUB JUNIOR</v>
      </c>
      <c r="E298" t="str">
        <v>JARF</v>
      </c>
      <c r="F298">
        <v>96</v>
      </c>
      <c r="G298" t="str">
        <v>MUHAMMED HASHIR A K</v>
      </c>
    </row>
    <row r="299" spans="2:7" x14ac:dyDescent="0.45">
      <c r="B299" t="str">
        <v>A135</v>
      </c>
      <c r="C299">
        <v>0</v>
      </c>
      <c r="D299" t="str">
        <v>SUB JUNIOR</v>
      </c>
      <c r="E299" t="str">
        <v>BADF</v>
      </c>
      <c r="F299">
        <v>96</v>
      </c>
      <c r="G299" t="str">
        <v>MOHAMMED RAFAN A</v>
      </c>
    </row>
    <row r="300" spans="2:7" x14ac:dyDescent="0.45">
      <c r="B300" t="str">
        <v>C140</v>
      </c>
      <c r="C300">
        <v>0</v>
      </c>
      <c r="D300" t="str">
        <v>SENIOR</v>
      </c>
      <c r="E300" t="str">
        <v>JARF</v>
      </c>
      <c r="F300">
        <v>96</v>
      </c>
      <c r="G300" t="str">
        <v>IJAS EBRAHIM</v>
      </c>
    </row>
    <row r="301" spans="2:7" x14ac:dyDescent="0.45">
      <c r="B301" t="str">
        <v>D178</v>
      </c>
      <c r="C301">
        <v>0</v>
      </c>
      <c r="D301" t="str">
        <v>SUPER SENIOR</v>
      </c>
      <c r="E301" t="str">
        <v>BADF</v>
      </c>
      <c r="F301">
        <v>96</v>
      </c>
      <c r="G301" t="str">
        <v>AHMED BK</v>
      </c>
    </row>
    <row r="302" spans="2:7" x14ac:dyDescent="0.45">
      <c r="B302" t="str">
        <v>C141</v>
      </c>
      <c r="C302">
        <v>0</v>
      </c>
      <c r="D302" t="str">
        <v>SENIOR</v>
      </c>
      <c r="E302" t="str">
        <v>BADF</v>
      </c>
      <c r="F302">
        <v>96</v>
      </c>
      <c r="G302" t="str">
        <v>AHMAD MINHAJ</v>
      </c>
    </row>
    <row r="303" spans="2:7" x14ac:dyDescent="0.45">
      <c r="B303" t="str">
        <v>D180</v>
      </c>
      <c r="C303">
        <v>0</v>
      </c>
      <c r="D303" t="str">
        <v>SUPER SENIOR</v>
      </c>
      <c r="E303" t="str">
        <v>FANT</v>
      </c>
      <c r="F303">
        <v>96</v>
      </c>
      <c r="G303" t="str">
        <v>ATHIF ABDULKHADER</v>
      </c>
    </row>
    <row r="304" spans="2:7" x14ac:dyDescent="0.45">
      <c r="B304" t="str">
        <v>C142</v>
      </c>
      <c r="C304">
        <v>0</v>
      </c>
      <c r="D304" t="str">
        <v>SENIOR</v>
      </c>
      <c r="E304" t="str">
        <v>FANT</v>
      </c>
      <c r="F304">
        <v>96</v>
      </c>
      <c r="G304" t="str">
        <v>AHMAD AMEEN T S</v>
      </c>
    </row>
    <row r="305" spans="2:7" x14ac:dyDescent="0.45">
      <c r="B305" t="str">
        <v>D182</v>
      </c>
      <c r="C305">
        <v>0</v>
      </c>
      <c r="D305" t="str">
        <v>SUPER SENIOR</v>
      </c>
      <c r="E305" t="str">
        <v>JARF</v>
      </c>
      <c r="F305">
        <v>96</v>
      </c>
      <c r="G305" t="str">
        <v>AHAMED ASIF M</v>
      </c>
    </row>
    <row r="306" spans="2:7" x14ac:dyDescent="0.45">
      <c r="B306" t="str">
        <v>A152</v>
      </c>
      <c r="C306">
        <v>0</v>
      </c>
      <c r="D306" t="str">
        <v>SUB JUNIOR</v>
      </c>
      <c r="E306" t="str">
        <v>BADF</v>
      </c>
      <c r="F306">
        <v>96</v>
      </c>
      <c r="G306" t="str">
        <v>MOHAMMED QUBAIB A H</v>
      </c>
    </row>
    <row r="307" spans="2:7" x14ac:dyDescent="0.45">
      <c r="B307" t="str">
        <v>A136</v>
      </c>
      <c r="C307">
        <v>0</v>
      </c>
      <c r="D307" t="str">
        <v>SUB JUNIOR</v>
      </c>
      <c r="E307" t="str">
        <v>BADF</v>
      </c>
      <c r="F307">
        <v>96</v>
      </c>
      <c r="G307" t="str">
        <v>MUHAMMED UVAIS.P. S</v>
      </c>
    </row>
    <row r="308" spans="2:7" x14ac:dyDescent="0.45">
      <c r="B308" t="str">
        <v>C144</v>
      </c>
      <c r="C308">
        <v>0</v>
      </c>
      <c r="D308" t="str">
        <v>SENIOR</v>
      </c>
      <c r="E308" t="str">
        <v>DAHF</v>
      </c>
      <c r="F308">
        <v>96</v>
      </c>
      <c r="G308" t="str">
        <v>MUHAMMED ASHKKAR ALI</v>
      </c>
    </row>
    <row r="309" spans="2:7" x14ac:dyDescent="0.45">
      <c r="B309" t="str">
        <v>D186</v>
      </c>
      <c r="C309">
        <v>0</v>
      </c>
      <c r="D309" t="str">
        <v>SUPER SENIOR</v>
      </c>
      <c r="E309" t="str">
        <v>FANT</v>
      </c>
      <c r="F309">
        <v>96</v>
      </c>
      <c r="G309" t="str">
        <v>SALAHUDDEEN AYYOOBI KM</v>
      </c>
    </row>
    <row r="310" spans="2:7" x14ac:dyDescent="0.45">
      <c r="B310" t="str">
        <v>C145</v>
      </c>
      <c r="C310">
        <v>0</v>
      </c>
      <c r="D310" t="str">
        <v>SENIOR</v>
      </c>
      <c r="E310" t="str">
        <v>BADF</v>
      </c>
      <c r="F310">
        <v>96</v>
      </c>
      <c r="G310" t="str">
        <v>SHAMEEL AHAMMED P</v>
      </c>
    </row>
    <row r="311" spans="2:7" x14ac:dyDescent="0.45">
      <c r="B311" t="str">
        <v>C146</v>
      </c>
      <c r="C311">
        <v>0</v>
      </c>
      <c r="D311" t="str">
        <v>SENIOR</v>
      </c>
      <c r="E311" t="str">
        <v>JARF</v>
      </c>
      <c r="F311">
        <v>96</v>
      </c>
      <c r="G311" t="str">
        <v>IMRAN HUSSAIN TI</v>
      </c>
    </row>
    <row r="312" spans="2:7" x14ac:dyDescent="0.45">
      <c r="B312" t="str">
        <v>D189</v>
      </c>
      <c r="C312">
        <v>0</v>
      </c>
      <c r="D312" t="str">
        <v>SUPER SENIOR</v>
      </c>
      <c r="E312" t="str">
        <v>BADF</v>
      </c>
      <c r="F312">
        <v>96</v>
      </c>
      <c r="G312" t="str">
        <v>ASGAR ALI</v>
      </c>
    </row>
    <row r="313" spans="2:7" x14ac:dyDescent="0.45">
      <c r="B313" t="str">
        <v>C132</v>
      </c>
      <c r="C313">
        <v>0</v>
      </c>
      <c r="D313" t="str">
        <v>SENIOR</v>
      </c>
      <c r="E313" t="str">
        <v>BADF</v>
      </c>
      <c r="F313">
        <v>96</v>
      </c>
      <c r="G313" t="str">
        <v>MUHAMMAD SHAZIN</v>
      </c>
    </row>
    <row r="314" spans="2:7" x14ac:dyDescent="0.45">
      <c r="B314" t="str">
        <v>D191</v>
      </c>
      <c r="C314">
        <v>0</v>
      </c>
      <c r="D314" t="str">
        <v>SUPER SENIOR</v>
      </c>
      <c r="E314" t="str">
        <v>JARF</v>
      </c>
      <c r="F314">
        <v>96</v>
      </c>
      <c r="G314" t="str">
        <v>THAMJEED TM</v>
      </c>
    </row>
    <row r="315" spans="2:7" x14ac:dyDescent="0.45">
      <c r="B315" t="str">
        <v>C133</v>
      </c>
      <c r="C315">
        <v>0</v>
      </c>
      <c r="D315" t="str">
        <v>SENIOR</v>
      </c>
      <c r="E315" t="str">
        <v>DAHF</v>
      </c>
      <c r="F315">
        <v>96</v>
      </c>
      <c r="G315" t="str">
        <v>SALMANUL FARIS</v>
      </c>
    </row>
    <row r="316" spans="2:7" x14ac:dyDescent="0.45">
      <c r="B316" t="str">
        <v>D193</v>
      </c>
      <c r="C316">
        <v>0</v>
      </c>
      <c r="D316" t="str">
        <v>SUPER SENIOR</v>
      </c>
      <c r="E316" t="str">
        <v>JARF</v>
      </c>
      <c r="F316">
        <v>96</v>
      </c>
      <c r="G316" t="str">
        <v>MUHAMMED ABDUL GHANI M.A</v>
      </c>
    </row>
    <row r="317" spans="2:7" x14ac:dyDescent="0.45">
      <c r="B317" t="str">
        <v>A118</v>
      </c>
      <c r="C317">
        <v>0</v>
      </c>
      <c r="D317" t="str">
        <v>SUB JUNIOR</v>
      </c>
      <c r="E317">
        <v>0</v>
      </c>
      <c r="F317">
        <v>96</v>
      </c>
      <c r="G317" t="str">
        <v>ABOOBACKER SAFWAN C B</v>
      </c>
    </row>
    <row r="318" spans="2:7" x14ac:dyDescent="0.45">
      <c r="B318" t="str">
        <v>C135</v>
      </c>
      <c r="C318">
        <v>0</v>
      </c>
      <c r="D318" t="str">
        <v>SENIOR</v>
      </c>
      <c r="E318" t="str">
        <v>JARF</v>
      </c>
      <c r="F318">
        <v>96</v>
      </c>
      <c r="G318" t="str">
        <v>AHAMAD SHABAB P A</v>
      </c>
    </row>
    <row r="319" spans="2:7" x14ac:dyDescent="0.45">
      <c r="B319" t="str">
        <v>D196</v>
      </c>
      <c r="C319">
        <v>0</v>
      </c>
      <c r="D319" t="str">
        <v>SUPER SENIOR</v>
      </c>
      <c r="E319" t="str">
        <v>DAHF</v>
      </c>
      <c r="F319">
        <v>96</v>
      </c>
      <c r="G319" t="str">
        <v>ABDUL VAJID K</v>
      </c>
    </row>
    <row r="320" spans="2:7" x14ac:dyDescent="0.45">
      <c r="B320" t="str">
        <v>C116</v>
      </c>
      <c r="C320">
        <v>0</v>
      </c>
      <c r="D320" t="str">
        <v>SENIOR</v>
      </c>
      <c r="E320" t="str">
        <v>JARF</v>
      </c>
      <c r="F320">
        <v>96</v>
      </c>
      <c r="G320" t="str">
        <v>MUAHMMED ANAS P A</v>
      </c>
    </row>
    <row r="321" spans="2:7" x14ac:dyDescent="0.45">
      <c r="B321" t="str">
        <v>D198</v>
      </c>
      <c r="C321">
        <v>0</v>
      </c>
      <c r="D321" t="str">
        <v>SUPER SENIOR</v>
      </c>
      <c r="E321" t="str">
        <v>FANT</v>
      </c>
      <c r="F321">
        <v>96</v>
      </c>
      <c r="G321" t="str">
        <v>MUHAMMED SAFWAN</v>
      </c>
    </row>
    <row r="322" spans="2:7" x14ac:dyDescent="0.45">
      <c r="B322" t="str">
        <v>C117</v>
      </c>
      <c r="C322">
        <v>0</v>
      </c>
      <c r="D322" t="str">
        <v>SENIOR</v>
      </c>
      <c r="E322" t="str">
        <v>DAHF</v>
      </c>
      <c r="F322">
        <v>96</v>
      </c>
      <c r="G322" t="str">
        <v>Muhammed fahiz A K</v>
      </c>
    </row>
    <row r="323" spans="2:7" x14ac:dyDescent="0.45">
      <c r="B323">
        <v>0</v>
      </c>
      <c r="C323">
        <v>0</v>
      </c>
      <c r="D323">
        <v>0</v>
      </c>
      <c r="E323">
        <v>0</v>
      </c>
      <c r="F323" t="str">
        <v/>
      </c>
      <c r="G323">
        <v>0</v>
      </c>
    </row>
    <row r="324" spans="2:7" x14ac:dyDescent="0.45">
      <c r="B324" t="str">
        <v>C118</v>
      </c>
      <c r="C324">
        <v>0</v>
      </c>
      <c r="D324" t="str">
        <v>SENIOR</v>
      </c>
      <c r="E324" t="str">
        <v>FANT</v>
      </c>
      <c r="F324">
        <v>96</v>
      </c>
      <c r="G324" t="str">
        <v>MUHAMMAD SHAMMAS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EB6D5-2E2D-485F-9A5E-8FFD0C0B99D0}">
  <dimension ref="D7:E9"/>
  <sheetViews>
    <sheetView workbookViewId="0">
      <selection activeCell="G15" sqref="G15"/>
    </sheetView>
  </sheetViews>
  <sheetFormatPr defaultRowHeight="14.25" x14ac:dyDescent="0.45"/>
  <cols>
    <col min="4" max="4" width="21.1328125" customWidth="1"/>
  </cols>
  <sheetData>
    <row r="7" spans="4:5" x14ac:dyDescent="0.45">
      <c r="D7" t="s">
        <v>356</v>
      </c>
      <c r="E7" t="s">
        <v>353</v>
      </c>
    </row>
    <row r="8" spans="4:5" x14ac:dyDescent="0.45">
      <c r="D8" t="s">
        <v>357</v>
      </c>
      <c r="E8" t="s">
        <v>359</v>
      </c>
    </row>
    <row r="9" spans="4:5" x14ac:dyDescent="0.45">
      <c r="D9" t="s">
        <v>358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71105-5385-44CB-9675-04AB16EAAEEE}">
  <dimension ref="A1:H322"/>
  <sheetViews>
    <sheetView tabSelected="1" workbookViewId="0">
      <selection sqref="A1:H313"/>
    </sheetView>
  </sheetViews>
  <sheetFormatPr defaultRowHeight="14.25" x14ac:dyDescent="0.45"/>
  <cols>
    <col min="2" max="2" width="10.46484375" customWidth="1"/>
    <col min="3" max="3" width="34.3984375" bestFit="1" customWidth="1"/>
    <col min="4" max="4" width="11.6640625" customWidth="1"/>
    <col min="16" max="16" width="0" hidden="1" customWidth="1"/>
  </cols>
  <sheetData>
    <row r="1" spans="1:8" ht="28.5" x14ac:dyDescent="0.45">
      <c r="A1" t="s">
        <v>364</v>
      </c>
      <c r="B1" t="s">
        <v>365</v>
      </c>
      <c r="C1" t="s">
        <v>3</v>
      </c>
      <c r="D1" t="s">
        <v>366</v>
      </c>
      <c r="E1" t="s">
        <v>5</v>
      </c>
      <c r="F1" s="6" t="s">
        <v>6</v>
      </c>
      <c r="G1" s="6" t="s">
        <v>693</v>
      </c>
      <c r="H1" t="s">
        <v>694</v>
      </c>
    </row>
    <row r="2" spans="1:8" hidden="1" x14ac:dyDescent="0.45">
      <c r="A2">
        <v>1</v>
      </c>
      <c r="B2" t="s">
        <v>56</v>
      </c>
      <c r="C2" t="s">
        <v>368</v>
      </c>
      <c r="D2" t="s">
        <v>369</v>
      </c>
      <c r="E2" t="s">
        <v>351</v>
      </c>
      <c r="F2">
        <v>1</v>
      </c>
      <c r="G2">
        <v>4</v>
      </c>
      <c r="H2">
        <v>0</v>
      </c>
    </row>
    <row r="3" spans="1:8" hidden="1" x14ac:dyDescent="0.45">
      <c r="A3">
        <v>2</v>
      </c>
      <c r="B3" t="s">
        <v>57</v>
      </c>
      <c r="C3" t="s">
        <v>370</v>
      </c>
      <c r="D3" t="s">
        <v>371</v>
      </c>
      <c r="E3" t="s">
        <v>351</v>
      </c>
      <c r="F3">
        <v>1</v>
      </c>
      <c r="G3">
        <v>4</v>
      </c>
      <c r="H3">
        <v>6</v>
      </c>
    </row>
    <row r="4" spans="1:8" hidden="1" x14ac:dyDescent="0.45">
      <c r="A4">
        <v>3</v>
      </c>
      <c r="B4" t="s">
        <v>58</v>
      </c>
      <c r="C4" t="s">
        <v>372</v>
      </c>
      <c r="D4" t="s">
        <v>371</v>
      </c>
      <c r="E4" t="s">
        <v>351</v>
      </c>
      <c r="F4">
        <v>1</v>
      </c>
      <c r="G4">
        <v>4</v>
      </c>
      <c r="H4">
        <v>14</v>
      </c>
    </row>
    <row r="5" spans="1:8" hidden="1" x14ac:dyDescent="0.45">
      <c r="A5">
        <v>4</v>
      </c>
      <c r="B5" t="s">
        <v>59</v>
      </c>
      <c r="C5" t="s">
        <v>373</v>
      </c>
      <c r="D5" t="s">
        <v>371</v>
      </c>
      <c r="E5" t="s">
        <v>351</v>
      </c>
      <c r="F5">
        <v>1</v>
      </c>
      <c r="G5">
        <v>8</v>
      </c>
      <c r="H5">
        <v>26.5</v>
      </c>
    </row>
    <row r="6" spans="1:8" hidden="1" x14ac:dyDescent="0.45">
      <c r="A6">
        <v>5</v>
      </c>
      <c r="B6" t="s">
        <v>60</v>
      </c>
      <c r="C6" t="s">
        <v>374</v>
      </c>
      <c r="D6" t="s">
        <v>375</v>
      </c>
      <c r="E6" t="s">
        <v>351</v>
      </c>
      <c r="F6">
        <v>1</v>
      </c>
      <c r="G6">
        <v>8</v>
      </c>
      <c r="H6">
        <v>25.5</v>
      </c>
    </row>
    <row r="7" spans="1:8" hidden="1" x14ac:dyDescent="0.45">
      <c r="A7">
        <v>6</v>
      </c>
      <c r="B7" t="s">
        <v>61</v>
      </c>
      <c r="C7" t="s">
        <v>376</v>
      </c>
      <c r="D7" t="s">
        <v>369</v>
      </c>
      <c r="E7" t="s">
        <v>351</v>
      </c>
      <c r="F7">
        <v>1</v>
      </c>
      <c r="G7">
        <v>6</v>
      </c>
      <c r="H7">
        <v>15</v>
      </c>
    </row>
    <row r="8" spans="1:8" hidden="1" x14ac:dyDescent="0.45">
      <c r="A8">
        <v>7</v>
      </c>
      <c r="B8" t="s">
        <v>62</v>
      </c>
      <c r="C8" t="s">
        <v>377</v>
      </c>
      <c r="D8" t="s">
        <v>375</v>
      </c>
      <c r="E8" t="s">
        <v>351</v>
      </c>
      <c r="F8">
        <v>1</v>
      </c>
      <c r="G8">
        <v>4</v>
      </c>
      <c r="H8">
        <v>8</v>
      </c>
    </row>
    <row r="9" spans="1:8" hidden="1" x14ac:dyDescent="0.45">
      <c r="A9">
        <v>8</v>
      </c>
      <c r="B9" t="s">
        <v>63</v>
      </c>
      <c r="C9" t="s">
        <v>378</v>
      </c>
      <c r="D9" t="s">
        <v>369</v>
      </c>
      <c r="E9" t="s">
        <v>351</v>
      </c>
      <c r="F9">
        <v>1</v>
      </c>
      <c r="G9">
        <v>6</v>
      </c>
      <c r="H9">
        <v>0</v>
      </c>
    </row>
    <row r="10" spans="1:8" hidden="1" x14ac:dyDescent="0.45">
      <c r="A10">
        <v>9</v>
      </c>
      <c r="B10" t="s">
        <v>13</v>
      </c>
      <c r="C10" t="s">
        <v>379</v>
      </c>
      <c r="D10" t="s">
        <v>375</v>
      </c>
      <c r="E10" t="s">
        <v>351</v>
      </c>
      <c r="F10">
        <v>1</v>
      </c>
      <c r="G10">
        <v>4</v>
      </c>
      <c r="H10">
        <v>3</v>
      </c>
    </row>
    <row r="11" spans="1:8" hidden="1" x14ac:dyDescent="0.45">
      <c r="A11">
        <v>10</v>
      </c>
      <c r="B11" t="s">
        <v>64</v>
      </c>
      <c r="C11" t="s">
        <v>380</v>
      </c>
      <c r="D11" t="s">
        <v>375</v>
      </c>
      <c r="E11" t="s">
        <v>351</v>
      </c>
      <c r="F11">
        <v>1</v>
      </c>
      <c r="G11">
        <v>7</v>
      </c>
      <c r="H11">
        <v>38</v>
      </c>
    </row>
    <row r="12" spans="1:8" hidden="1" x14ac:dyDescent="0.45">
      <c r="A12">
        <v>11</v>
      </c>
      <c r="B12" t="s">
        <v>65</v>
      </c>
      <c r="C12" t="s">
        <v>381</v>
      </c>
      <c r="D12" t="s">
        <v>369</v>
      </c>
      <c r="E12" t="s">
        <v>351</v>
      </c>
      <c r="F12">
        <v>1</v>
      </c>
      <c r="G12">
        <v>8</v>
      </c>
      <c r="H12">
        <v>9</v>
      </c>
    </row>
    <row r="13" spans="1:8" hidden="1" x14ac:dyDescent="0.45">
      <c r="A13">
        <v>12</v>
      </c>
      <c r="B13" t="s">
        <v>14</v>
      </c>
      <c r="C13" t="s">
        <v>382</v>
      </c>
      <c r="D13" t="s">
        <v>369</v>
      </c>
      <c r="E13" t="s">
        <v>351</v>
      </c>
      <c r="F13">
        <v>1</v>
      </c>
      <c r="G13">
        <v>8</v>
      </c>
      <c r="H13">
        <v>10</v>
      </c>
    </row>
    <row r="14" spans="1:8" hidden="1" x14ac:dyDescent="0.45">
      <c r="A14">
        <v>13</v>
      </c>
      <c r="B14" t="s">
        <v>66</v>
      </c>
      <c r="C14" t="s">
        <v>383</v>
      </c>
      <c r="D14" t="s">
        <v>384</v>
      </c>
      <c r="E14" t="s">
        <v>351</v>
      </c>
      <c r="F14">
        <v>1</v>
      </c>
      <c r="G14">
        <v>5</v>
      </c>
      <c r="H14">
        <v>20</v>
      </c>
    </row>
    <row r="15" spans="1:8" hidden="1" x14ac:dyDescent="0.45">
      <c r="A15">
        <v>14</v>
      </c>
      <c r="B15" t="s">
        <v>67</v>
      </c>
      <c r="C15" t="s">
        <v>385</v>
      </c>
      <c r="D15" t="s">
        <v>384</v>
      </c>
      <c r="E15" t="s">
        <v>351</v>
      </c>
      <c r="F15">
        <v>1</v>
      </c>
      <c r="G15">
        <v>7</v>
      </c>
      <c r="H15">
        <v>17</v>
      </c>
    </row>
    <row r="16" spans="1:8" hidden="1" x14ac:dyDescent="0.45">
      <c r="A16">
        <v>15</v>
      </c>
      <c r="B16" t="s">
        <v>68</v>
      </c>
      <c r="C16" t="s">
        <v>386</v>
      </c>
      <c r="D16" t="s">
        <v>375</v>
      </c>
      <c r="E16" t="s">
        <v>351</v>
      </c>
      <c r="F16">
        <v>1</v>
      </c>
      <c r="G16">
        <v>5</v>
      </c>
      <c r="H16">
        <v>8</v>
      </c>
    </row>
    <row r="17" spans="1:8" hidden="1" x14ac:dyDescent="0.45">
      <c r="A17">
        <v>16</v>
      </c>
      <c r="B17" t="s">
        <v>69</v>
      </c>
      <c r="C17" t="s">
        <v>387</v>
      </c>
      <c r="D17" t="s">
        <v>384</v>
      </c>
      <c r="E17" t="s">
        <v>351</v>
      </c>
      <c r="F17">
        <v>1</v>
      </c>
      <c r="G17">
        <v>8</v>
      </c>
      <c r="H17">
        <v>3.5</v>
      </c>
    </row>
    <row r="18" spans="1:8" hidden="1" x14ac:dyDescent="0.45">
      <c r="A18">
        <v>17</v>
      </c>
      <c r="B18" t="s">
        <v>70</v>
      </c>
      <c r="C18" t="s">
        <v>388</v>
      </c>
      <c r="E18" t="s">
        <v>351</v>
      </c>
      <c r="F18">
        <v>1</v>
      </c>
      <c r="G18">
        <v>0</v>
      </c>
      <c r="H18">
        <v>0</v>
      </c>
    </row>
    <row r="19" spans="1:8" hidden="1" x14ac:dyDescent="0.45">
      <c r="A19">
        <v>18</v>
      </c>
      <c r="B19" t="s">
        <v>71</v>
      </c>
      <c r="C19" t="s">
        <v>389</v>
      </c>
      <c r="D19" t="s">
        <v>371</v>
      </c>
      <c r="E19" t="s">
        <v>351</v>
      </c>
      <c r="F19">
        <v>1</v>
      </c>
      <c r="G19">
        <v>2</v>
      </c>
      <c r="H19">
        <v>0</v>
      </c>
    </row>
    <row r="20" spans="1:8" hidden="1" x14ac:dyDescent="0.45">
      <c r="A20">
        <v>19</v>
      </c>
      <c r="B20" t="s">
        <v>72</v>
      </c>
      <c r="C20" t="s">
        <v>390</v>
      </c>
      <c r="E20" t="s">
        <v>351</v>
      </c>
      <c r="F20">
        <v>1</v>
      </c>
      <c r="G20">
        <v>0</v>
      </c>
      <c r="H20">
        <v>0</v>
      </c>
    </row>
    <row r="21" spans="1:8" hidden="1" x14ac:dyDescent="0.45">
      <c r="A21">
        <v>20</v>
      </c>
      <c r="B21" t="s">
        <v>73</v>
      </c>
      <c r="C21" t="s">
        <v>391</v>
      </c>
      <c r="D21" t="s">
        <v>371</v>
      </c>
      <c r="E21" t="s">
        <v>351</v>
      </c>
      <c r="F21">
        <v>1</v>
      </c>
      <c r="G21">
        <v>3</v>
      </c>
      <c r="H21">
        <v>0</v>
      </c>
    </row>
    <row r="22" spans="1:8" hidden="1" x14ac:dyDescent="0.45">
      <c r="A22">
        <v>21</v>
      </c>
      <c r="B22" t="s">
        <v>74</v>
      </c>
      <c r="C22" t="s">
        <v>392</v>
      </c>
      <c r="D22" t="s">
        <v>384</v>
      </c>
      <c r="E22" t="s">
        <v>351</v>
      </c>
      <c r="F22">
        <v>1</v>
      </c>
      <c r="G22">
        <v>3</v>
      </c>
      <c r="H22">
        <v>5</v>
      </c>
    </row>
    <row r="23" spans="1:8" hidden="1" x14ac:dyDescent="0.45">
      <c r="A23">
        <v>22</v>
      </c>
      <c r="B23" t="s">
        <v>75</v>
      </c>
      <c r="C23" t="s">
        <v>393</v>
      </c>
      <c r="D23" t="s">
        <v>371</v>
      </c>
      <c r="E23" t="s">
        <v>351</v>
      </c>
      <c r="F23">
        <v>1</v>
      </c>
      <c r="G23">
        <v>8</v>
      </c>
      <c r="H23">
        <v>19</v>
      </c>
    </row>
    <row r="24" spans="1:8" hidden="1" x14ac:dyDescent="0.45">
      <c r="A24">
        <v>23</v>
      </c>
      <c r="B24" t="s">
        <v>76</v>
      </c>
      <c r="C24" t="s">
        <v>394</v>
      </c>
      <c r="D24" t="s">
        <v>369</v>
      </c>
      <c r="E24" t="s">
        <v>351</v>
      </c>
      <c r="F24">
        <v>1</v>
      </c>
      <c r="G24">
        <v>4</v>
      </c>
      <c r="H24">
        <v>11</v>
      </c>
    </row>
    <row r="25" spans="1:8" hidden="1" x14ac:dyDescent="0.45">
      <c r="A25">
        <v>24</v>
      </c>
      <c r="B25" t="s">
        <v>15</v>
      </c>
      <c r="C25" t="s">
        <v>395</v>
      </c>
      <c r="D25" t="s">
        <v>371</v>
      </c>
      <c r="E25" t="s">
        <v>351</v>
      </c>
      <c r="F25">
        <v>1</v>
      </c>
      <c r="G25">
        <v>5</v>
      </c>
      <c r="H25">
        <v>6</v>
      </c>
    </row>
    <row r="26" spans="1:8" hidden="1" x14ac:dyDescent="0.45">
      <c r="A26">
        <v>25</v>
      </c>
      <c r="B26" t="s">
        <v>77</v>
      </c>
      <c r="C26" t="s">
        <v>396</v>
      </c>
      <c r="D26" t="s">
        <v>375</v>
      </c>
      <c r="E26" t="s">
        <v>351</v>
      </c>
      <c r="F26">
        <v>1</v>
      </c>
      <c r="G26">
        <v>3</v>
      </c>
      <c r="H26">
        <v>0</v>
      </c>
    </row>
    <row r="27" spans="1:8" hidden="1" x14ac:dyDescent="0.45">
      <c r="A27">
        <v>26</v>
      </c>
      <c r="B27" t="s">
        <v>78</v>
      </c>
      <c r="C27" t="s">
        <v>397</v>
      </c>
      <c r="D27" t="s">
        <v>384</v>
      </c>
      <c r="E27" t="s">
        <v>351</v>
      </c>
      <c r="F27">
        <v>1</v>
      </c>
      <c r="G27">
        <v>5</v>
      </c>
      <c r="H27">
        <v>9</v>
      </c>
    </row>
    <row r="28" spans="1:8" hidden="1" x14ac:dyDescent="0.45">
      <c r="A28">
        <v>27</v>
      </c>
      <c r="B28" t="s">
        <v>79</v>
      </c>
      <c r="C28" t="s">
        <v>398</v>
      </c>
      <c r="D28" t="s">
        <v>371</v>
      </c>
      <c r="E28" t="s">
        <v>351</v>
      </c>
      <c r="F28">
        <v>1</v>
      </c>
      <c r="G28">
        <v>5</v>
      </c>
      <c r="H28">
        <v>0</v>
      </c>
    </row>
    <row r="29" spans="1:8" hidden="1" x14ac:dyDescent="0.45">
      <c r="A29">
        <v>28</v>
      </c>
      <c r="B29" t="s">
        <v>80</v>
      </c>
      <c r="C29" t="s">
        <v>399</v>
      </c>
      <c r="D29" t="s">
        <v>375</v>
      </c>
      <c r="E29" t="s">
        <v>351</v>
      </c>
      <c r="F29">
        <v>1</v>
      </c>
      <c r="G29">
        <v>4</v>
      </c>
      <c r="H29">
        <v>1</v>
      </c>
    </row>
    <row r="30" spans="1:8" hidden="1" x14ac:dyDescent="0.45">
      <c r="A30">
        <v>29</v>
      </c>
      <c r="B30" t="s">
        <v>81</v>
      </c>
      <c r="C30" t="s">
        <v>400</v>
      </c>
      <c r="D30" t="s">
        <v>384</v>
      </c>
      <c r="E30" t="s">
        <v>351</v>
      </c>
      <c r="F30">
        <v>1</v>
      </c>
      <c r="G30">
        <v>4</v>
      </c>
      <c r="H30">
        <v>0</v>
      </c>
    </row>
    <row r="31" spans="1:8" hidden="1" x14ac:dyDescent="0.45">
      <c r="A31">
        <v>30</v>
      </c>
      <c r="B31" t="s">
        <v>16</v>
      </c>
      <c r="C31" t="s">
        <v>401</v>
      </c>
      <c r="D31" t="s">
        <v>369</v>
      </c>
      <c r="E31" t="s">
        <v>351</v>
      </c>
      <c r="F31">
        <v>1</v>
      </c>
      <c r="G31">
        <v>4</v>
      </c>
      <c r="H31">
        <v>3</v>
      </c>
    </row>
    <row r="32" spans="1:8" hidden="1" x14ac:dyDescent="0.45">
      <c r="A32">
        <v>31</v>
      </c>
      <c r="B32" t="s">
        <v>82</v>
      </c>
      <c r="C32" t="s">
        <v>402</v>
      </c>
      <c r="D32" t="s">
        <v>371</v>
      </c>
      <c r="E32" t="s">
        <v>351</v>
      </c>
      <c r="F32">
        <v>1</v>
      </c>
      <c r="G32">
        <v>6</v>
      </c>
      <c r="H32">
        <v>5</v>
      </c>
    </row>
    <row r="33" spans="1:8" hidden="1" x14ac:dyDescent="0.45">
      <c r="A33">
        <v>32</v>
      </c>
      <c r="B33" t="s">
        <v>83</v>
      </c>
      <c r="C33" t="s">
        <v>403</v>
      </c>
      <c r="D33" t="s">
        <v>384</v>
      </c>
      <c r="E33" t="s">
        <v>351</v>
      </c>
      <c r="F33">
        <v>1</v>
      </c>
      <c r="G33">
        <v>5</v>
      </c>
      <c r="H33">
        <v>1</v>
      </c>
    </row>
    <row r="34" spans="1:8" hidden="1" x14ac:dyDescent="0.45">
      <c r="A34">
        <v>33</v>
      </c>
      <c r="B34" t="s">
        <v>84</v>
      </c>
      <c r="C34" t="s">
        <v>404</v>
      </c>
      <c r="D34" t="s">
        <v>369</v>
      </c>
      <c r="E34" t="s">
        <v>351</v>
      </c>
      <c r="F34">
        <v>1</v>
      </c>
      <c r="G34">
        <v>2</v>
      </c>
      <c r="H34">
        <v>0</v>
      </c>
    </row>
    <row r="35" spans="1:8" x14ac:dyDescent="0.45">
      <c r="A35">
        <v>34</v>
      </c>
      <c r="B35" t="s">
        <v>85</v>
      </c>
      <c r="C35" t="s">
        <v>405</v>
      </c>
      <c r="D35" t="s">
        <v>371</v>
      </c>
      <c r="E35" t="s">
        <v>351</v>
      </c>
      <c r="F35">
        <v>1</v>
      </c>
      <c r="G35">
        <v>1</v>
      </c>
      <c r="H35">
        <v>0</v>
      </c>
    </row>
    <row r="36" spans="1:8" hidden="1" x14ac:dyDescent="0.45">
      <c r="A36">
        <v>35</v>
      </c>
      <c r="B36" t="s">
        <v>86</v>
      </c>
      <c r="C36" t="s">
        <v>406</v>
      </c>
      <c r="D36" t="s">
        <v>384</v>
      </c>
      <c r="E36" t="s">
        <v>351</v>
      </c>
      <c r="F36">
        <v>1</v>
      </c>
      <c r="G36">
        <v>3</v>
      </c>
      <c r="H36">
        <v>8</v>
      </c>
    </row>
    <row r="37" spans="1:8" hidden="1" x14ac:dyDescent="0.45">
      <c r="A37">
        <v>36</v>
      </c>
      <c r="B37" t="s">
        <v>87</v>
      </c>
      <c r="C37" t="s">
        <v>407</v>
      </c>
      <c r="D37" t="s">
        <v>375</v>
      </c>
      <c r="E37" t="s">
        <v>351</v>
      </c>
      <c r="F37">
        <v>1</v>
      </c>
      <c r="G37">
        <v>4</v>
      </c>
      <c r="H37">
        <v>1</v>
      </c>
    </row>
    <row r="38" spans="1:8" hidden="1" x14ac:dyDescent="0.45">
      <c r="A38">
        <v>37</v>
      </c>
      <c r="B38" t="s">
        <v>88</v>
      </c>
      <c r="C38" t="s">
        <v>408</v>
      </c>
      <c r="D38" t="s">
        <v>375</v>
      </c>
      <c r="E38" t="s">
        <v>351</v>
      </c>
      <c r="F38">
        <v>1</v>
      </c>
      <c r="G38">
        <v>5</v>
      </c>
      <c r="H38">
        <v>3</v>
      </c>
    </row>
    <row r="39" spans="1:8" hidden="1" x14ac:dyDescent="0.45">
      <c r="A39">
        <v>38</v>
      </c>
      <c r="B39" t="s">
        <v>89</v>
      </c>
      <c r="C39" t="s">
        <v>409</v>
      </c>
      <c r="D39" t="s">
        <v>384</v>
      </c>
      <c r="E39" t="s">
        <v>351</v>
      </c>
      <c r="F39">
        <v>1</v>
      </c>
      <c r="G39">
        <v>4</v>
      </c>
      <c r="H39">
        <v>1</v>
      </c>
    </row>
    <row r="40" spans="1:8" hidden="1" x14ac:dyDescent="0.45">
      <c r="A40">
        <v>39</v>
      </c>
      <c r="B40" t="s">
        <v>90</v>
      </c>
      <c r="C40" t="s">
        <v>410</v>
      </c>
      <c r="E40" t="s">
        <v>351</v>
      </c>
      <c r="F40">
        <v>1</v>
      </c>
      <c r="G40">
        <v>0</v>
      </c>
      <c r="H40">
        <v>0</v>
      </c>
    </row>
    <row r="41" spans="1:8" hidden="1" x14ac:dyDescent="0.45">
      <c r="A41">
        <v>40</v>
      </c>
      <c r="B41" t="s">
        <v>91</v>
      </c>
      <c r="C41" t="s">
        <v>411</v>
      </c>
      <c r="D41" t="s">
        <v>369</v>
      </c>
      <c r="E41" t="s">
        <v>351</v>
      </c>
      <c r="F41">
        <v>1</v>
      </c>
      <c r="G41">
        <v>6</v>
      </c>
      <c r="H41">
        <v>3</v>
      </c>
    </row>
    <row r="42" spans="1:8" hidden="1" x14ac:dyDescent="0.45">
      <c r="A42">
        <v>41</v>
      </c>
      <c r="B42" t="s">
        <v>92</v>
      </c>
      <c r="C42" t="s">
        <v>412</v>
      </c>
      <c r="D42" t="s">
        <v>369</v>
      </c>
      <c r="E42" t="s">
        <v>351</v>
      </c>
      <c r="F42">
        <v>2</v>
      </c>
      <c r="G42">
        <v>8</v>
      </c>
      <c r="H42">
        <v>11</v>
      </c>
    </row>
    <row r="43" spans="1:8" hidden="1" x14ac:dyDescent="0.45">
      <c r="A43">
        <v>42</v>
      </c>
      <c r="B43" t="s">
        <v>93</v>
      </c>
      <c r="C43" t="s">
        <v>413</v>
      </c>
      <c r="D43" t="s">
        <v>371</v>
      </c>
      <c r="E43" t="s">
        <v>351</v>
      </c>
      <c r="F43">
        <v>2</v>
      </c>
      <c r="G43">
        <v>10</v>
      </c>
      <c r="H43">
        <v>23</v>
      </c>
    </row>
    <row r="44" spans="1:8" hidden="1" x14ac:dyDescent="0.45">
      <c r="A44">
        <v>43</v>
      </c>
      <c r="B44" t="s">
        <v>94</v>
      </c>
      <c r="C44" t="s">
        <v>414</v>
      </c>
      <c r="D44" t="s">
        <v>375</v>
      </c>
      <c r="E44" t="s">
        <v>351</v>
      </c>
      <c r="F44">
        <v>2</v>
      </c>
      <c r="G44">
        <v>7</v>
      </c>
      <c r="H44">
        <v>24</v>
      </c>
    </row>
    <row r="45" spans="1:8" hidden="1" x14ac:dyDescent="0.45">
      <c r="A45">
        <v>44</v>
      </c>
      <c r="B45" t="s">
        <v>95</v>
      </c>
      <c r="C45" t="s">
        <v>415</v>
      </c>
      <c r="D45" t="s">
        <v>369</v>
      </c>
      <c r="E45" t="s">
        <v>351</v>
      </c>
      <c r="F45">
        <v>2</v>
      </c>
      <c r="G45">
        <v>8</v>
      </c>
      <c r="H45">
        <v>13</v>
      </c>
    </row>
    <row r="46" spans="1:8" hidden="1" x14ac:dyDescent="0.45">
      <c r="A46">
        <v>45</v>
      </c>
      <c r="B46" t="s">
        <v>96</v>
      </c>
      <c r="C46" t="s">
        <v>416</v>
      </c>
      <c r="D46" t="s">
        <v>371</v>
      </c>
      <c r="E46" t="s">
        <v>351</v>
      </c>
      <c r="F46">
        <v>2</v>
      </c>
      <c r="G46">
        <v>8</v>
      </c>
      <c r="H46">
        <v>40</v>
      </c>
    </row>
    <row r="47" spans="1:8" hidden="1" x14ac:dyDescent="0.45">
      <c r="A47">
        <v>46</v>
      </c>
      <c r="B47" t="s">
        <v>97</v>
      </c>
      <c r="C47" t="s">
        <v>417</v>
      </c>
      <c r="D47" t="s">
        <v>375</v>
      </c>
      <c r="E47" t="s">
        <v>351</v>
      </c>
      <c r="F47">
        <v>2</v>
      </c>
      <c r="G47">
        <v>10</v>
      </c>
      <c r="H47">
        <v>3</v>
      </c>
    </row>
    <row r="48" spans="1:8" hidden="1" x14ac:dyDescent="0.45">
      <c r="A48">
        <v>47</v>
      </c>
      <c r="B48" t="s">
        <v>98</v>
      </c>
      <c r="C48" t="s">
        <v>418</v>
      </c>
      <c r="D48" t="s">
        <v>375</v>
      </c>
      <c r="E48" t="s">
        <v>351</v>
      </c>
      <c r="F48">
        <v>2</v>
      </c>
      <c r="G48">
        <v>10</v>
      </c>
      <c r="H48">
        <v>35</v>
      </c>
    </row>
    <row r="49" spans="1:8" hidden="1" x14ac:dyDescent="0.45">
      <c r="A49">
        <v>48</v>
      </c>
      <c r="B49" t="s">
        <v>99</v>
      </c>
      <c r="C49" t="s">
        <v>419</v>
      </c>
      <c r="D49" t="s">
        <v>384</v>
      </c>
      <c r="E49" t="s">
        <v>351</v>
      </c>
      <c r="F49">
        <v>2</v>
      </c>
      <c r="G49">
        <v>9</v>
      </c>
      <c r="H49">
        <v>22</v>
      </c>
    </row>
    <row r="50" spans="1:8" hidden="1" x14ac:dyDescent="0.45">
      <c r="A50">
        <v>49</v>
      </c>
      <c r="B50" t="s">
        <v>100</v>
      </c>
      <c r="C50" t="s">
        <v>420</v>
      </c>
      <c r="D50" t="s">
        <v>375</v>
      </c>
      <c r="E50" t="s">
        <v>351</v>
      </c>
      <c r="F50">
        <v>2</v>
      </c>
      <c r="G50">
        <v>6</v>
      </c>
      <c r="H50">
        <v>12.5</v>
      </c>
    </row>
    <row r="51" spans="1:8" hidden="1" x14ac:dyDescent="0.45">
      <c r="A51">
        <v>50</v>
      </c>
      <c r="B51" t="s">
        <v>101</v>
      </c>
      <c r="C51" t="s">
        <v>421</v>
      </c>
      <c r="D51" t="s">
        <v>371</v>
      </c>
      <c r="E51" t="s">
        <v>351</v>
      </c>
      <c r="F51">
        <v>2</v>
      </c>
      <c r="G51">
        <v>9</v>
      </c>
      <c r="H51">
        <v>24</v>
      </c>
    </row>
    <row r="52" spans="1:8" hidden="1" x14ac:dyDescent="0.45">
      <c r="A52">
        <v>51</v>
      </c>
      <c r="B52" t="s">
        <v>17</v>
      </c>
      <c r="C52" t="s">
        <v>422</v>
      </c>
      <c r="D52" t="s">
        <v>369</v>
      </c>
      <c r="E52" t="s">
        <v>351</v>
      </c>
      <c r="F52">
        <v>2</v>
      </c>
      <c r="G52">
        <v>9</v>
      </c>
      <c r="H52">
        <v>61</v>
      </c>
    </row>
    <row r="53" spans="1:8" hidden="1" x14ac:dyDescent="0.45">
      <c r="A53">
        <v>52</v>
      </c>
      <c r="B53" t="s">
        <v>102</v>
      </c>
      <c r="C53" t="s">
        <v>423</v>
      </c>
      <c r="D53" t="s">
        <v>369</v>
      </c>
      <c r="E53" t="s">
        <v>351</v>
      </c>
      <c r="F53">
        <v>2</v>
      </c>
      <c r="G53">
        <v>6</v>
      </c>
      <c r="H53">
        <v>4</v>
      </c>
    </row>
    <row r="54" spans="1:8" hidden="1" x14ac:dyDescent="0.45">
      <c r="A54">
        <v>53</v>
      </c>
      <c r="B54" t="s">
        <v>103</v>
      </c>
      <c r="C54" t="s">
        <v>424</v>
      </c>
      <c r="D54" t="s">
        <v>375</v>
      </c>
      <c r="E54" t="s">
        <v>351</v>
      </c>
      <c r="F54">
        <v>2</v>
      </c>
      <c r="G54">
        <v>7</v>
      </c>
      <c r="H54">
        <v>13</v>
      </c>
    </row>
    <row r="55" spans="1:8" hidden="1" x14ac:dyDescent="0.45">
      <c r="A55">
        <v>54</v>
      </c>
      <c r="B55" t="s">
        <v>104</v>
      </c>
      <c r="C55" t="s">
        <v>425</v>
      </c>
      <c r="D55" t="s">
        <v>369</v>
      </c>
      <c r="E55" t="s">
        <v>351</v>
      </c>
      <c r="F55">
        <v>2</v>
      </c>
      <c r="G55">
        <v>7</v>
      </c>
      <c r="H55">
        <v>30</v>
      </c>
    </row>
    <row r="56" spans="1:8" hidden="1" x14ac:dyDescent="0.45">
      <c r="A56">
        <v>55</v>
      </c>
      <c r="B56" t="s">
        <v>105</v>
      </c>
      <c r="C56" t="s">
        <v>426</v>
      </c>
      <c r="D56" t="s">
        <v>371</v>
      </c>
      <c r="E56" t="s">
        <v>351</v>
      </c>
      <c r="F56">
        <v>2</v>
      </c>
      <c r="G56">
        <v>9</v>
      </c>
      <c r="H56">
        <v>45</v>
      </c>
    </row>
    <row r="57" spans="1:8" hidden="1" x14ac:dyDescent="0.45">
      <c r="A57">
        <v>56</v>
      </c>
      <c r="B57" t="s">
        <v>106</v>
      </c>
      <c r="C57" t="s">
        <v>427</v>
      </c>
      <c r="D57" t="s">
        <v>371</v>
      </c>
      <c r="E57" t="s">
        <v>351</v>
      </c>
      <c r="F57">
        <v>2</v>
      </c>
      <c r="G57">
        <v>9</v>
      </c>
      <c r="H57">
        <v>0</v>
      </c>
    </row>
    <row r="58" spans="1:8" hidden="1" x14ac:dyDescent="0.45">
      <c r="A58">
        <v>57</v>
      </c>
      <c r="B58" t="s">
        <v>107</v>
      </c>
      <c r="C58" t="s">
        <v>428</v>
      </c>
      <c r="D58" t="s">
        <v>371</v>
      </c>
      <c r="E58" t="s">
        <v>351</v>
      </c>
      <c r="F58">
        <v>2</v>
      </c>
      <c r="G58">
        <v>3</v>
      </c>
      <c r="H58">
        <v>20</v>
      </c>
    </row>
    <row r="59" spans="1:8" hidden="1" x14ac:dyDescent="0.45">
      <c r="A59">
        <v>58</v>
      </c>
      <c r="B59" t="s">
        <v>108</v>
      </c>
      <c r="C59" t="s">
        <v>429</v>
      </c>
      <c r="D59" t="s">
        <v>369</v>
      </c>
      <c r="E59" t="s">
        <v>351</v>
      </c>
      <c r="F59">
        <v>2</v>
      </c>
      <c r="G59">
        <v>6</v>
      </c>
      <c r="H59">
        <v>3</v>
      </c>
    </row>
    <row r="60" spans="1:8" hidden="1" x14ac:dyDescent="0.45">
      <c r="A60">
        <v>59</v>
      </c>
      <c r="B60" t="s">
        <v>18</v>
      </c>
      <c r="C60" t="s">
        <v>430</v>
      </c>
      <c r="D60" t="s">
        <v>384</v>
      </c>
      <c r="E60" t="s">
        <v>351</v>
      </c>
      <c r="F60">
        <v>2</v>
      </c>
      <c r="G60">
        <v>9</v>
      </c>
      <c r="H60">
        <v>53.5</v>
      </c>
    </row>
    <row r="61" spans="1:8" hidden="1" x14ac:dyDescent="0.45">
      <c r="A61">
        <v>60</v>
      </c>
      <c r="B61" t="s">
        <v>109</v>
      </c>
      <c r="C61" t="s">
        <v>431</v>
      </c>
      <c r="D61" t="s">
        <v>371</v>
      </c>
      <c r="E61" t="s">
        <v>351</v>
      </c>
      <c r="F61">
        <v>2</v>
      </c>
      <c r="G61">
        <v>10</v>
      </c>
      <c r="H61">
        <v>17</v>
      </c>
    </row>
    <row r="62" spans="1:8" hidden="1" x14ac:dyDescent="0.45">
      <c r="A62">
        <v>61</v>
      </c>
      <c r="B62" t="s">
        <v>110</v>
      </c>
      <c r="C62" t="s">
        <v>432</v>
      </c>
      <c r="D62" t="s">
        <v>371</v>
      </c>
      <c r="E62" t="s">
        <v>351</v>
      </c>
      <c r="F62">
        <v>2</v>
      </c>
      <c r="G62">
        <v>3</v>
      </c>
      <c r="H62">
        <v>10</v>
      </c>
    </row>
    <row r="63" spans="1:8" hidden="1" x14ac:dyDescent="0.45">
      <c r="A63">
        <v>62</v>
      </c>
      <c r="B63" t="s">
        <v>111</v>
      </c>
      <c r="C63" t="s">
        <v>433</v>
      </c>
      <c r="D63" t="s">
        <v>369</v>
      </c>
      <c r="E63" t="s">
        <v>351</v>
      </c>
      <c r="F63">
        <v>2</v>
      </c>
      <c r="G63">
        <v>10</v>
      </c>
      <c r="H63">
        <v>55.5</v>
      </c>
    </row>
    <row r="64" spans="1:8" hidden="1" x14ac:dyDescent="0.45">
      <c r="A64">
        <v>63</v>
      </c>
      <c r="B64" t="s">
        <v>112</v>
      </c>
      <c r="C64" t="s">
        <v>434</v>
      </c>
      <c r="D64" t="s">
        <v>369</v>
      </c>
      <c r="E64" t="s">
        <v>351</v>
      </c>
      <c r="F64">
        <v>2</v>
      </c>
      <c r="G64">
        <v>7</v>
      </c>
      <c r="H64">
        <v>20</v>
      </c>
    </row>
    <row r="65" spans="1:8" hidden="1" x14ac:dyDescent="0.45">
      <c r="A65">
        <v>64</v>
      </c>
      <c r="B65" t="s">
        <v>113</v>
      </c>
      <c r="C65" t="s">
        <v>435</v>
      </c>
      <c r="D65" t="s">
        <v>375</v>
      </c>
      <c r="E65" t="s">
        <v>351</v>
      </c>
      <c r="F65">
        <v>2</v>
      </c>
      <c r="G65">
        <v>9</v>
      </c>
      <c r="H65">
        <v>28</v>
      </c>
    </row>
    <row r="66" spans="1:8" hidden="1" x14ac:dyDescent="0.45">
      <c r="A66">
        <v>65</v>
      </c>
      <c r="B66" t="s">
        <v>19</v>
      </c>
      <c r="C66" t="s">
        <v>436</v>
      </c>
      <c r="D66" t="s">
        <v>384</v>
      </c>
      <c r="E66" t="s">
        <v>351</v>
      </c>
      <c r="F66">
        <v>2</v>
      </c>
      <c r="G66">
        <v>9</v>
      </c>
      <c r="H66">
        <v>55.5</v>
      </c>
    </row>
    <row r="67" spans="1:8" hidden="1" x14ac:dyDescent="0.45">
      <c r="A67">
        <v>66</v>
      </c>
      <c r="B67" t="s">
        <v>114</v>
      </c>
      <c r="C67" t="s">
        <v>437</v>
      </c>
      <c r="D67" t="s">
        <v>384</v>
      </c>
      <c r="E67" t="s">
        <v>351</v>
      </c>
      <c r="F67">
        <v>2</v>
      </c>
      <c r="G67">
        <v>9</v>
      </c>
      <c r="H67">
        <v>25</v>
      </c>
    </row>
    <row r="68" spans="1:8" hidden="1" x14ac:dyDescent="0.45">
      <c r="A68">
        <v>67</v>
      </c>
      <c r="B68" t="s">
        <v>115</v>
      </c>
      <c r="C68" t="s">
        <v>438</v>
      </c>
      <c r="D68" t="s">
        <v>375</v>
      </c>
      <c r="E68" t="s">
        <v>351</v>
      </c>
      <c r="F68">
        <v>2</v>
      </c>
      <c r="G68">
        <v>7</v>
      </c>
      <c r="H68">
        <v>31</v>
      </c>
    </row>
    <row r="69" spans="1:8" hidden="1" x14ac:dyDescent="0.45">
      <c r="A69">
        <v>68</v>
      </c>
      <c r="B69" t="s">
        <v>116</v>
      </c>
      <c r="C69" t="s">
        <v>439</v>
      </c>
      <c r="D69" t="s">
        <v>375</v>
      </c>
      <c r="E69" t="s">
        <v>351</v>
      </c>
      <c r="F69">
        <v>2</v>
      </c>
      <c r="G69">
        <v>9</v>
      </c>
      <c r="H69">
        <v>40</v>
      </c>
    </row>
    <row r="70" spans="1:8" hidden="1" x14ac:dyDescent="0.45">
      <c r="A70">
        <v>69</v>
      </c>
      <c r="B70" t="s">
        <v>117</v>
      </c>
      <c r="C70" t="s">
        <v>440</v>
      </c>
      <c r="D70" t="s">
        <v>371</v>
      </c>
      <c r="E70" t="s">
        <v>351</v>
      </c>
      <c r="F70">
        <v>2</v>
      </c>
      <c r="G70">
        <v>5</v>
      </c>
      <c r="H70">
        <v>0</v>
      </c>
    </row>
    <row r="71" spans="1:8" hidden="1" x14ac:dyDescent="0.45">
      <c r="A71">
        <v>70</v>
      </c>
      <c r="B71" t="s">
        <v>118</v>
      </c>
      <c r="C71" t="s">
        <v>441</v>
      </c>
      <c r="D71" t="s">
        <v>369</v>
      </c>
      <c r="E71" t="s">
        <v>351</v>
      </c>
      <c r="F71">
        <v>2</v>
      </c>
      <c r="G71">
        <v>4</v>
      </c>
      <c r="H71">
        <v>18</v>
      </c>
    </row>
    <row r="72" spans="1:8" hidden="1" x14ac:dyDescent="0.45">
      <c r="A72">
        <v>71</v>
      </c>
      <c r="B72" t="s">
        <v>119</v>
      </c>
      <c r="C72" t="s">
        <v>442</v>
      </c>
      <c r="D72" t="s">
        <v>384</v>
      </c>
      <c r="E72" t="s">
        <v>351</v>
      </c>
      <c r="F72">
        <v>2</v>
      </c>
      <c r="G72">
        <v>7</v>
      </c>
      <c r="H72">
        <v>16</v>
      </c>
    </row>
    <row r="73" spans="1:8" hidden="1" x14ac:dyDescent="0.45">
      <c r="A73">
        <v>72</v>
      </c>
      <c r="B73" t="s">
        <v>120</v>
      </c>
      <c r="C73" t="s">
        <v>443</v>
      </c>
      <c r="D73" t="s">
        <v>384</v>
      </c>
      <c r="E73" t="s">
        <v>351</v>
      </c>
      <c r="F73">
        <v>2</v>
      </c>
      <c r="G73">
        <v>6</v>
      </c>
      <c r="H73">
        <v>6</v>
      </c>
    </row>
    <row r="74" spans="1:8" hidden="1" x14ac:dyDescent="0.45">
      <c r="A74">
        <v>73</v>
      </c>
      <c r="B74" t="s">
        <v>121</v>
      </c>
      <c r="C74" t="s">
        <v>444</v>
      </c>
      <c r="D74" t="s">
        <v>384</v>
      </c>
      <c r="E74" t="s">
        <v>351</v>
      </c>
      <c r="F74">
        <v>2</v>
      </c>
      <c r="G74">
        <v>8</v>
      </c>
      <c r="H74">
        <v>17</v>
      </c>
    </row>
    <row r="75" spans="1:8" hidden="1" x14ac:dyDescent="0.45">
      <c r="A75">
        <v>74</v>
      </c>
      <c r="B75" t="s">
        <v>122</v>
      </c>
      <c r="C75" t="s">
        <v>445</v>
      </c>
      <c r="D75" t="s">
        <v>375</v>
      </c>
      <c r="E75" t="s">
        <v>351</v>
      </c>
      <c r="F75">
        <v>2</v>
      </c>
      <c r="G75">
        <v>4</v>
      </c>
      <c r="H75">
        <v>6</v>
      </c>
    </row>
    <row r="76" spans="1:8" hidden="1" x14ac:dyDescent="0.45">
      <c r="A76">
        <v>75</v>
      </c>
      <c r="B76" t="s">
        <v>123</v>
      </c>
      <c r="C76" t="s">
        <v>446</v>
      </c>
      <c r="D76" t="s">
        <v>384</v>
      </c>
      <c r="E76" t="s">
        <v>351</v>
      </c>
      <c r="F76">
        <v>2</v>
      </c>
      <c r="G76">
        <v>8</v>
      </c>
      <c r="H76">
        <v>20.5</v>
      </c>
    </row>
    <row r="77" spans="1:8" hidden="1" x14ac:dyDescent="0.45">
      <c r="A77">
        <v>76</v>
      </c>
      <c r="B77" t="s">
        <v>124</v>
      </c>
      <c r="C77" t="s">
        <v>447</v>
      </c>
      <c r="D77" t="s">
        <v>384</v>
      </c>
      <c r="E77" t="s">
        <v>351</v>
      </c>
      <c r="F77">
        <v>2</v>
      </c>
      <c r="G77">
        <v>4</v>
      </c>
      <c r="H77">
        <v>6</v>
      </c>
    </row>
    <row r="78" spans="1:8" hidden="1" x14ac:dyDescent="0.45">
      <c r="A78">
        <v>77</v>
      </c>
      <c r="B78" t="s">
        <v>125</v>
      </c>
      <c r="C78" t="s">
        <v>448</v>
      </c>
      <c r="D78" t="s">
        <v>375</v>
      </c>
      <c r="E78" t="s">
        <v>352</v>
      </c>
      <c r="F78">
        <v>3</v>
      </c>
      <c r="G78">
        <v>8</v>
      </c>
      <c r="H78">
        <v>5</v>
      </c>
    </row>
    <row r="79" spans="1:8" hidden="1" x14ac:dyDescent="0.45">
      <c r="A79">
        <v>78</v>
      </c>
      <c r="B79" t="s">
        <v>126</v>
      </c>
      <c r="C79" t="s">
        <v>449</v>
      </c>
      <c r="D79" t="s">
        <v>384</v>
      </c>
      <c r="E79" t="s">
        <v>352</v>
      </c>
      <c r="F79">
        <v>3</v>
      </c>
      <c r="G79">
        <v>0</v>
      </c>
      <c r="H79">
        <v>0</v>
      </c>
    </row>
    <row r="80" spans="1:8" hidden="1" x14ac:dyDescent="0.45">
      <c r="A80">
        <v>79</v>
      </c>
      <c r="B80" t="s">
        <v>127</v>
      </c>
      <c r="C80" t="s">
        <v>450</v>
      </c>
      <c r="D80" t="s">
        <v>369</v>
      </c>
      <c r="E80" t="s">
        <v>352</v>
      </c>
      <c r="F80">
        <v>3</v>
      </c>
      <c r="G80">
        <v>5</v>
      </c>
      <c r="H80">
        <v>5</v>
      </c>
    </row>
    <row r="81" spans="1:8" hidden="1" x14ac:dyDescent="0.45">
      <c r="A81">
        <v>80</v>
      </c>
      <c r="B81" t="s">
        <v>128</v>
      </c>
      <c r="C81" t="s">
        <v>451</v>
      </c>
      <c r="D81" t="s">
        <v>375</v>
      </c>
      <c r="E81" t="s">
        <v>352</v>
      </c>
      <c r="F81">
        <v>3</v>
      </c>
      <c r="G81">
        <v>8</v>
      </c>
      <c r="H81">
        <v>9</v>
      </c>
    </row>
    <row r="82" spans="1:8" hidden="1" x14ac:dyDescent="0.45">
      <c r="A82">
        <v>81</v>
      </c>
      <c r="B82" t="s">
        <v>129</v>
      </c>
      <c r="C82" t="s">
        <v>452</v>
      </c>
      <c r="D82" t="s">
        <v>369</v>
      </c>
      <c r="E82" t="s">
        <v>352</v>
      </c>
      <c r="F82">
        <v>3</v>
      </c>
      <c r="G82">
        <v>6</v>
      </c>
      <c r="H82">
        <v>0</v>
      </c>
    </row>
    <row r="83" spans="1:8" hidden="1" x14ac:dyDescent="0.45">
      <c r="A83">
        <v>82</v>
      </c>
      <c r="B83" t="s">
        <v>130</v>
      </c>
      <c r="C83" t="s">
        <v>453</v>
      </c>
      <c r="D83" t="s">
        <v>371</v>
      </c>
      <c r="E83" t="s">
        <v>352</v>
      </c>
      <c r="F83">
        <v>3</v>
      </c>
      <c r="G83">
        <v>5</v>
      </c>
      <c r="H83">
        <v>14</v>
      </c>
    </row>
    <row r="84" spans="1:8" hidden="1" x14ac:dyDescent="0.45">
      <c r="A84">
        <v>83</v>
      </c>
      <c r="B84" t="s">
        <v>131</v>
      </c>
      <c r="C84" t="s">
        <v>454</v>
      </c>
      <c r="D84" t="s">
        <v>375</v>
      </c>
      <c r="E84" t="s">
        <v>352</v>
      </c>
      <c r="F84">
        <v>3</v>
      </c>
      <c r="G84">
        <v>6</v>
      </c>
      <c r="H84">
        <v>27</v>
      </c>
    </row>
    <row r="85" spans="1:8" hidden="1" x14ac:dyDescent="0.45">
      <c r="A85">
        <v>84</v>
      </c>
      <c r="B85" t="s">
        <v>20</v>
      </c>
      <c r="C85" t="s">
        <v>455</v>
      </c>
      <c r="D85" t="s">
        <v>371</v>
      </c>
      <c r="E85" t="s">
        <v>352</v>
      </c>
      <c r="F85">
        <v>3</v>
      </c>
      <c r="G85">
        <v>8</v>
      </c>
      <c r="H85">
        <v>25</v>
      </c>
    </row>
    <row r="86" spans="1:8" hidden="1" x14ac:dyDescent="0.45">
      <c r="A86">
        <v>85</v>
      </c>
      <c r="B86" t="s">
        <v>132</v>
      </c>
      <c r="C86" t="s">
        <v>456</v>
      </c>
      <c r="D86" t="s">
        <v>371</v>
      </c>
      <c r="E86" t="s">
        <v>352</v>
      </c>
      <c r="F86">
        <v>3</v>
      </c>
      <c r="G86">
        <v>11</v>
      </c>
      <c r="H86">
        <v>15</v>
      </c>
    </row>
    <row r="87" spans="1:8" hidden="1" x14ac:dyDescent="0.45">
      <c r="A87">
        <v>86</v>
      </c>
      <c r="B87" t="s">
        <v>133</v>
      </c>
      <c r="C87" t="s">
        <v>457</v>
      </c>
      <c r="D87" t="s">
        <v>384</v>
      </c>
      <c r="E87" t="s">
        <v>352</v>
      </c>
      <c r="F87">
        <v>3</v>
      </c>
      <c r="G87">
        <v>10</v>
      </c>
      <c r="H87">
        <v>41</v>
      </c>
    </row>
    <row r="88" spans="1:8" hidden="1" x14ac:dyDescent="0.45">
      <c r="A88">
        <v>87</v>
      </c>
      <c r="B88" t="s">
        <v>134</v>
      </c>
      <c r="C88" t="s">
        <v>458</v>
      </c>
      <c r="D88" t="s">
        <v>384</v>
      </c>
      <c r="E88" t="s">
        <v>352</v>
      </c>
      <c r="F88">
        <v>3</v>
      </c>
      <c r="G88">
        <v>7</v>
      </c>
      <c r="H88">
        <v>17</v>
      </c>
    </row>
    <row r="89" spans="1:8" hidden="1" x14ac:dyDescent="0.45">
      <c r="A89">
        <v>88</v>
      </c>
      <c r="B89" t="s">
        <v>135</v>
      </c>
      <c r="C89" t="s">
        <v>459</v>
      </c>
      <c r="D89" t="s">
        <v>369</v>
      </c>
      <c r="E89" t="s">
        <v>352</v>
      </c>
      <c r="F89">
        <v>3</v>
      </c>
      <c r="G89">
        <v>7</v>
      </c>
      <c r="H89">
        <v>1</v>
      </c>
    </row>
    <row r="90" spans="1:8" hidden="1" x14ac:dyDescent="0.45">
      <c r="A90">
        <v>89</v>
      </c>
      <c r="B90" t="s">
        <v>136</v>
      </c>
      <c r="C90" t="s">
        <v>460</v>
      </c>
      <c r="D90" t="s">
        <v>369</v>
      </c>
      <c r="E90" t="s">
        <v>352</v>
      </c>
      <c r="F90">
        <v>3</v>
      </c>
      <c r="G90">
        <v>5</v>
      </c>
      <c r="H90">
        <v>0</v>
      </c>
    </row>
    <row r="91" spans="1:8" hidden="1" x14ac:dyDescent="0.45">
      <c r="A91">
        <v>90</v>
      </c>
      <c r="B91" t="s">
        <v>137</v>
      </c>
      <c r="C91" t="s">
        <v>461</v>
      </c>
      <c r="D91" t="s">
        <v>375</v>
      </c>
      <c r="E91" t="s">
        <v>352</v>
      </c>
      <c r="F91">
        <v>3</v>
      </c>
      <c r="G91">
        <v>8</v>
      </c>
      <c r="H91">
        <v>18</v>
      </c>
    </row>
    <row r="92" spans="1:8" hidden="1" x14ac:dyDescent="0.45">
      <c r="A92">
        <v>91</v>
      </c>
      <c r="B92" t="s">
        <v>138</v>
      </c>
      <c r="C92" t="s">
        <v>462</v>
      </c>
      <c r="D92" t="s">
        <v>384</v>
      </c>
      <c r="E92" t="s">
        <v>352</v>
      </c>
      <c r="F92">
        <v>3</v>
      </c>
      <c r="G92">
        <v>8</v>
      </c>
      <c r="H92">
        <v>6</v>
      </c>
    </row>
    <row r="93" spans="1:8" hidden="1" x14ac:dyDescent="0.45">
      <c r="A93">
        <v>92</v>
      </c>
      <c r="B93" t="s">
        <v>139</v>
      </c>
      <c r="C93" t="s">
        <v>463</v>
      </c>
      <c r="D93" t="s">
        <v>369</v>
      </c>
      <c r="E93" t="s">
        <v>352</v>
      </c>
      <c r="F93">
        <v>3</v>
      </c>
      <c r="G93">
        <v>7</v>
      </c>
      <c r="H93">
        <v>9</v>
      </c>
    </row>
    <row r="94" spans="1:8" hidden="1" x14ac:dyDescent="0.45">
      <c r="A94">
        <v>93</v>
      </c>
      <c r="B94" t="s">
        <v>140</v>
      </c>
      <c r="C94" t="s">
        <v>464</v>
      </c>
      <c r="D94" t="s">
        <v>371</v>
      </c>
      <c r="E94" t="s">
        <v>352</v>
      </c>
      <c r="F94">
        <v>3</v>
      </c>
      <c r="G94">
        <v>7</v>
      </c>
      <c r="H94">
        <v>1</v>
      </c>
    </row>
    <row r="95" spans="1:8" hidden="1" x14ac:dyDescent="0.45">
      <c r="A95">
        <v>94</v>
      </c>
      <c r="B95" t="s">
        <v>141</v>
      </c>
      <c r="C95" t="s">
        <v>465</v>
      </c>
      <c r="D95" t="s">
        <v>375</v>
      </c>
      <c r="E95" t="s">
        <v>352</v>
      </c>
      <c r="F95">
        <v>3</v>
      </c>
      <c r="G95">
        <v>5</v>
      </c>
      <c r="H95">
        <v>13</v>
      </c>
    </row>
    <row r="96" spans="1:8" hidden="1" x14ac:dyDescent="0.45">
      <c r="A96">
        <v>95</v>
      </c>
      <c r="B96" t="s">
        <v>142</v>
      </c>
      <c r="C96" t="s">
        <v>466</v>
      </c>
      <c r="D96" t="s">
        <v>371</v>
      </c>
      <c r="E96" t="s">
        <v>352</v>
      </c>
      <c r="F96">
        <v>3</v>
      </c>
      <c r="G96">
        <v>10</v>
      </c>
      <c r="H96">
        <v>40</v>
      </c>
    </row>
    <row r="97" spans="1:8" hidden="1" x14ac:dyDescent="0.45">
      <c r="A97">
        <v>96</v>
      </c>
      <c r="B97" t="s">
        <v>143</v>
      </c>
      <c r="C97" t="s">
        <v>467</v>
      </c>
      <c r="D97" t="s">
        <v>371</v>
      </c>
      <c r="E97" t="s">
        <v>352</v>
      </c>
      <c r="F97">
        <v>3</v>
      </c>
      <c r="G97">
        <v>5</v>
      </c>
      <c r="H97">
        <v>1</v>
      </c>
    </row>
    <row r="98" spans="1:8" hidden="1" x14ac:dyDescent="0.45">
      <c r="A98">
        <v>97</v>
      </c>
      <c r="B98" t="s">
        <v>144</v>
      </c>
      <c r="C98" t="s">
        <v>468</v>
      </c>
      <c r="D98" t="s">
        <v>369</v>
      </c>
      <c r="E98" t="s">
        <v>352</v>
      </c>
      <c r="F98">
        <v>3</v>
      </c>
      <c r="G98">
        <v>9</v>
      </c>
      <c r="H98">
        <v>10</v>
      </c>
    </row>
    <row r="99" spans="1:8" hidden="1" x14ac:dyDescent="0.45">
      <c r="A99">
        <v>98</v>
      </c>
      <c r="B99" t="s">
        <v>145</v>
      </c>
      <c r="C99" t="s">
        <v>469</v>
      </c>
      <c r="D99" t="s">
        <v>375</v>
      </c>
      <c r="E99" t="s">
        <v>352</v>
      </c>
      <c r="F99">
        <v>3</v>
      </c>
      <c r="G99">
        <v>10</v>
      </c>
      <c r="H99">
        <v>15</v>
      </c>
    </row>
    <row r="100" spans="1:8" hidden="1" x14ac:dyDescent="0.45">
      <c r="A100">
        <v>99</v>
      </c>
      <c r="B100" t="s">
        <v>146</v>
      </c>
      <c r="C100" t="s">
        <v>470</v>
      </c>
      <c r="D100" t="s">
        <v>384</v>
      </c>
      <c r="E100" t="s">
        <v>352</v>
      </c>
      <c r="F100">
        <v>3</v>
      </c>
      <c r="G100">
        <v>8</v>
      </c>
      <c r="H100">
        <v>15</v>
      </c>
    </row>
    <row r="101" spans="1:8" hidden="1" x14ac:dyDescent="0.45">
      <c r="A101">
        <v>100</v>
      </c>
      <c r="B101" t="s">
        <v>147</v>
      </c>
      <c r="C101" t="s">
        <v>471</v>
      </c>
      <c r="D101" t="s">
        <v>369</v>
      </c>
      <c r="E101" t="s">
        <v>352</v>
      </c>
      <c r="F101">
        <v>3</v>
      </c>
      <c r="G101">
        <v>9</v>
      </c>
      <c r="H101">
        <v>16</v>
      </c>
    </row>
    <row r="102" spans="1:8" hidden="1" x14ac:dyDescent="0.45">
      <c r="A102">
        <v>101</v>
      </c>
      <c r="B102" t="s">
        <v>148</v>
      </c>
      <c r="C102" t="s">
        <v>472</v>
      </c>
      <c r="D102" t="s">
        <v>384</v>
      </c>
      <c r="E102" t="s">
        <v>352</v>
      </c>
      <c r="F102">
        <v>3</v>
      </c>
      <c r="G102">
        <v>8</v>
      </c>
      <c r="H102">
        <v>1</v>
      </c>
    </row>
    <row r="103" spans="1:8" hidden="1" x14ac:dyDescent="0.45">
      <c r="A103">
        <v>102</v>
      </c>
      <c r="B103" t="s">
        <v>149</v>
      </c>
      <c r="C103" t="s">
        <v>473</v>
      </c>
      <c r="D103" t="s">
        <v>384</v>
      </c>
      <c r="E103" t="s">
        <v>352</v>
      </c>
      <c r="F103">
        <v>3</v>
      </c>
      <c r="G103">
        <v>5</v>
      </c>
      <c r="H103">
        <v>0</v>
      </c>
    </row>
    <row r="104" spans="1:8" hidden="1" x14ac:dyDescent="0.45">
      <c r="A104">
        <v>103</v>
      </c>
      <c r="B104" t="s">
        <v>150</v>
      </c>
      <c r="C104" t="s">
        <v>474</v>
      </c>
      <c r="D104" t="s">
        <v>371</v>
      </c>
      <c r="E104" t="s">
        <v>352</v>
      </c>
      <c r="F104">
        <v>3</v>
      </c>
      <c r="G104">
        <v>5</v>
      </c>
      <c r="H104">
        <v>6</v>
      </c>
    </row>
    <row r="105" spans="1:8" hidden="1" x14ac:dyDescent="0.45">
      <c r="A105">
        <v>104</v>
      </c>
      <c r="B105" t="s">
        <v>151</v>
      </c>
      <c r="C105" t="s">
        <v>475</v>
      </c>
      <c r="D105" t="s">
        <v>384</v>
      </c>
      <c r="E105" t="s">
        <v>352</v>
      </c>
      <c r="F105">
        <v>3</v>
      </c>
      <c r="G105">
        <v>8</v>
      </c>
      <c r="H105">
        <v>1</v>
      </c>
    </row>
    <row r="106" spans="1:8" hidden="1" x14ac:dyDescent="0.45">
      <c r="A106">
        <v>105</v>
      </c>
      <c r="B106" t="s">
        <v>152</v>
      </c>
      <c r="C106" t="s">
        <v>476</v>
      </c>
      <c r="D106" t="s">
        <v>375</v>
      </c>
      <c r="E106" t="s">
        <v>352</v>
      </c>
      <c r="F106">
        <v>3</v>
      </c>
      <c r="G106">
        <v>7</v>
      </c>
      <c r="H106">
        <v>11</v>
      </c>
    </row>
    <row r="107" spans="1:8" hidden="1" x14ac:dyDescent="0.45">
      <c r="A107">
        <v>106</v>
      </c>
      <c r="B107" t="s">
        <v>21</v>
      </c>
      <c r="C107" t="s">
        <v>477</v>
      </c>
      <c r="D107" t="s">
        <v>369</v>
      </c>
      <c r="E107" t="s">
        <v>352</v>
      </c>
      <c r="F107">
        <v>3</v>
      </c>
      <c r="G107">
        <v>9</v>
      </c>
      <c r="H107">
        <v>47</v>
      </c>
    </row>
    <row r="108" spans="1:8" hidden="1" x14ac:dyDescent="0.45">
      <c r="A108">
        <v>107</v>
      </c>
      <c r="B108" t="s">
        <v>153</v>
      </c>
      <c r="C108" t="s">
        <v>478</v>
      </c>
      <c r="D108" t="s">
        <v>369</v>
      </c>
      <c r="E108" t="s">
        <v>352</v>
      </c>
      <c r="F108">
        <v>3</v>
      </c>
      <c r="G108">
        <v>6</v>
      </c>
      <c r="H108">
        <v>20</v>
      </c>
    </row>
    <row r="109" spans="1:8" hidden="1" x14ac:dyDescent="0.45">
      <c r="A109">
        <v>108</v>
      </c>
      <c r="B109" t="s">
        <v>154</v>
      </c>
      <c r="C109" t="s">
        <v>479</v>
      </c>
      <c r="D109" t="s">
        <v>371</v>
      </c>
      <c r="E109" t="s">
        <v>352</v>
      </c>
      <c r="F109">
        <v>3</v>
      </c>
      <c r="G109">
        <v>5</v>
      </c>
      <c r="H109">
        <v>1</v>
      </c>
    </row>
    <row r="110" spans="1:8" hidden="1" x14ac:dyDescent="0.45">
      <c r="A110">
        <v>109</v>
      </c>
      <c r="B110" t="s">
        <v>155</v>
      </c>
      <c r="C110" t="s">
        <v>480</v>
      </c>
      <c r="D110" t="s">
        <v>384</v>
      </c>
      <c r="E110" t="s">
        <v>352</v>
      </c>
      <c r="F110">
        <v>3</v>
      </c>
      <c r="G110">
        <v>9</v>
      </c>
      <c r="H110">
        <v>14</v>
      </c>
    </row>
    <row r="111" spans="1:8" hidden="1" x14ac:dyDescent="0.45">
      <c r="A111">
        <v>110</v>
      </c>
      <c r="B111" t="s">
        <v>156</v>
      </c>
      <c r="C111" t="s">
        <v>481</v>
      </c>
      <c r="D111" t="s">
        <v>371</v>
      </c>
      <c r="E111" t="s">
        <v>352</v>
      </c>
      <c r="F111">
        <v>3</v>
      </c>
      <c r="G111">
        <v>6</v>
      </c>
      <c r="H111">
        <v>6</v>
      </c>
    </row>
    <row r="112" spans="1:8" hidden="1" x14ac:dyDescent="0.45">
      <c r="A112">
        <v>111</v>
      </c>
      <c r="B112" t="s">
        <v>157</v>
      </c>
      <c r="C112" t="s">
        <v>482</v>
      </c>
      <c r="D112" t="s">
        <v>371</v>
      </c>
      <c r="E112" t="s">
        <v>352</v>
      </c>
      <c r="F112">
        <v>3</v>
      </c>
      <c r="G112">
        <v>9</v>
      </c>
      <c r="H112">
        <v>35</v>
      </c>
    </row>
    <row r="113" spans="1:8" hidden="1" x14ac:dyDescent="0.45">
      <c r="A113">
        <v>112</v>
      </c>
      <c r="B113" t="s">
        <v>158</v>
      </c>
      <c r="C113" t="s">
        <v>483</v>
      </c>
      <c r="D113" t="s">
        <v>369</v>
      </c>
      <c r="E113" t="s">
        <v>352</v>
      </c>
      <c r="F113">
        <v>3</v>
      </c>
      <c r="G113">
        <v>11</v>
      </c>
      <c r="H113">
        <v>28</v>
      </c>
    </row>
    <row r="114" spans="1:8" hidden="1" x14ac:dyDescent="0.45">
      <c r="A114">
        <v>113</v>
      </c>
      <c r="B114" t="s">
        <v>159</v>
      </c>
      <c r="C114" t="s">
        <v>484</v>
      </c>
      <c r="D114" t="s">
        <v>375</v>
      </c>
      <c r="E114" t="s">
        <v>352</v>
      </c>
      <c r="F114">
        <v>3</v>
      </c>
      <c r="G114">
        <v>4</v>
      </c>
      <c r="H114">
        <v>12</v>
      </c>
    </row>
    <row r="115" spans="1:8" hidden="1" x14ac:dyDescent="0.45">
      <c r="A115">
        <v>114</v>
      </c>
      <c r="B115" t="s">
        <v>160</v>
      </c>
      <c r="C115" t="s">
        <v>485</v>
      </c>
      <c r="D115" t="s">
        <v>375</v>
      </c>
      <c r="E115" t="s">
        <v>352</v>
      </c>
      <c r="F115">
        <v>3</v>
      </c>
      <c r="G115">
        <v>11</v>
      </c>
      <c r="H115">
        <v>6</v>
      </c>
    </row>
    <row r="116" spans="1:8" hidden="1" x14ac:dyDescent="0.45">
      <c r="A116">
        <v>115</v>
      </c>
      <c r="B116" t="s">
        <v>22</v>
      </c>
      <c r="C116" t="s">
        <v>486</v>
      </c>
      <c r="D116" t="s">
        <v>375</v>
      </c>
      <c r="E116" t="s">
        <v>352</v>
      </c>
      <c r="F116">
        <v>3</v>
      </c>
      <c r="G116">
        <v>8</v>
      </c>
      <c r="H116">
        <v>2</v>
      </c>
    </row>
    <row r="117" spans="1:8" hidden="1" x14ac:dyDescent="0.45">
      <c r="A117">
        <v>116</v>
      </c>
      <c r="B117" t="s">
        <v>161</v>
      </c>
      <c r="C117" t="s">
        <v>487</v>
      </c>
      <c r="D117" t="s">
        <v>384</v>
      </c>
      <c r="E117" t="s">
        <v>352</v>
      </c>
      <c r="F117">
        <v>3</v>
      </c>
      <c r="G117">
        <v>10</v>
      </c>
      <c r="H117">
        <v>8</v>
      </c>
    </row>
    <row r="118" spans="1:8" hidden="1" x14ac:dyDescent="0.45">
      <c r="A118">
        <v>117</v>
      </c>
      <c r="B118" t="s">
        <v>162</v>
      </c>
      <c r="C118" t="s">
        <v>488</v>
      </c>
      <c r="D118" t="s">
        <v>375</v>
      </c>
      <c r="E118" t="s">
        <v>352</v>
      </c>
      <c r="F118">
        <v>4</v>
      </c>
      <c r="G118">
        <v>8</v>
      </c>
      <c r="H118">
        <v>7</v>
      </c>
    </row>
    <row r="119" spans="1:8" hidden="1" x14ac:dyDescent="0.45">
      <c r="A119">
        <v>118</v>
      </c>
      <c r="B119" t="s">
        <v>163</v>
      </c>
      <c r="C119" t="s">
        <v>489</v>
      </c>
      <c r="D119" t="s">
        <v>369</v>
      </c>
      <c r="E119" t="s">
        <v>352</v>
      </c>
      <c r="F119">
        <v>4</v>
      </c>
      <c r="G119">
        <v>7</v>
      </c>
      <c r="H119">
        <v>1</v>
      </c>
    </row>
    <row r="120" spans="1:8" hidden="1" x14ac:dyDescent="0.45">
      <c r="A120">
        <v>119</v>
      </c>
      <c r="B120" t="s">
        <v>164</v>
      </c>
      <c r="C120" t="s">
        <v>490</v>
      </c>
      <c r="D120" t="s">
        <v>375</v>
      </c>
      <c r="E120" t="s">
        <v>352</v>
      </c>
      <c r="F120">
        <v>4</v>
      </c>
      <c r="G120">
        <v>10</v>
      </c>
      <c r="H120">
        <v>33</v>
      </c>
    </row>
    <row r="121" spans="1:8" hidden="1" x14ac:dyDescent="0.45">
      <c r="A121">
        <v>120</v>
      </c>
      <c r="B121" t="s">
        <v>165</v>
      </c>
      <c r="C121" t="s">
        <v>491</v>
      </c>
      <c r="D121" t="s">
        <v>369</v>
      </c>
      <c r="E121" t="s">
        <v>352</v>
      </c>
      <c r="F121">
        <v>4</v>
      </c>
      <c r="G121">
        <v>9</v>
      </c>
      <c r="H121">
        <v>29</v>
      </c>
    </row>
    <row r="122" spans="1:8" hidden="1" x14ac:dyDescent="0.45">
      <c r="A122">
        <v>121</v>
      </c>
      <c r="B122" t="s">
        <v>166</v>
      </c>
      <c r="C122" t="s">
        <v>492</v>
      </c>
      <c r="D122" t="s">
        <v>369</v>
      </c>
      <c r="E122" t="s">
        <v>352</v>
      </c>
      <c r="F122">
        <v>4</v>
      </c>
      <c r="G122">
        <v>10</v>
      </c>
      <c r="H122">
        <v>28</v>
      </c>
    </row>
    <row r="123" spans="1:8" hidden="1" x14ac:dyDescent="0.45">
      <c r="A123">
        <v>122</v>
      </c>
      <c r="B123" t="s">
        <v>167</v>
      </c>
      <c r="C123" t="s">
        <v>493</v>
      </c>
      <c r="D123" t="s">
        <v>369</v>
      </c>
      <c r="E123" t="s">
        <v>352</v>
      </c>
      <c r="F123">
        <v>4</v>
      </c>
      <c r="G123">
        <v>9</v>
      </c>
      <c r="H123">
        <v>17</v>
      </c>
    </row>
    <row r="124" spans="1:8" hidden="1" x14ac:dyDescent="0.45">
      <c r="A124">
        <v>123</v>
      </c>
      <c r="B124" t="s">
        <v>168</v>
      </c>
      <c r="C124" t="s">
        <v>494</v>
      </c>
      <c r="D124" t="s">
        <v>375</v>
      </c>
      <c r="E124" t="s">
        <v>352</v>
      </c>
      <c r="F124">
        <v>4</v>
      </c>
      <c r="G124">
        <v>10</v>
      </c>
      <c r="H124">
        <v>34</v>
      </c>
    </row>
    <row r="125" spans="1:8" hidden="1" x14ac:dyDescent="0.45">
      <c r="A125">
        <v>124</v>
      </c>
      <c r="B125" t="s">
        <v>169</v>
      </c>
      <c r="C125" t="s">
        <v>495</v>
      </c>
      <c r="D125" t="s">
        <v>371</v>
      </c>
      <c r="E125" t="s">
        <v>352</v>
      </c>
      <c r="F125">
        <v>4</v>
      </c>
      <c r="G125">
        <v>9</v>
      </c>
      <c r="H125">
        <v>8</v>
      </c>
    </row>
    <row r="126" spans="1:8" hidden="1" x14ac:dyDescent="0.45">
      <c r="A126">
        <v>125</v>
      </c>
      <c r="B126" t="s">
        <v>23</v>
      </c>
      <c r="C126" t="s">
        <v>496</v>
      </c>
      <c r="D126" t="s">
        <v>371</v>
      </c>
      <c r="E126" t="s">
        <v>352</v>
      </c>
      <c r="F126">
        <v>4</v>
      </c>
      <c r="G126">
        <v>7</v>
      </c>
      <c r="H126">
        <v>3</v>
      </c>
    </row>
    <row r="127" spans="1:8" hidden="1" x14ac:dyDescent="0.45">
      <c r="A127">
        <v>126</v>
      </c>
      <c r="B127" t="s">
        <v>170</v>
      </c>
      <c r="C127" t="s">
        <v>497</v>
      </c>
      <c r="D127" t="s">
        <v>384</v>
      </c>
      <c r="E127" t="s">
        <v>352</v>
      </c>
      <c r="F127">
        <v>4</v>
      </c>
      <c r="G127">
        <v>8</v>
      </c>
      <c r="H127">
        <v>22.5</v>
      </c>
    </row>
    <row r="128" spans="1:8" hidden="1" x14ac:dyDescent="0.45">
      <c r="A128">
        <v>127</v>
      </c>
      <c r="B128" t="s">
        <v>171</v>
      </c>
      <c r="C128" t="s">
        <v>498</v>
      </c>
      <c r="D128" t="s">
        <v>369</v>
      </c>
      <c r="E128" t="s">
        <v>352</v>
      </c>
      <c r="F128">
        <v>4</v>
      </c>
      <c r="G128">
        <v>8</v>
      </c>
      <c r="H128">
        <v>3</v>
      </c>
    </row>
    <row r="129" spans="1:8" hidden="1" x14ac:dyDescent="0.45">
      <c r="A129">
        <v>128</v>
      </c>
      <c r="B129" t="s">
        <v>172</v>
      </c>
      <c r="C129" t="s">
        <v>499</v>
      </c>
      <c r="D129" t="s">
        <v>375</v>
      </c>
      <c r="E129" t="s">
        <v>352</v>
      </c>
      <c r="F129">
        <v>4</v>
      </c>
      <c r="G129">
        <v>6</v>
      </c>
      <c r="H129">
        <v>3</v>
      </c>
    </row>
    <row r="130" spans="1:8" hidden="1" x14ac:dyDescent="0.45">
      <c r="A130">
        <v>129</v>
      </c>
      <c r="B130" t="s">
        <v>173</v>
      </c>
      <c r="C130" t="s">
        <v>500</v>
      </c>
      <c r="D130" t="s">
        <v>371</v>
      </c>
      <c r="E130" t="s">
        <v>352</v>
      </c>
      <c r="F130">
        <v>4</v>
      </c>
      <c r="G130">
        <v>11</v>
      </c>
      <c r="H130">
        <v>18.5</v>
      </c>
    </row>
    <row r="131" spans="1:8" hidden="1" x14ac:dyDescent="0.45">
      <c r="A131">
        <v>130</v>
      </c>
      <c r="B131" t="s">
        <v>174</v>
      </c>
      <c r="C131" t="s">
        <v>501</v>
      </c>
      <c r="D131" t="s">
        <v>375</v>
      </c>
      <c r="E131" t="s">
        <v>352</v>
      </c>
      <c r="F131">
        <v>4</v>
      </c>
      <c r="G131">
        <v>6</v>
      </c>
      <c r="H131">
        <v>14</v>
      </c>
    </row>
    <row r="132" spans="1:8" hidden="1" x14ac:dyDescent="0.45">
      <c r="A132">
        <v>131</v>
      </c>
      <c r="B132" t="s">
        <v>175</v>
      </c>
      <c r="C132" t="s">
        <v>502</v>
      </c>
      <c r="D132" t="s">
        <v>384</v>
      </c>
      <c r="E132" t="s">
        <v>352</v>
      </c>
      <c r="F132">
        <v>4</v>
      </c>
      <c r="G132">
        <v>8</v>
      </c>
      <c r="H132">
        <v>31</v>
      </c>
    </row>
    <row r="133" spans="1:8" hidden="1" x14ac:dyDescent="0.45">
      <c r="A133">
        <v>132</v>
      </c>
      <c r="B133" t="s">
        <v>176</v>
      </c>
      <c r="C133" t="s">
        <v>503</v>
      </c>
      <c r="D133" t="s">
        <v>384</v>
      </c>
      <c r="E133" t="s">
        <v>352</v>
      </c>
      <c r="F133">
        <v>4</v>
      </c>
      <c r="G133">
        <v>6</v>
      </c>
      <c r="H133">
        <v>8</v>
      </c>
    </row>
    <row r="134" spans="1:8" hidden="1" x14ac:dyDescent="0.45">
      <c r="A134">
        <v>133</v>
      </c>
      <c r="B134" t="s">
        <v>177</v>
      </c>
      <c r="C134" t="s">
        <v>504</v>
      </c>
      <c r="D134" t="s">
        <v>371</v>
      </c>
      <c r="E134" t="s">
        <v>352</v>
      </c>
      <c r="F134">
        <v>4</v>
      </c>
      <c r="G134">
        <v>5</v>
      </c>
      <c r="H134">
        <v>0</v>
      </c>
    </row>
    <row r="135" spans="1:8" hidden="1" x14ac:dyDescent="0.45">
      <c r="A135">
        <v>134</v>
      </c>
      <c r="B135" t="s">
        <v>178</v>
      </c>
      <c r="C135" t="s">
        <v>505</v>
      </c>
      <c r="D135" t="s">
        <v>369</v>
      </c>
      <c r="E135" t="s">
        <v>352</v>
      </c>
      <c r="F135">
        <v>4</v>
      </c>
      <c r="G135">
        <v>7</v>
      </c>
      <c r="H135">
        <v>14</v>
      </c>
    </row>
    <row r="136" spans="1:8" hidden="1" x14ac:dyDescent="0.45">
      <c r="A136">
        <v>135</v>
      </c>
      <c r="B136" t="s">
        <v>179</v>
      </c>
      <c r="C136" t="s">
        <v>506</v>
      </c>
      <c r="D136" t="s">
        <v>384</v>
      </c>
      <c r="E136" t="s">
        <v>352</v>
      </c>
      <c r="F136">
        <v>4</v>
      </c>
      <c r="G136">
        <v>10</v>
      </c>
      <c r="H136">
        <v>24</v>
      </c>
    </row>
    <row r="137" spans="1:8" hidden="1" x14ac:dyDescent="0.45">
      <c r="A137">
        <v>136</v>
      </c>
      <c r="B137" t="s">
        <v>180</v>
      </c>
      <c r="C137" t="s">
        <v>507</v>
      </c>
      <c r="D137" t="s">
        <v>384</v>
      </c>
      <c r="E137" t="s">
        <v>352</v>
      </c>
      <c r="F137">
        <v>4</v>
      </c>
      <c r="G137">
        <v>10</v>
      </c>
      <c r="H137">
        <v>12</v>
      </c>
    </row>
    <row r="138" spans="1:8" hidden="1" x14ac:dyDescent="0.45">
      <c r="A138">
        <v>137</v>
      </c>
      <c r="B138" t="s">
        <v>181</v>
      </c>
      <c r="C138" t="s">
        <v>508</v>
      </c>
      <c r="D138" t="s">
        <v>371</v>
      </c>
      <c r="E138" t="s">
        <v>352</v>
      </c>
      <c r="F138">
        <v>4</v>
      </c>
      <c r="G138">
        <v>6</v>
      </c>
      <c r="H138">
        <v>9</v>
      </c>
    </row>
    <row r="139" spans="1:8" hidden="1" x14ac:dyDescent="0.45">
      <c r="A139">
        <v>138</v>
      </c>
      <c r="B139" t="s">
        <v>182</v>
      </c>
      <c r="C139" t="s">
        <v>509</v>
      </c>
      <c r="D139" t="s">
        <v>384</v>
      </c>
      <c r="E139" t="s">
        <v>352</v>
      </c>
      <c r="F139">
        <v>4</v>
      </c>
      <c r="G139">
        <v>9</v>
      </c>
      <c r="H139">
        <v>8</v>
      </c>
    </row>
    <row r="140" spans="1:8" hidden="1" x14ac:dyDescent="0.45">
      <c r="A140">
        <v>139</v>
      </c>
      <c r="B140" t="s">
        <v>183</v>
      </c>
      <c r="C140" t="s">
        <v>510</v>
      </c>
      <c r="D140" t="s">
        <v>371</v>
      </c>
      <c r="E140" t="s">
        <v>352</v>
      </c>
      <c r="F140">
        <v>4</v>
      </c>
      <c r="G140">
        <v>5</v>
      </c>
      <c r="H140">
        <v>17</v>
      </c>
    </row>
    <row r="141" spans="1:8" hidden="1" x14ac:dyDescent="0.45">
      <c r="A141">
        <v>140</v>
      </c>
      <c r="B141" t="s">
        <v>24</v>
      </c>
      <c r="C141" t="s">
        <v>511</v>
      </c>
      <c r="D141" t="s">
        <v>371</v>
      </c>
      <c r="E141" t="s">
        <v>352</v>
      </c>
      <c r="F141">
        <v>4</v>
      </c>
      <c r="G141">
        <v>10</v>
      </c>
      <c r="H141">
        <v>38</v>
      </c>
    </row>
    <row r="142" spans="1:8" hidden="1" x14ac:dyDescent="0.45">
      <c r="A142">
        <v>141</v>
      </c>
      <c r="B142" t="s">
        <v>25</v>
      </c>
      <c r="C142" t="s">
        <v>512</v>
      </c>
      <c r="D142" t="s">
        <v>375</v>
      </c>
      <c r="E142" t="s">
        <v>352</v>
      </c>
      <c r="F142">
        <v>4</v>
      </c>
      <c r="G142">
        <v>9</v>
      </c>
      <c r="H142">
        <v>33</v>
      </c>
    </row>
    <row r="143" spans="1:8" hidden="1" x14ac:dyDescent="0.45">
      <c r="A143">
        <v>142</v>
      </c>
      <c r="B143" t="s">
        <v>26</v>
      </c>
      <c r="C143" t="s">
        <v>513</v>
      </c>
      <c r="D143" t="s">
        <v>384</v>
      </c>
      <c r="E143" t="s">
        <v>350</v>
      </c>
      <c r="F143">
        <v>5</v>
      </c>
      <c r="G143">
        <v>3</v>
      </c>
      <c r="H143">
        <v>0</v>
      </c>
    </row>
    <row r="144" spans="1:8" hidden="1" x14ac:dyDescent="0.45">
      <c r="A144">
        <v>143</v>
      </c>
      <c r="B144" t="s">
        <v>184</v>
      </c>
      <c r="C144" t="s">
        <v>514</v>
      </c>
      <c r="D144" t="s">
        <v>369</v>
      </c>
      <c r="E144" t="s">
        <v>350</v>
      </c>
      <c r="F144">
        <v>5</v>
      </c>
      <c r="G144">
        <v>6</v>
      </c>
      <c r="H144">
        <v>2</v>
      </c>
    </row>
    <row r="145" spans="1:8" hidden="1" x14ac:dyDescent="0.45">
      <c r="A145">
        <v>144</v>
      </c>
      <c r="B145" t="s">
        <v>185</v>
      </c>
      <c r="C145" t="s">
        <v>515</v>
      </c>
      <c r="D145" t="s">
        <v>384</v>
      </c>
      <c r="E145" t="s">
        <v>350</v>
      </c>
      <c r="F145">
        <v>5</v>
      </c>
      <c r="G145">
        <v>4</v>
      </c>
      <c r="H145">
        <v>9</v>
      </c>
    </row>
    <row r="146" spans="1:8" hidden="1" x14ac:dyDescent="0.45">
      <c r="A146">
        <v>145</v>
      </c>
      <c r="B146" t="s">
        <v>186</v>
      </c>
      <c r="C146" t="s">
        <v>516</v>
      </c>
      <c r="D146" t="s">
        <v>375</v>
      </c>
      <c r="E146" t="s">
        <v>350</v>
      </c>
      <c r="F146">
        <v>5</v>
      </c>
      <c r="G146">
        <v>11</v>
      </c>
      <c r="H146">
        <v>30</v>
      </c>
    </row>
    <row r="147" spans="1:8" hidden="1" x14ac:dyDescent="0.45">
      <c r="A147">
        <v>146</v>
      </c>
      <c r="B147" t="s">
        <v>187</v>
      </c>
      <c r="C147" t="s">
        <v>517</v>
      </c>
      <c r="D147" t="s">
        <v>375</v>
      </c>
      <c r="E147" t="s">
        <v>350</v>
      </c>
      <c r="F147">
        <v>5</v>
      </c>
      <c r="G147">
        <v>6</v>
      </c>
      <c r="H147">
        <v>23</v>
      </c>
    </row>
    <row r="148" spans="1:8" hidden="1" x14ac:dyDescent="0.45">
      <c r="A148">
        <v>147</v>
      </c>
      <c r="B148" t="s">
        <v>188</v>
      </c>
      <c r="C148" t="s">
        <v>518</v>
      </c>
      <c r="D148" t="s">
        <v>371</v>
      </c>
      <c r="E148" t="s">
        <v>350</v>
      </c>
      <c r="F148">
        <v>5</v>
      </c>
      <c r="G148">
        <v>4</v>
      </c>
      <c r="H148">
        <v>0</v>
      </c>
    </row>
    <row r="149" spans="1:8" hidden="1" x14ac:dyDescent="0.45">
      <c r="A149">
        <v>148</v>
      </c>
      <c r="B149" t="s">
        <v>189</v>
      </c>
      <c r="C149" t="s">
        <v>519</v>
      </c>
      <c r="D149" t="s">
        <v>375</v>
      </c>
      <c r="E149" t="s">
        <v>350</v>
      </c>
      <c r="F149">
        <v>5</v>
      </c>
      <c r="G149">
        <v>4</v>
      </c>
      <c r="H149">
        <v>5</v>
      </c>
    </row>
    <row r="150" spans="1:8" hidden="1" x14ac:dyDescent="0.45">
      <c r="A150">
        <v>149</v>
      </c>
      <c r="B150" t="s">
        <v>190</v>
      </c>
      <c r="C150" t="s">
        <v>520</v>
      </c>
      <c r="D150" t="s">
        <v>384</v>
      </c>
      <c r="E150" t="s">
        <v>350</v>
      </c>
      <c r="F150">
        <v>5</v>
      </c>
      <c r="G150">
        <v>8</v>
      </c>
      <c r="H150">
        <v>31</v>
      </c>
    </row>
    <row r="151" spans="1:8" hidden="1" x14ac:dyDescent="0.45">
      <c r="A151">
        <v>150</v>
      </c>
      <c r="B151" t="s">
        <v>191</v>
      </c>
      <c r="C151" t="s">
        <v>521</v>
      </c>
      <c r="D151" t="s">
        <v>369</v>
      </c>
      <c r="E151" t="s">
        <v>350</v>
      </c>
      <c r="F151">
        <v>5</v>
      </c>
      <c r="G151">
        <v>7</v>
      </c>
      <c r="H151">
        <v>5</v>
      </c>
    </row>
    <row r="152" spans="1:8" hidden="1" x14ac:dyDescent="0.45">
      <c r="A152">
        <v>151</v>
      </c>
      <c r="B152" t="s">
        <v>192</v>
      </c>
      <c r="C152" t="s">
        <v>522</v>
      </c>
      <c r="D152" t="s">
        <v>375</v>
      </c>
      <c r="E152" t="s">
        <v>350</v>
      </c>
      <c r="F152">
        <v>5</v>
      </c>
      <c r="G152">
        <v>8</v>
      </c>
      <c r="H152">
        <v>8</v>
      </c>
    </row>
    <row r="153" spans="1:8" hidden="1" x14ac:dyDescent="0.45">
      <c r="A153">
        <v>152</v>
      </c>
      <c r="B153" t="s">
        <v>193</v>
      </c>
      <c r="C153" t="s">
        <v>523</v>
      </c>
      <c r="D153" t="s">
        <v>384</v>
      </c>
      <c r="E153" t="s">
        <v>350</v>
      </c>
      <c r="F153">
        <v>5</v>
      </c>
      <c r="G153">
        <v>7</v>
      </c>
      <c r="H153">
        <v>3</v>
      </c>
    </row>
    <row r="154" spans="1:8" hidden="1" x14ac:dyDescent="0.45">
      <c r="A154">
        <v>153</v>
      </c>
      <c r="B154" t="s">
        <v>194</v>
      </c>
      <c r="C154" t="s">
        <v>524</v>
      </c>
      <c r="D154" t="s">
        <v>371</v>
      </c>
      <c r="E154" t="s">
        <v>350</v>
      </c>
      <c r="F154">
        <v>5</v>
      </c>
      <c r="G154">
        <v>11</v>
      </c>
      <c r="H154">
        <v>34</v>
      </c>
    </row>
    <row r="155" spans="1:8" hidden="1" x14ac:dyDescent="0.45">
      <c r="A155">
        <v>154</v>
      </c>
      <c r="B155" t="s">
        <v>195</v>
      </c>
      <c r="C155" t="s">
        <v>525</v>
      </c>
      <c r="D155" t="s">
        <v>369</v>
      </c>
      <c r="E155" t="s">
        <v>350</v>
      </c>
      <c r="F155">
        <v>5</v>
      </c>
      <c r="G155">
        <v>10</v>
      </c>
      <c r="H155">
        <v>31</v>
      </c>
    </row>
    <row r="156" spans="1:8" hidden="1" x14ac:dyDescent="0.45">
      <c r="A156">
        <v>155</v>
      </c>
      <c r="B156" t="s">
        <v>196</v>
      </c>
      <c r="C156" t="s">
        <v>526</v>
      </c>
      <c r="D156" t="s">
        <v>371</v>
      </c>
      <c r="E156" t="s">
        <v>350</v>
      </c>
      <c r="F156">
        <v>5</v>
      </c>
      <c r="G156">
        <v>7</v>
      </c>
      <c r="H156">
        <v>4</v>
      </c>
    </row>
    <row r="157" spans="1:8" hidden="1" x14ac:dyDescent="0.45">
      <c r="A157">
        <v>156</v>
      </c>
      <c r="B157" t="s">
        <v>197</v>
      </c>
      <c r="C157" t="s">
        <v>527</v>
      </c>
      <c r="D157" t="s">
        <v>375</v>
      </c>
      <c r="E157" t="s">
        <v>350</v>
      </c>
      <c r="F157">
        <v>5</v>
      </c>
      <c r="G157">
        <v>6</v>
      </c>
      <c r="H157">
        <v>10.5</v>
      </c>
    </row>
    <row r="158" spans="1:8" hidden="1" x14ac:dyDescent="0.45">
      <c r="A158">
        <v>157</v>
      </c>
      <c r="B158" t="s">
        <v>198</v>
      </c>
      <c r="C158" t="s">
        <v>528</v>
      </c>
      <c r="D158" t="s">
        <v>369</v>
      </c>
      <c r="E158" t="s">
        <v>350</v>
      </c>
      <c r="F158">
        <v>5</v>
      </c>
      <c r="G158">
        <v>6</v>
      </c>
      <c r="H158">
        <v>0</v>
      </c>
    </row>
    <row r="159" spans="1:8" hidden="1" x14ac:dyDescent="0.45">
      <c r="A159">
        <v>158</v>
      </c>
      <c r="B159" t="s">
        <v>199</v>
      </c>
      <c r="C159" t="s">
        <v>529</v>
      </c>
      <c r="D159" t="s">
        <v>371</v>
      </c>
      <c r="E159" t="s">
        <v>350</v>
      </c>
      <c r="F159">
        <v>5</v>
      </c>
      <c r="G159">
        <v>8</v>
      </c>
      <c r="H159">
        <v>1</v>
      </c>
    </row>
    <row r="160" spans="1:8" hidden="1" x14ac:dyDescent="0.45">
      <c r="A160">
        <v>159</v>
      </c>
      <c r="B160" t="s">
        <v>200</v>
      </c>
      <c r="C160" t="s">
        <v>530</v>
      </c>
      <c r="D160" t="s">
        <v>384</v>
      </c>
      <c r="E160" t="s">
        <v>350</v>
      </c>
      <c r="F160">
        <v>5</v>
      </c>
      <c r="G160">
        <v>4</v>
      </c>
      <c r="H160">
        <v>0</v>
      </c>
    </row>
    <row r="161" spans="1:8" hidden="1" x14ac:dyDescent="0.45">
      <c r="A161">
        <v>160</v>
      </c>
      <c r="B161" t="s">
        <v>201</v>
      </c>
      <c r="C161" t="s">
        <v>531</v>
      </c>
      <c r="D161" t="s">
        <v>369</v>
      </c>
      <c r="E161" t="s">
        <v>350</v>
      </c>
      <c r="F161">
        <v>5</v>
      </c>
      <c r="G161">
        <v>8</v>
      </c>
      <c r="H161">
        <v>8</v>
      </c>
    </row>
    <row r="162" spans="1:8" hidden="1" x14ac:dyDescent="0.45">
      <c r="A162">
        <v>161</v>
      </c>
      <c r="B162" t="s">
        <v>202</v>
      </c>
      <c r="C162" t="s">
        <v>532</v>
      </c>
      <c r="D162" t="s">
        <v>371</v>
      </c>
      <c r="E162" t="s">
        <v>350</v>
      </c>
      <c r="F162">
        <v>5</v>
      </c>
      <c r="G162">
        <v>6</v>
      </c>
      <c r="H162">
        <v>1</v>
      </c>
    </row>
    <row r="163" spans="1:8" hidden="1" x14ac:dyDescent="0.45">
      <c r="A163">
        <v>162</v>
      </c>
      <c r="B163" t="s">
        <v>203</v>
      </c>
      <c r="C163" t="s">
        <v>533</v>
      </c>
      <c r="D163" t="s">
        <v>384</v>
      </c>
      <c r="E163" t="s">
        <v>350</v>
      </c>
      <c r="F163">
        <v>5</v>
      </c>
      <c r="G163">
        <v>9</v>
      </c>
      <c r="H163">
        <v>26</v>
      </c>
    </row>
    <row r="164" spans="1:8" hidden="1" x14ac:dyDescent="0.45">
      <c r="A164">
        <v>163</v>
      </c>
      <c r="B164" t="s">
        <v>204</v>
      </c>
      <c r="C164" t="s">
        <v>534</v>
      </c>
      <c r="D164" t="s">
        <v>371</v>
      </c>
      <c r="E164" t="s">
        <v>350</v>
      </c>
      <c r="F164">
        <v>5</v>
      </c>
      <c r="G164">
        <v>9</v>
      </c>
      <c r="H164">
        <v>4</v>
      </c>
    </row>
    <row r="165" spans="1:8" hidden="1" x14ac:dyDescent="0.45">
      <c r="A165">
        <v>164</v>
      </c>
      <c r="B165" t="s">
        <v>205</v>
      </c>
      <c r="C165" t="s">
        <v>535</v>
      </c>
      <c r="D165" t="s">
        <v>375</v>
      </c>
      <c r="E165" t="s">
        <v>350</v>
      </c>
      <c r="F165">
        <v>5</v>
      </c>
      <c r="G165">
        <v>4</v>
      </c>
      <c r="H165">
        <v>0</v>
      </c>
    </row>
    <row r="166" spans="1:8" hidden="1" x14ac:dyDescent="0.45">
      <c r="A166">
        <v>165</v>
      </c>
      <c r="B166" t="s">
        <v>206</v>
      </c>
      <c r="C166" t="s">
        <v>536</v>
      </c>
      <c r="D166" t="s">
        <v>375</v>
      </c>
      <c r="E166" t="s">
        <v>350</v>
      </c>
      <c r="F166">
        <v>5</v>
      </c>
      <c r="G166">
        <v>6</v>
      </c>
      <c r="H166">
        <v>1</v>
      </c>
    </row>
    <row r="167" spans="1:8" hidden="1" x14ac:dyDescent="0.45">
      <c r="A167">
        <v>166</v>
      </c>
      <c r="B167" t="s">
        <v>207</v>
      </c>
      <c r="C167" t="s">
        <v>537</v>
      </c>
      <c r="D167" t="s">
        <v>375</v>
      </c>
      <c r="E167" t="s">
        <v>350</v>
      </c>
      <c r="F167">
        <v>5</v>
      </c>
      <c r="G167">
        <v>5</v>
      </c>
      <c r="H167">
        <v>2</v>
      </c>
    </row>
    <row r="168" spans="1:8" hidden="1" x14ac:dyDescent="0.45">
      <c r="A168">
        <v>167</v>
      </c>
      <c r="B168" t="s">
        <v>208</v>
      </c>
      <c r="C168" t="s">
        <v>538</v>
      </c>
      <c r="D168" t="s">
        <v>369</v>
      </c>
      <c r="E168" t="s">
        <v>350</v>
      </c>
      <c r="F168">
        <v>5</v>
      </c>
      <c r="G168">
        <v>5</v>
      </c>
      <c r="H168">
        <v>14</v>
      </c>
    </row>
    <row r="169" spans="1:8" hidden="1" x14ac:dyDescent="0.45">
      <c r="A169">
        <v>168</v>
      </c>
      <c r="B169" t="s">
        <v>209</v>
      </c>
      <c r="C169" t="s">
        <v>539</v>
      </c>
      <c r="D169" t="s">
        <v>371</v>
      </c>
      <c r="E169" t="s">
        <v>350</v>
      </c>
      <c r="F169">
        <v>5</v>
      </c>
      <c r="G169">
        <v>6</v>
      </c>
      <c r="H169">
        <v>1</v>
      </c>
    </row>
    <row r="170" spans="1:8" hidden="1" x14ac:dyDescent="0.45">
      <c r="A170">
        <v>169</v>
      </c>
      <c r="B170" t="s">
        <v>210</v>
      </c>
      <c r="C170" t="s">
        <v>540</v>
      </c>
      <c r="D170" t="s">
        <v>369</v>
      </c>
      <c r="E170" t="s">
        <v>350</v>
      </c>
      <c r="F170">
        <v>5</v>
      </c>
      <c r="G170">
        <v>5</v>
      </c>
      <c r="H170">
        <v>13</v>
      </c>
    </row>
    <row r="171" spans="1:8" hidden="1" x14ac:dyDescent="0.45">
      <c r="A171">
        <v>170</v>
      </c>
      <c r="B171" t="s">
        <v>211</v>
      </c>
      <c r="C171" t="s">
        <v>541</v>
      </c>
      <c r="D171" t="s">
        <v>384</v>
      </c>
      <c r="E171" t="s">
        <v>350</v>
      </c>
      <c r="F171">
        <v>5</v>
      </c>
      <c r="G171">
        <v>3</v>
      </c>
      <c r="H171">
        <v>0</v>
      </c>
    </row>
    <row r="172" spans="1:8" hidden="1" x14ac:dyDescent="0.45">
      <c r="A172">
        <v>171</v>
      </c>
      <c r="B172" t="s">
        <v>212</v>
      </c>
      <c r="C172" t="s">
        <v>542</v>
      </c>
      <c r="D172" t="s">
        <v>375</v>
      </c>
      <c r="E172" t="s">
        <v>350</v>
      </c>
      <c r="F172">
        <v>5</v>
      </c>
      <c r="G172">
        <v>7</v>
      </c>
      <c r="H172">
        <v>6</v>
      </c>
    </row>
    <row r="173" spans="1:8" hidden="1" x14ac:dyDescent="0.45">
      <c r="A173">
        <v>172</v>
      </c>
      <c r="B173" t="s">
        <v>213</v>
      </c>
      <c r="C173" t="s">
        <v>543</v>
      </c>
      <c r="D173" t="s">
        <v>384</v>
      </c>
      <c r="E173" t="s">
        <v>350</v>
      </c>
      <c r="F173">
        <v>5</v>
      </c>
      <c r="G173">
        <v>4</v>
      </c>
      <c r="H173">
        <v>0</v>
      </c>
    </row>
    <row r="174" spans="1:8" hidden="1" x14ac:dyDescent="0.45">
      <c r="A174">
        <v>173</v>
      </c>
      <c r="B174" t="s">
        <v>214</v>
      </c>
      <c r="C174" t="s">
        <v>544</v>
      </c>
      <c r="D174" t="s">
        <v>369</v>
      </c>
      <c r="E174" t="s">
        <v>350</v>
      </c>
      <c r="F174">
        <v>6</v>
      </c>
      <c r="G174">
        <v>6</v>
      </c>
      <c r="H174">
        <v>6</v>
      </c>
    </row>
    <row r="175" spans="1:8" hidden="1" x14ac:dyDescent="0.45">
      <c r="A175">
        <v>174</v>
      </c>
      <c r="B175" t="s">
        <v>215</v>
      </c>
      <c r="C175" t="s">
        <v>545</v>
      </c>
      <c r="D175" t="s">
        <v>375</v>
      </c>
      <c r="E175" t="s">
        <v>350</v>
      </c>
      <c r="F175">
        <v>6</v>
      </c>
      <c r="G175">
        <v>3</v>
      </c>
      <c r="H175">
        <v>1</v>
      </c>
    </row>
    <row r="176" spans="1:8" hidden="1" x14ac:dyDescent="0.45">
      <c r="A176">
        <v>175</v>
      </c>
      <c r="B176" t="s">
        <v>27</v>
      </c>
      <c r="C176" t="s">
        <v>546</v>
      </c>
      <c r="D176" t="s">
        <v>384</v>
      </c>
      <c r="E176" t="s">
        <v>350</v>
      </c>
      <c r="F176">
        <v>6</v>
      </c>
      <c r="G176">
        <v>11</v>
      </c>
      <c r="H176">
        <v>51</v>
      </c>
    </row>
    <row r="177" spans="1:8" hidden="1" x14ac:dyDescent="0.45">
      <c r="A177">
        <v>176</v>
      </c>
      <c r="B177" t="s">
        <v>216</v>
      </c>
      <c r="C177" t="s">
        <v>547</v>
      </c>
      <c r="D177" t="s">
        <v>369</v>
      </c>
      <c r="E177" t="s">
        <v>350</v>
      </c>
      <c r="F177">
        <v>6</v>
      </c>
      <c r="G177">
        <v>4</v>
      </c>
      <c r="H177">
        <v>0</v>
      </c>
    </row>
    <row r="178" spans="1:8" hidden="1" x14ac:dyDescent="0.45">
      <c r="A178">
        <v>177</v>
      </c>
      <c r="B178" t="s">
        <v>28</v>
      </c>
      <c r="C178" t="s">
        <v>548</v>
      </c>
      <c r="D178" t="s">
        <v>371</v>
      </c>
      <c r="E178" t="s">
        <v>350</v>
      </c>
      <c r="F178">
        <v>6</v>
      </c>
      <c r="G178">
        <v>11</v>
      </c>
      <c r="H178">
        <v>73</v>
      </c>
    </row>
    <row r="179" spans="1:8" hidden="1" x14ac:dyDescent="0.45">
      <c r="A179">
        <v>178</v>
      </c>
      <c r="B179" t="s">
        <v>29</v>
      </c>
      <c r="C179" t="s">
        <v>549</v>
      </c>
      <c r="D179" t="s">
        <v>384</v>
      </c>
      <c r="E179" t="s">
        <v>350</v>
      </c>
      <c r="F179">
        <v>6</v>
      </c>
      <c r="G179">
        <v>11</v>
      </c>
      <c r="H179">
        <v>72</v>
      </c>
    </row>
    <row r="180" spans="1:8" hidden="1" x14ac:dyDescent="0.45">
      <c r="A180">
        <v>179</v>
      </c>
      <c r="B180" t="s">
        <v>217</v>
      </c>
      <c r="C180" t="s">
        <v>550</v>
      </c>
      <c r="D180" t="s">
        <v>369</v>
      </c>
      <c r="E180" t="s">
        <v>350</v>
      </c>
      <c r="F180">
        <v>6</v>
      </c>
      <c r="G180">
        <v>2</v>
      </c>
      <c r="H180">
        <v>0</v>
      </c>
    </row>
    <row r="181" spans="1:8" hidden="1" x14ac:dyDescent="0.45">
      <c r="A181">
        <v>180</v>
      </c>
      <c r="B181" t="s">
        <v>218</v>
      </c>
      <c r="C181" t="s">
        <v>551</v>
      </c>
      <c r="D181" t="s">
        <v>369</v>
      </c>
      <c r="E181" t="s">
        <v>350</v>
      </c>
      <c r="F181">
        <v>6</v>
      </c>
      <c r="G181">
        <v>6</v>
      </c>
      <c r="H181">
        <v>8</v>
      </c>
    </row>
    <row r="182" spans="1:8" hidden="1" x14ac:dyDescent="0.45">
      <c r="A182">
        <v>181</v>
      </c>
      <c r="B182" t="s">
        <v>30</v>
      </c>
      <c r="C182" t="s">
        <v>552</v>
      </c>
      <c r="D182" t="s">
        <v>375</v>
      </c>
      <c r="E182" t="s">
        <v>350</v>
      </c>
      <c r="F182">
        <v>6</v>
      </c>
      <c r="G182">
        <v>4</v>
      </c>
      <c r="H182">
        <v>1</v>
      </c>
    </row>
    <row r="183" spans="1:8" hidden="1" x14ac:dyDescent="0.45">
      <c r="A183">
        <v>182</v>
      </c>
      <c r="B183" t="s">
        <v>219</v>
      </c>
      <c r="C183" t="s">
        <v>553</v>
      </c>
      <c r="D183" t="s">
        <v>371</v>
      </c>
      <c r="E183" t="s">
        <v>350</v>
      </c>
      <c r="F183">
        <v>6</v>
      </c>
      <c r="G183">
        <v>9</v>
      </c>
      <c r="H183">
        <v>7</v>
      </c>
    </row>
    <row r="184" spans="1:8" hidden="1" x14ac:dyDescent="0.45">
      <c r="A184">
        <v>183</v>
      </c>
      <c r="B184" t="s">
        <v>220</v>
      </c>
      <c r="C184" t="s">
        <v>554</v>
      </c>
      <c r="D184" t="s">
        <v>375</v>
      </c>
      <c r="E184" t="s">
        <v>350</v>
      </c>
      <c r="F184">
        <v>6</v>
      </c>
      <c r="G184">
        <v>6</v>
      </c>
      <c r="H184">
        <v>8</v>
      </c>
    </row>
    <row r="185" spans="1:8" hidden="1" x14ac:dyDescent="0.45">
      <c r="A185">
        <v>184</v>
      </c>
      <c r="B185" t="s">
        <v>221</v>
      </c>
      <c r="C185" t="s">
        <v>555</v>
      </c>
      <c r="D185" t="s">
        <v>369</v>
      </c>
      <c r="E185" t="s">
        <v>350</v>
      </c>
      <c r="F185">
        <v>6</v>
      </c>
      <c r="G185">
        <v>5</v>
      </c>
      <c r="H185">
        <v>4</v>
      </c>
    </row>
    <row r="186" spans="1:8" hidden="1" x14ac:dyDescent="0.45">
      <c r="A186">
        <v>185</v>
      </c>
      <c r="B186" t="s">
        <v>222</v>
      </c>
      <c r="C186" t="s">
        <v>556</v>
      </c>
      <c r="D186" t="s">
        <v>371</v>
      </c>
      <c r="E186" t="s">
        <v>350</v>
      </c>
      <c r="F186">
        <v>6</v>
      </c>
      <c r="G186">
        <v>6</v>
      </c>
      <c r="H186">
        <v>10</v>
      </c>
    </row>
    <row r="187" spans="1:8" hidden="1" x14ac:dyDescent="0.45">
      <c r="A187">
        <v>186</v>
      </c>
      <c r="B187" t="s">
        <v>223</v>
      </c>
      <c r="C187" t="s">
        <v>557</v>
      </c>
      <c r="D187" t="s">
        <v>384</v>
      </c>
      <c r="E187" t="s">
        <v>350</v>
      </c>
      <c r="F187">
        <v>6</v>
      </c>
      <c r="G187">
        <v>4</v>
      </c>
      <c r="H187">
        <v>2</v>
      </c>
    </row>
    <row r="188" spans="1:8" hidden="1" x14ac:dyDescent="0.45">
      <c r="A188">
        <v>187</v>
      </c>
      <c r="B188" t="s">
        <v>224</v>
      </c>
      <c r="C188" t="s">
        <v>558</v>
      </c>
      <c r="D188" t="s">
        <v>375</v>
      </c>
      <c r="E188" t="s">
        <v>350</v>
      </c>
      <c r="F188">
        <v>6</v>
      </c>
      <c r="G188">
        <v>10</v>
      </c>
      <c r="H188">
        <v>38</v>
      </c>
    </row>
    <row r="189" spans="1:8" hidden="1" x14ac:dyDescent="0.45">
      <c r="A189">
        <v>188</v>
      </c>
      <c r="B189" t="s">
        <v>225</v>
      </c>
      <c r="C189" t="s">
        <v>559</v>
      </c>
      <c r="D189" t="s">
        <v>371</v>
      </c>
      <c r="E189" t="s">
        <v>350</v>
      </c>
      <c r="F189">
        <v>6</v>
      </c>
      <c r="G189">
        <v>4</v>
      </c>
      <c r="H189">
        <v>2</v>
      </c>
    </row>
    <row r="190" spans="1:8" hidden="1" x14ac:dyDescent="0.45">
      <c r="A190">
        <v>189</v>
      </c>
      <c r="B190" t="s">
        <v>31</v>
      </c>
      <c r="C190" t="s">
        <v>560</v>
      </c>
      <c r="D190" t="s">
        <v>371</v>
      </c>
      <c r="E190" t="s">
        <v>350</v>
      </c>
      <c r="F190">
        <v>6</v>
      </c>
      <c r="G190">
        <v>6</v>
      </c>
      <c r="H190">
        <v>11</v>
      </c>
    </row>
    <row r="191" spans="1:8" hidden="1" x14ac:dyDescent="0.45">
      <c r="A191">
        <v>190</v>
      </c>
      <c r="B191" t="s">
        <v>226</v>
      </c>
      <c r="C191" t="s">
        <v>561</v>
      </c>
      <c r="D191" t="s">
        <v>375</v>
      </c>
      <c r="E191" t="s">
        <v>350</v>
      </c>
      <c r="F191">
        <v>6</v>
      </c>
      <c r="G191">
        <v>9</v>
      </c>
      <c r="H191">
        <v>20</v>
      </c>
    </row>
    <row r="192" spans="1:8" hidden="1" x14ac:dyDescent="0.45">
      <c r="A192">
        <v>191</v>
      </c>
      <c r="B192" t="s">
        <v>227</v>
      </c>
      <c r="C192" t="s">
        <v>562</v>
      </c>
      <c r="D192" t="s">
        <v>369</v>
      </c>
      <c r="E192" t="s">
        <v>350</v>
      </c>
      <c r="F192">
        <v>6</v>
      </c>
      <c r="G192">
        <v>7</v>
      </c>
      <c r="H192">
        <v>6</v>
      </c>
    </row>
    <row r="193" spans="1:8" hidden="1" x14ac:dyDescent="0.45">
      <c r="A193">
        <v>192</v>
      </c>
      <c r="B193" t="s">
        <v>228</v>
      </c>
      <c r="C193" t="s">
        <v>563</v>
      </c>
      <c r="D193" t="s">
        <v>384</v>
      </c>
      <c r="E193" t="s">
        <v>350</v>
      </c>
      <c r="F193">
        <v>6</v>
      </c>
      <c r="G193">
        <v>6</v>
      </c>
      <c r="H193">
        <v>14</v>
      </c>
    </row>
    <row r="194" spans="1:8" hidden="1" x14ac:dyDescent="0.45">
      <c r="A194">
        <v>193</v>
      </c>
      <c r="B194" t="s">
        <v>32</v>
      </c>
      <c r="C194" t="s">
        <v>564</v>
      </c>
      <c r="D194" t="s">
        <v>371</v>
      </c>
      <c r="E194" t="s">
        <v>350</v>
      </c>
      <c r="F194">
        <v>6</v>
      </c>
      <c r="G194">
        <v>4</v>
      </c>
      <c r="H194">
        <v>6</v>
      </c>
    </row>
    <row r="195" spans="1:8" hidden="1" x14ac:dyDescent="0.45">
      <c r="A195">
        <v>194</v>
      </c>
      <c r="B195" t="s">
        <v>229</v>
      </c>
      <c r="C195" t="s">
        <v>565</v>
      </c>
      <c r="D195" t="s">
        <v>371</v>
      </c>
      <c r="E195" t="s">
        <v>350</v>
      </c>
      <c r="F195">
        <v>6</v>
      </c>
      <c r="G195">
        <v>6</v>
      </c>
      <c r="H195">
        <v>6</v>
      </c>
    </row>
    <row r="196" spans="1:8" hidden="1" x14ac:dyDescent="0.45">
      <c r="A196">
        <v>195</v>
      </c>
      <c r="B196" t="s">
        <v>230</v>
      </c>
      <c r="C196" t="s">
        <v>566</v>
      </c>
      <c r="D196" t="s">
        <v>384</v>
      </c>
      <c r="E196" t="s">
        <v>350</v>
      </c>
      <c r="F196">
        <v>6</v>
      </c>
      <c r="G196">
        <v>7</v>
      </c>
      <c r="H196">
        <v>4</v>
      </c>
    </row>
    <row r="197" spans="1:8" hidden="1" x14ac:dyDescent="0.45">
      <c r="A197">
        <v>196</v>
      </c>
      <c r="B197" t="s">
        <v>231</v>
      </c>
      <c r="C197" t="s">
        <v>567</v>
      </c>
      <c r="D197" t="s">
        <v>384</v>
      </c>
      <c r="E197" t="s">
        <v>350</v>
      </c>
      <c r="F197">
        <v>6</v>
      </c>
      <c r="G197">
        <v>7</v>
      </c>
      <c r="H197">
        <v>26.5</v>
      </c>
    </row>
    <row r="198" spans="1:8" hidden="1" x14ac:dyDescent="0.45">
      <c r="A198">
        <v>197</v>
      </c>
      <c r="B198" t="s">
        <v>232</v>
      </c>
      <c r="C198" t="s">
        <v>568</v>
      </c>
      <c r="D198" t="s">
        <v>369</v>
      </c>
      <c r="E198" t="s">
        <v>350</v>
      </c>
      <c r="F198">
        <v>6</v>
      </c>
      <c r="G198">
        <v>10</v>
      </c>
      <c r="H198">
        <v>33</v>
      </c>
    </row>
    <row r="199" spans="1:8" hidden="1" x14ac:dyDescent="0.45">
      <c r="A199">
        <v>198</v>
      </c>
      <c r="B199" t="s">
        <v>233</v>
      </c>
      <c r="C199" t="s">
        <v>569</v>
      </c>
      <c r="D199" t="s">
        <v>369</v>
      </c>
      <c r="E199" t="s">
        <v>350</v>
      </c>
      <c r="F199">
        <v>6</v>
      </c>
      <c r="G199">
        <v>7</v>
      </c>
      <c r="H199">
        <v>14</v>
      </c>
    </row>
    <row r="200" spans="1:8" hidden="1" x14ac:dyDescent="0.45">
      <c r="A200">
        <v>199</v>
      </c>
      <c r="B200" t="s">
        <v>234</v>
      </c>
      <c r="C200" t="s">
        <v>570</v>
      </c>
      <c r="D200" t="s">
        <v>375</v>
      </c>
      <c r="E200" t="s">
        <v>350</v>
      </c>
      <c r="F200">
        <v>6</v>
      </c>
      <c r="G200">
        <v>5</v>
      </c>
      <c r="H200">
        <v>1</v>
      </c>
    </row>
    <row r="201" spans="1:8" hidden="1" x14ac:dyDescent="0.45">
      <c r="A201">
        <v>200</v>
      </c>
      <c r="B201" t="s">
        <v>235</v>
      </c>
      <c r="C201" t="s">
        <v>571</v>
      </c>
      <c r="D201" t="s">
        <v>384</v>
      </c>
      <c r="E201" t="s">
        <v>350</v>
      </c>
      <c r="F201">
        <v>6</v>
      </c>
      <c r="G201">
        <v>10</v>
      </c>
      <c r="H201">
        <v>6</v>
      </c>
    </row>
    <row r="202" spans="1:8" hidden="1" x14ac:dyDescent="0.45">
      <c r="A202">
        <v>201</v>
      </c>
      <c r="B202" t="s">
        <v>236</v>
      </c>
      <c r="C202" t="s">
        <v>572</v>
      </c>
      <c r="D202" t="s">
        <v>375</v>
      </c>
      <c r="E202" t="s">
        <v>350</v>
      </c>
      <c r="F202">
        <v>6</v>
      </c>
      <c r="G202">
        <v>5</v>
      </c>
      <c r="H202">
        <v>12</v>
      </c>
    </row>
    <row r="203" spans="1:8" hidden="1" x14ac:dyDescent="0.45">
      <c r="A203">
        <v>202</v>
      </c>
      <c r="B203" t="s">
        <v>237</v>
      </c>
      <c r="C203" t="s">
        <v>573</v>
      </c>
      <c r="D203" t="s">
        <v>375</v>
      </c>
      <c r="E203" t="s">
        <v>350</v>
      </c>
      <c r="F203">
        <v>7</v>
      </c>
      <c r="G203">
        <v>2</v>
      </c>
      <c r="H203">
        <v>3</v>
      </c>
    </row>
    <row r="204" spans="1:8" hidden="1" x14ac:dyDescent="0.45">
      <c r="A204">
        <v>203</v>
      </c>
      <c r="B204" t="s">
        <v>238</v>
      </c>
      <c r="C204" t="s">
        <v>574</v>
      </c>
      <c r="D204" t="s">
        <v>384</v>
      </c>
      <c r="E204" t="s">
        <v>350</v>
      </c>
      <c r="F204">
        <v>7</v>
      </c>
      <c r="G204">
        <v>9</v>
      </c>
      <c r="H204">
        <v>0</v>
      </c>
    </row>
    <row r="205" spans="1:8" hidden="1" x14ac:dyDescent="0.45">
      <c r="A205">
        <v>204</v>
      </c>
      <c r="B205" t="s">
        <v>239</v>
      </c>
      <c r="C205" t="s">
        <v>575</v>
      </c>
      <c r="D205" t="s">
        <v>369</v>
      </c>
      <c r="E205" t="s">
        <v>350</v>
      </c>
      <c r="F205">
        <v>7</v>
      </c>
      <c r="G205">
        <v>9</v>
      </c>
      <c r="H205">
        <v>11</v>
      </c>
    </row>
    <row r="206" spans="1:8" hidden="1" x14ac:dyDescent="0.45">
      <c r="A206">
        <v>205</v>
      </c>
      <c r="B206" t="s">
        <v>240</v>
      </c>
      <c r="C206" t="s">
        <v>576</v>
      </c>
      <c r="D206" t="s">
        <v>371</v>
      </c>
      <c r="E206" t="s">
        <v>350</v>
      </c>
      <c r="F206">
        <v>7</v>
      </c>
      <c r="G206">
        <v>10</v>
      </c>
      <c r="H206">
        <v>12</v>
      </c>
    </row>
    <row r="207" spans="1:8" hidden="1" x14ac:dyDescent="0.45">
      <c r="A207">
        <v>206</v>
      </c>
      <c r="B207" t="s">
        <v>241</v>
      </c>
      <c r="C207" t="s">
        <v>577</v>
      </c>
      <c r="D207" t="s">
        <v>369</v>
      </c>
      <c r="E207" t="s">
        <v>350</v>
      </c>
      <c r="F207">
        <v>7</v>
      </c>
      <c r="G207">
        <v>4</v>
      </c>
      <c r="H207">
        <v>9</v>
      </c>
    </row>
    <row r="208" spans="1:8" hidden="1" x14ac:dyDescent="0.45">
      <c r="A208">
        <v>207</v>
      </c>
      <c r="B208" t="s">
        <v>33</v>
      </c>
      <c r="C208" t="s">
        <v>578</v>
      </c>
      <c r="D208" t="s">
        <v>371</v>
      </c>
      <c r="E208" t="s">
        <v>350</v>
      </c>
      <c r="F208">
        <v>7</v>
      </c>
      <c r="G208">
        <v>11</v>
      </c>
      <c r="H208">
        <v>52</v>
      </c>
    </row>
    <row r="209" spans="1:8" hidden="1" x14ac:dyDescent="0.45">
      <c r="A209">
        <v>208</v>
      </c>
      <c r="B209" t="s">
        <v>242</v>
      </c>
      <c r="C209" t="s">
        <v>579</v>
      </c>
      <c r="D209" t="s">
        <v>384</v>
      </c>
      <c r="E209" t="s">
        <v>350</v>
      </c>
      <c r="F209">
        <v>7</v>
      </c>
      <c r="G209">
        <v>11</v>
      </c>
      <c r="H209">
        <v>14</v>
      </c>
    </row>
    <row r="210" spans="1:8" hidden="1" x14ac:dyDescent="0.45">
      <c r="A210">
        <v>209</v>
      </c>
      <c r="B210" t="s">
        <v>243</v>
      </c>
      <c r="C210" t="s">
        <v>580</v>
      </c>
      <c r="D210" t="s">
        <v>371</v>
      </c>
      <c r="E210" t="s">
        <v>350</v>
      </c>
      <c r="F210">
        <v>7</v>
      </c>
      <c r="G210">
        <v>5</v>
      </c>
      <c r="H210">
        <v>18</v>
      </c>
    </row>
    <row r="211" spans="1:8" hidden="1" x14ac:dyDescent="0.45">
      <c r="A211">
        <v>210</v>
      </c>
      <c r="B211" t="s">
        <v>34</v>
      </c>
      <c r="C211" t="s">
        <v>581</v>
      </c>
      <c r="D211" t="s">
        <v>369</v>
      </c>
      <c r="E211" t="s">
        <v>350</v>
      </c>
      <c r="F211">
        <v>7</v>
      </c>
      <c r="G211">
        <v>11</v>
      </c>
      <c r="H211">
        <v>41</v>
      </c>
    </row>
    <row r="212" spans="1:8" hidden="1" x14ac:dyDescent="0.45">
      <c r="A212">
        <v>211</v>
      </c>
      <c r="B212" t="s">
        <v>244</v>
      </c>
      <c r="C212" t="s">
        <v>582</v>
      </c>
      <c r="D212" t="s">
        <v>375</v>
      </c>
      <c r="E212" t="s">
        <v>350</v>
      </c>
      <c r="F212">
        <v>7</v>
      </c>
      <c r="G212">
        <v>4</v>
      </c>
      <c r="H212">
        <v>0</v>
      </c>
    </row>
    <row r="213" spans="1:8" hidden="1" x14ac:dyDescent="0.45">
      <c r="A213">
        <v>212</v>
      </c>
      <c r="B213" t="s">
        <v>245</v>
      </c>
      <c r="C213" t="s">
        <v>583</v>
      </c>
      <c r="D213" t="s">
        <v>375</v>
      </c>
      <c r="E213" t="s">
        <v>350</v>
      </c>
      <c r="F213">
        <v>7</v>
      </c>
      <c r="G213">
        <v>10</v>
      </c>
      <c r="H213">
        <v>52</v>
      </c>
    </row>
    <row r="214" spans="1:8" hidden="1" x14ac:dyDescent="0.45">
      <c r="A214">
        <v>213</v>
      </c>
      <c r="B214" t="s">
        <v>35</v>
      </c>
      <c r="C214" t="s">
        <v>584</v>
      </c>
      <c r="D214" t="s">
        <v>375</v>
      </c>
      <c r="E214" t="s">
        <v>350</v>
      </c>
      <c r="F214">
        <v>7</v>
      </c>
      <c r="G214">
        <v>9</v>
      </c>
      <c r="H214">
        <v>23</v>
      </c>
    </row>
    <row r="215" spans="1:8" hidden="1" x14ac:dyDescent="0.45">
      <c r="A215">
        <v>214</v>
      </c>
      <c r="B215" t="s">
        <v>246</v>
      </c>
      <c r="C215" t="s">
        <v>585</v>
      </c>
      <c r="D215" t="s">
        <v>384</v>
      </c>
      <c r="E215" t="s">
        <v>350</v>
      </c>
      <c r="F215">
        <v>7</v>
      </c>
      <c r="G215">
        <v>5</v>
      </c>
      <c r="H215">
        <v>11</v>
      </c>
    </row>
    <row r="216" spans="1:8" hidden="1" x14ac:dyDescent="0.45">
      <c r="A216">
        <v>215</v>
      </c>
      <c r="B216" t="s">
        <v>36</v>
      </c>
      <c r="C216" t="s">
        <v>586</v>
      </c>
      <c r="D216" t="s">
        <v>369</v>
      </c>
      <c r="E216" t="s">
        <v>350</v>
      </c>
      <c r="F216">
        <v>7</v>
      </c>
      <c r="G216">
        <v>6</v>
      </c>
      <c r="H216">
        <v>32</v>
      </c>
    </row>
    <row r="217" spans="1:8" hidden="1" x14ac:dyDescent="0.45">
      <c r="A217">
        <v>216</v>
      </c>
      <c r="B217" t="s">
        <v>37</v>
      </c>
      <c r="C217" t="s">
        <v>587</v>
      </c>
      <c r="D217" t="s">
        <v>375</v>
      </c>
      <c r="E217" t="s">
        <v>350</v>
      </c>
      <c r="F217">
        <v>7</v>
      </c>
      <c r="G217">
        <v>10</v>
      </c>
      <c r="H217">
        <v>34</v>
      </c>
    </row>
    <row r="218" spans="1:8" hidden="1" x14ac:dyDescent="0.45">
      <c r="A218">
        <v>217</v>
      </c>
      <c r="B218" t="s">
        <v>247</v>
      </c>
      <c r="C218" t="s">
        <v>588</v>
      </c>
      <c r="D218" t="s">
        <v>371</v>
      </c>
      <c r="E218" t="s">
        <v>350</v>
      </c>
      <c r="F218">
        <v>7</v>
      </c>
      <c r="G218">
        <v>8</v>
      </c>
      <c r="H218">
        <v>8</v>
      </c>
    </row>
    <row r="219" spans="1:8" hidden="1" x14ac:dyDescent="0.45">
      <c r="A219">
        <v>218</v>
      </c>
      <c r="B219" t="s">
        <v>248</v>
      </c>
      <c r="C219" t="s">
        <v>589</v>
      </c>
      <c r="D219" t="s">
        <v>369</v>
      </c>
      <c r="E219" t="s">
        <v>350</v>
      </c>
      <c r="F219">
        <v>7</v>
      </c>
      <c r="G219">
        <v>10</v>
      </c>
      <c r="H219">
        <v>17</v>
      </c>
    </row>
    <row r="220" spans="1:8" hidden="1" x14ac:dyDescent="0.45">
      <c r="A220">
        <v>219</v>
      </c>
      <c r="B220" t="s">
        <v>249</v>
      </c>
      <c r="C220" t="s">
        <v>590</v>
      </c>
      <c r="D220" t="s">
        <v>384</v>
      </c>
      <c r="E220" t="s">
        <v>350</v>
      </c>
      <c r="F220">
        <v>7</v>
      </c>
      <c r="G220">
        <v>6</v>
      </c>
      <c r="H220">
        <v>0</v>
      </c>
    </row>
    <row r="221" spans="1:8" hidden="1" x14ac:dyDescent="0.45">
      <c r="A221">
        <v>220</v>
      </c>
      <c r="B221" t="s">
        <v>250</v>
      </c>
      <c r="C221" t="s">
        <v>591</v>
      </c>
      <c r="D221" t="s">
        <v>371</v>
      </c>
      <c r="E221" t="s">
        <v>350</v>
      </c>
      <c r="F221">
        <v>7</v>
      </c>
      <c r="G221">
        <v>3</v>
      </c>
      <c r="H221">
        <v>8</v>
      </c>
    </row>
    <row r="222" spans="1:8" hidden="1" x14ac:dyDescent="0.45">
      <c r="A222">
        <v>221</v>
      </c>
      <c r="B222" t="s">
        <v>38</v>
      </c>
      <c r="C222" t="s">
        <v>592</v>
      </c>
      <c r="D222" t="s">
        <v>384</v>
      </c>
      <c r="E222" t="s">
        <v>350</v>
      </c>
      <c r="F222">
        <v>7</v>
      </c>
      <c r="G222">
        <v>4</v>
      </c>
      <c r="H222">
        <v>16</v>
      </c>
    </row>
    <row r="223" spans="1:8" hidden="1" x14ac:dyDescent="0.45">
      <c r="A223">
        <v>222</v>
      </c>
      <c r="B223" t="s">
        <v>251</v>
      </c>
      <c r="C223" t="s">
        <v>593</v>
      </c>
      <c r="D223" t="s">
        <v>371</v>
      </c>
      <c r="E223" t="s">
        <v>349</v>
      </c>
      <c r="F223">
        <v>8</v>
      </c>
      <c r="G223">
        <v>2</v>
      </c>
      <c r="H223">
        <v>4</v>
      </c>
    </row>
    <row r="224" spans="1:8" hidden="1" x14ac:dyDescent="0.45">
      <c r="A224">
        <v>223</v>
      </c>
      <c r="B224" t="s">
        <v>252</v>
      </c>
      <c r="C224" t="s">
        <v>594</v>
      </c>
      <c r="D224" t="s">
        <v>371</v>
      </c>
      <c r="E224" t="s">
        <v>349</v>
      </c>
      <c r="F224">
        <v>8</v>
      </c>
      <c r="G224">
        <v>6</v>
      </c>
      <c r="H224">
        <v>8</v>
      </c>
    </row>
    <row r="225" spans="1:8" hidden="1" x14ac:dyDescent="0.45">
      <c r="A225">
        <v>224</v>
      </c>
      <c r="B225" t="s">
        <v>253</v>
      </c>
      <c r="C225" t="s">
        <v>595</v>
      </c>
      <c r="D225" t="s">
        <v>384</v>
      </c>
      <c r="E225" t="s">
        <v>349</v>
      </c>
      <c r="F225">
        <v>8</v>
      </c>
      <c r="G225">
        <v>2</v>
      </c>
      <c r="H225">
        <v>4</v>
      </c>
    </row>
    <row r="226" spans="1:8" hidden="1" x14ac:dyDescent="0.45">
      <c r="A226">
        <v>225</v>
      </c>
      <c r="B226" t="s">
        <v>254</v>
      </c>
      <c r="C226" t="s">
        <v>596</v>
      </c>
      <c r="D226" t="s">
        <v>384</v>
      </c>
      <c r="E226" t="s">
        <v>349</v>
      </c>
      <c r="F226">
        <v>8</v>
      </c>
      <c r="G226">
        <v>3</v>
      </c>
      <c r="H226">
        <v>0</v>
      </c>
    </row>
    <row r="227" spans="1:8" hidden="1" x14ac:dyDescent="0.45">
      <c r="A227">
        <v>226</v>
      </c>
      <c r="B227" t="s">
        <v>255</v>
      </c>
      <c r="C227" t="s">
        <v>597</v>
      </c>
      <c r="D227" t="s">
        <v>371</v>
      </c>
      <c r="E227" t="s">
        <v>349</v>
      </c>
      <c r="F227">
        <v>8</v>
      </c>
      <c r="G227">
        <v>9</v>
      </c>
      <c r="H227">
        <v>3</v>
      </c>
    </row>
    <row r="228" spans="1:8" hidden="1" x14ac:dyDescent="0.45">
      <c r="A228">
        <v>227</v>
      </c>
      <c r="B228" t="s">
        <v>256</v>
      </c>
      <c r="C228" t="s">
        <v>598</v>
      </c>
      <c r="D228" t="s">
        <v>369</v>
      </c>
      <c r="E228" t="s">
        <v>349</v>
      </c>
      <c r="F228">
        <v>8</v>
      </c>
      <c r="G228">
        <v>6</v>
      </c>
      <c r="H228">
        <v>8</v>
      </c>
    </row>
    <row r="229" spans="1:8" hidden="1" x14ac:dyDescent="0.45">
      <c r="A229">
        <v>228</v>
      </c>
      <c r="B229" t="s">
        <v>257</v>
      </c>
      <c r="C229" t="s">
        <v>599</v>
      </c>
      <c r="D229" t="s">
        <v>384</v>
      </c>
      <c r="E229" t="s">
        <v>349</v>
      </c>
      <c r="F229">
        <v>8</v>
      </c>
      <c r="G229">
        <v>3</v>
      </c>
      <c r="H229">
        <v>0</v>
      </c>
    </row>
    <row r="230" spans="1:8" hidden="1" x14ac:dyDescent="0.45">
      <c r="A230">
        <v>229</v>
      </c>
      <c r="B230" t="s">
        <v>258</v>
      </c>
      <c r="C230" t="s">
        <v>600</v>
      </c>
      <c r="D230" t="s">
        <v>384</v>
      </c>
      <c r="E230" t="s">
        <v>349</v>
      </c>
      <c r="F230">
        <v>8</v>
      </c>
      <c r="G230">
        <v>6</v>
      </c>
      <c r="H230">
        <v>1</v>
      </c>
    </row>
    <row r="231" spans="1:8" hidden="1" x14ac:dyDescent="0.45">
      <c r="A231">
        <v>230</v>
      </c>
      <c r="B231" t="s">
        <v>259</v>
      </c>
      <c r="C231" t="s">
        <v>601</v>
      </c>
      <c r="D231" t="s">
        <v>384</v>
      </c>
      <c r="E231" t="s">
        <v>349</v>
      </c>
      <c r="F231">
        <v>8</v>
      </c>
      <c r="G231">
        <v>10</v>
      </c>
      <c r="H231">
        <v>46</v>
      </c>
    </row>
    <row r="232" spans="1:8" hidden="1" x14ac:dyDescent="0.45">
      <c r="A232">
        <v>231</v>
      </c>
      <c r="B232" t="s">
        <v>260</v>
      </c>
      <c r="C232" t="s">
        <v>602</v>
      </c>
      <c r="D232" t="s">
        <v>375</v>
      </c>
      <c r="E232" t="s">
        <v>349</v>
      </c>
      <c r="F232">
        <v>8</v>
      </c>
      <c r="G232">
        <v>2</v>
      </c>
      <c r="H232">
        <v>0</v>
      </c>
    </row>
    <row r="233" spans="1:8" hidden="1" x14ac:dyDescent="0.45">
      <c r="A233">
        <v>232</v>
      </c>
      <c r="B233" t="s">
        <v>261</v>
      </c>
      <c r="C233" t="s">
        <v>603</v>
      </c>
      <c r="D233" t="s">
        <v>375</v>
      </c>
      <c r="E233" t="s">
        <v>349</v>
      </c>
      <c r="F233">
        <v>8</v>
      </c>
      <c r="G233">
        <v>5</v>
      </c>
      <c r="H233">
        <v>8</v>
      </c>
    </row>
    <row r="234" spans="1:8" hidden="1" x14ac:dyDescent="0.45">
      <c r="A234">
        <v>233</v>
      </c>
      <c r="B234" t="s">
        <v>262</v>
      </c>
      <c r="C234" t="s">
        <v>604</v>
      </c>
      <c r="D234" t="s">
        <v>371</v>
      </c>
      <c r="E234" t="s">
        <v>349</v>
      </c>
      <c r="F234">
        <v>8</v>
      </c>
      <c r="G234">
        <v>11</v>
      </c>
      <c r="H234">
        <v>70.5</v>
      </c>
    </row>
    <row r="235" spans="1:8" hidden="1" x14ac:dyDescent="0.45">
      <c r="A235">
        <v>234</v>
      </c>
      <c r="B235" t="s">
        <v>263</v>
      </c>
      <c r="C235" t="s">
        <v>605</v>
      </c>
      <c r="D235" t="s">
        <v>369</v>
      </c>
      <c r="E235" t="s">
        <v>349</v>
      </c>
      <c r="F235">
        <v>8</v>
      </c>
      <c r="G235">
        <v>4</v>
      </c>
      <c r="H235">
        <v>16</v>
      </c>
    </row>
    <row r="236" spans="1:8" hidden="1" x14ac:dyDescent="0.45">
      <c r="A236">
        <v>235</v>
      </c>
      <c r="B236" t="s">
        <v>264</v>
      </c>
      <c r="C236" t="s">
        <v>606</v>
      </c>
      <c r="D236" t="s">
        <v>371</v>
      </c>
      <c r="E236" t="s">
        <v>349</v>
      </c>
      <c r="F236">
        <v>8</v>
      </c>
      <c r="G236">
        <v>9</v>
      </c>
      <c r="H236">
        <v>4</v>
      </c>
    </row>
    <row r="237" spans="1:8" hidden="1" x14ac:dyDescent="0.45">
      <c r="A237">
        <v>236</v>
      </c>
      <c r="B237" t="s">
        <v>265</v>
      </c>
      <c r="C237" t="s">
        <v>607</v>
      </c>
      <c r="D237" t="s">
        <v>369</v>
      </c>
      <c r="E237" t="s">
        <v>349</v>
      </c>
      <c r="F237">
        <v>8</v>
      </c>
      <c r="G237">
        <v>3</v>
      </c>
      <c r="H237">
        <v>1</v>
      </c>
    </row>
    <row r="238" spans="1:8" hidden="1" x14ac:dyDescent="0.45">
      <c r="A238">
        <v>237</v>
      </c>
      <c r="B238" t="s">
        <v>266</v>
      </c>
      <c r="C238" t="s">
        <v>608</v>
      </c>
      <c r="D238" t="s">
        <v>384</v>
      </c>
      <c r="E238" t="s">
        <v>349</v>
      </c>
      <c r="F238">
        <v>8</v>
      </c>
      <c r="G238">
        <v>2</v>
      </c>
      <c r="H238">
        <v>4</v>
      </c>
    </row>
    <row r="239" spans="1:8" hidden="1" x14ac:dyDescent="0.45">
      <c r="A239">
        <v>238</v>
      </c>
      <c r="B239" t="s">
        <v>267</v>
      </c>
      <c r="C239" t="s">
        <v>609</v>
      </c>
      <c r="D239" t="s">
        <v>371</v>
      </c>
      <c r="E239" t="s">
        <v>349</v>
      </c>
      <c r="F239">
        <v>8</v>
      </c>
      <c r="G239">
        <v>6</v>
      </c>
      <c r="H239">
        <v>1</v>
      </c>
    </row>
    <row r="240" spans="1:8" hidden="1" x14ac:dyDescent="0.45">
      <c r="A240">
        <v>239</v>
      </c>
      <c r="B240" t="s">
        <v>268</v>
      </c>
      <c r="C240" t="s">
        <v>610</v>
      </c>
      <c r="D240" t="s">
        <v>369</v>
      </c>
      <c r="E240" t="s">
        <v>349</v>
      </c>
      <c r="F240">
        <v>8</v>
      </c>
      <c r="G240">
        <v>3</v>
      </c>
      <c r="H240">
        <v>16</v>
      </c>
    </row>
    <row r="241" spans="1:8" hidden="1" x14ac:dyDescent="0.45">
      <c r="A241">
        <v>240</v>
      </c>
      <c r="B241" t="s">
        <v>269</v>
      </c>
      <c r="C241" t="s">
        <v>611</v>
      </c>
      <c r="D241" t="s">
        <v>375</v>
      </c>
      <c r="E241" t="s">
        <v>349</v>
      </c>
      <c r="F241">
        <v>8</v>
      </c>
      <c r="G241">
        <v>11</v>
      </c>
      <c r="H241">
        <v>31</v>
      </c>
    </row>
    <row r="242" spans="1:8" hidden="1" x14ac:dyDescent="0.45">
      <c r="A242">
        <v>241</v>
      </c>
      <c r="B242" t="s">
        <v>270</v>
      </c>
      <c r="C242" t="s">
        <v>612</v>
      </c>
      <c r="D242" t="s">
        <v>375</v>
      </c>
      <c r="E242" t="s">
        <v>349</v>
      </c>
      <c r="F242">
        <v>8</v>
      </c>
      <c r="G242">
        <v>3</v>
      </c>
      <c r="H242">
        <v>10</v>
      </c>
    </row>
    <row r="243" spans="1:8" x14ac:dyDescent="0.45">
      <c r="A243">
        <v>242</v>
      </c>
      <c r="B243" t="s">
        <v>271</v>
      </c>
      <c r="C243" t="s">
        <v>613</v>
      </c>
      <c r="D243" t="s">
        <v>369</v>
      </c>
      <c r="E243" t="s">
        <v>349</v>
      </c>
      <c r="F243">
        <v>8</v>
      </c>
      <c r="G243">
        <v>1</v>
      </c>
      <c r="H243">
        <v>0</v>
      </c>
    </row>
    <row r="244" spans="1:8" hidden="1" x14ac:dyDescent="0.45">
      <c r="A244">
        <v>243</v>
      </c>
      <c r="B244" t="s">
        <v>272</v>
      </c>
      <c r="C244" t="s">
        <v>614</v>
      </c>
      <c r="D244" t="s">
        <v>384</v>
      </c>
      <c r="E244" t="s">
        <v>349</v>
      </c>
      <c r="F244">
        <v>8</v>
      </c>
      <c r="G244">
        <v>3</v>
      </c>
      <c r="H244">
        <v>0</v>
      </c>
    </row>
    <row r="245" spans="1:8" hidden="1" x14ac:dyDescent="0.45">
      <c r="A245">
        <v>244</v>
      </c>
      <c r="B245" t="s">
        <v>273</v>
      </c>
      <c r="C245" t="s">
        <v>615</v>
      </c>
      <c r="E245" t="s">
        <v>349</v>
      </c>
      <c r="F245">
        <v>8</v>
      </c>
      <c r="G245">
        <v>0</v>
      </c>
      <c r="H245">
        <v>0</v>
      </c>
    </row>
    <row r="246" spans="1:8" hidden="1" x14ac:dyDescent="0.45">
      <c r="A246">
        <v>245</v>
      </c>
      <c r="B246" t="s">
        <v>274</v>
      </c>
      <c r="C246" t="s">
        <v>616</v>
      </c>
      <c r="D246" t="s">
        <v>371</v>
      </c>
      <c r="E246" t="s">
        <v>349</v>
      </c>
      <c r="F246">
        <v>8</v>
      </c>
      <c r="G246">
        <v>4</v>
      </c>
      <c r="H246">
        <v>8</v>
      </c>
    </row>
    <row r="247" spans="1:8" hidden="1" x14ac:dyDescent="0.45">
      <c r="A247">
        <v>246</v>
      </c>
      <c r="B247" t="s">
        <v>275</v>
      </c>
      <c r="C247" t="s">
        <v>617</v>
      </c>
      <c r="D247" t="s">
        <v>375</v>
      </c>
      <c r="E247" t="s">
        <v>349</v>
      </c>
      <c r="F247">
        <v>8</v>
      </c>
      <c r="G247">
        <v>3</v>
      </c>
      <c r="H247">
        <v>0</v>
      </c>
    </row>
    <row r="248" spans="1:8" hidden="1" x14ac:dyDescent="0.45">
      <c r="A248">
        <v>247</v>
      </c>
      <c r="B248" t="s">
        <v>276</v>
      </c>
      <c r="C248" t="s">
        <v>618</v>
      </c>
      <c r="D248" t="s">
        <v>384</v>
      </c>
      <c r="E248" t="s">
        <v>349</v>
      </c>
      <c r="F248">
        <v>8</v>
      </c>
      <c r="G248">
        <v>2</v>
      </c>
      <c r="H248">
        <v>0</v>
      </c>
    </row>
    <row r="249" spans="1:8" hidden="1" x14ac:dyDescent="0.45">
      <c r="A249">
        <v>248</v>
      </c>
      <c r="B249" t="s">
        <v>277</v>
      </c>
      <c r="C249" t="s">
        <v>619</v>
      </c>
      <c r="D249" t="s">
        <v>375</v>
      </c>
      <c r="E249" t="s">
        <v>349</v>
      </c>
      <c r="F249">
        <v>8</v>
      </c>
      <c r="G249">
        <v>8</v>
      </c>
      <c r="H249">
        <v>10</v>
      </c>
    </row>
    <row r="250" spans="1:8" hidden="1" x14ac:dyDescent="0.45">
      <c r="A250">
        <v>249</v>
      </c>
      <c r="B250" t="s">
        <v>278</v>
      </c>
      <c r="C250" t="s">
        <v>620</v>
      </c>
      <c r="D250" t="s">
        <v>369</v>
      </c>
      <c r="E250" t="s">
        <v>349</v>
      </c>
      <c r="F250">
        <v>8</v>
      </c>
      <c r="G250">
        <v>8</v>
      </c>
      <c r="H250">
        <v>50</v>
      </c>
    </row>
    <row r="251" spans="1:8" hidden="1" x14ac:dyDescent="0.45">
      <c r="A251">
        <v>250</v>
      </c>
      <c r="B251" t="s">
        <v>279</v>
      </c>
      <c r="C251" t="s">
        <v>621</v>
      </c>
      <c r="D251" t="s">
        <v>369</v>
      </c>
      <c r="E251" t="s">
        <v>349</v>
      </c>
      <c r="F251">
        <v>8</v>
      </c>
      <c r="G251">
        <v>11</v>
      </c>
      <c r="H251">
        <v>28</v>
      </c>
    </row>
    <row r="252" spans="1:8" hidden="1" x14ac:dyDescent="0.45">
      <c r="A252">
        <v>251</v>
      </c>
      <c r="B252" t="s">
        <v>280</v>
      </c>
      <c r="C252" t="s">
        <v>622</v>
      </c>
      <c r="D252" t="s">
        <v>375</v>
      </c>
      <c r="E252" t="s">
        <v>349</v>
      </c>
      <c r="F252">
        <v>8</v>
      </c>
      <c r="G252">
        <v>9</v>
      </c>
      <c r="H252">
        <v>25</v>
      </c>
    </row>
    <row r="253" spans="1:8" x14ac:dyDescent="0.45">
      <c r="A253">
        <v>252</v>
      </c>
      <c r="B253" t="s">
        <v>281</v>
      </c>
      <c r="C253" t="s">
        <v>623</v>
      </c>
      <c r="D253" t="s">
        <v>384</v>
      </c>
      <c r="E253" t="s">
        <v>349</v>
      </c>
      <c r="F253">
        <v>9</v>
      </c>
      <c r="G253">
        <v>1</v>
      </c>
      <c r="H253">
        <v>0</v>
      </c>
    </row>
    <row r="254" spans="1:8" hidden="1" x14ac:dyDescent="0.45">
      <c r="A254">
        <v>253</v>
      </c>
      <c r="B254" t="s">
        <v>282</v>
      </c>
      <c r="C254" t="s">
        <v>624</v>
      </c>
      <c r="D254" t="s">
        <v>384</v>
      </c>
      <c r="E254" t="s">
        <v>349</v>
      </c>
      <c r="F254">
        <v>9</v>
      </c>
      <c r="G254">
        <v>5</v>
      </c>
      <c r="H254">
        <v>6</v>
      </c>
    </row>
    <row r="255" spans="1:8" hidden="1" x14ac:dyDescent="0.45">
      <c r="A255">
        <v>254</v>
      </c>
      <c r="B255" t="s">
        <v>283</v>
      </c>
      <c r="C255" t="s">
        <v>625</v>
      </c>
      <c r="D255" t="s">
        <v>369</v>
      </c>
      <c r="E255" t="s">
        <v>349</v>
      </c>
      <c r="F255">
        <v>9</v>
      </c>
      <c r="G255">
        <v>3</v>
      </c>
      <c r="H255">
        <v>7</v>
      </c>
    </row>
    <row r="256" spans="1:8" hidden="1" x14ac:dyDescent="0.45">
      <c r="A256">
        <v>255</v>
      </c>
      <c r="B256" t="s">
        <v>284</v>
      </c>
      <c r="C256" t="s">
        <v>626</v>
      </c>
      <c r="D256" t="s">
        <v>369</v>
      </c>
      <c r="E256" t="s">
        <v>349</v>
      </c>
      <c r="F256">
        <v>9</v>
      </c>
      <c r="G256">
        <v>6</v>
      </c>
      <c r="H256">
        <v>25</v>
      </c>
    </row>
    <row r="257" spans="1:8" x14ac:dyDescent="0.45">
      <c r="A257">
        <v>256</v>
      </c>
      <c r="B257" t="s">
        <v>285</v>
      </c>
      <c r="C257" t="s">
        <v>627</v>
      </c>
      <c r="D257" t="s">
        <v>369</v>
      </c>
      <c r="E257" t="s">
        <v>349</v>
      </c>
      <c r="F257">
        <v>9</v>
      </c>
      <c r="G257">
        <v>1</v>
      </c>
      <c r="H257">
        <v>0</v>
      </c>
    </row>
    <row r="258" spans="1:8" hidden="1" x14ac:dyDescent="0.45">
      <c r="A258">
        <v>257</v>
      </c>
      <c r="B258" t="s">
        <v>286</v>
      </c>
      <c r="C258" t="s">
        <v>628</v>
      </c>
      <c r="D258" t="s">
        <v>384</v>
      </c>
      <c r="E258" t="s">
        <v>349</v>
      </c>
      <c r="F258">
        <v>9</v>
      </c>
      <c r="G258">
        <v>3</v>
      </c>
      <c r="H258">
        <v>10</v>
      </c>
    </row>
    <row r="259" spans="1:8" hidden="1" x14ac:dyDescent="0.45">
      <c r="A259">
        <v>258</v>
      </c>
      <c r="B259" t="s">
        <v>39</v>
      </c>
      <c r="C259" t="s">
        <v>629</v>
      </c>
      <c r="D259" t="s">
        <v>371</v>
      </c>
      <c r="E259" t="s">
        <v>349</v>
      </c>
      <c r="F259">
        <v>9</v>
      </c>
      <c r="G259">
        <v>5</v>
      </c>
      <c r="H259">
        <v>0</v>
      </c>
    </row>
    <row r="260" spans="1:8" hidden="1" x14ac:dyDescent="0.45">
      <c r="A260">
        <v>259</v>
      </c>
      <c r="B260" t="s">
        <v>287</v>
      </c>
      <c r="C260" t="s">
        <v>630</v>
      </c>
      <c r="D260" t="s">
        <v>375</v>
      </c>
      <c r="E260" t="s">
        <v>349</v>
      </c>
      <c r="F260">
        <v>9</v>
      </c>
      <c r="G260">
        <v>6</v>
      </c>
      <c r="H260">
        <v>9</v>
      </c>
    </row>
    <row r="261" spans="1:8" hidden="1" x14ac:dyDescent="0.45">
      <c r="A261">
        <v>260</v>
      </c>
      <c r="B261" t="s">
        <v>288</v>
      </c>
      <c r="C261" t="s">
        <v>631</v>
      </c>
      <c r="D261" t="s">
        <v>369</v>
      </c>
      <c r="E261" t="s">
        <v>349</v>
      </c>
      <c r="F261">
        <v>9</v>
      </c>
      <c r="G261">
        <v>4</v>
      </c>
      <c r="H261">
        <v>0</v>
      </c>
    </row>
    <row r="262" spans="1:8" hidden="1" x14ac:dyDescent="0.45">
      <c r="A262">
        <v>261</v>
      </c>
      <c r="B262" t="s">
        <v>289</v>
      </c>
      <c r="C262" t="s">
        <v>632</v>
      </c>
      <c r="D262" t="s">
        <v>371</v>
      </c>
      <c r="E262" t="s">
        <v>349</v>
      </c>
      <c r="F262">
        <v>9</v>
      </c>
      <c r="G262">
        <v>3</v>
      </c>
      <c r="H262">
        <v>0</v>
      </c>
    </row>
    <row r="263" spans="1:8" hidden="1" x14ac:dyDescent="0.45">
      <c r="A263">
        <v>262</v>
      </c>
      <c r="B263" t="s">
        <v>53</v>
      </c>
      <c r="C263" t="s">
        <v>633</v>
      </c>
      <c r="D263" t="s">
        <v>384</v>
      </c>
      <c r="E263" t="s">
        <v>349</v>
      </c>
      <c r="F263">
        <v>9</v>
      </c>
      <c r="G263">
        <v>10</v>
      </c>
      <c r="H263">
        <v>75</v>
      </c>
    </row>
    <row r="264" spans="1:8" hidden="1" x14ac:dyDescent="0.45">
      <c r="A264">
        <v>263</v>
      </c>
      <c r="B264" t="s">
        <v>290</v>
      </c>
      <c r="C264" t="s">
        <v>634</v>
      </c>
      <c r="D264" t="s">
        <v>375</v>
      </c>
      <c r="E264" t="s">
        <v>349</v>
      </c>
      <c r="F264">
        <v>9</v>
      </c>
      <c r="G264">
        <v>10</v>
      </c>
      <c r="H264">
        <v>14</v>
      </c>
    </row>
    <row r="265" spans="1:8" hidden="1" x14ac:dyDescent="0.45">
      <c r="A265">
        <v>264</v>
      </c>
      <c r="B265" t="s">
        <v>291</v>
      </c>
      <c r="C265" t="s">
        <v>635</v>
      </c>
      <c r="D265" t="s">
        <v>369</v>
      </c>
      <c r="E265" t="s">
        <v>349</v>
      </c>
      <c r="F265">
        <v>9</v>
      </c>
      <c r="G265">
        <v>5</v>
      </c>
      <c r="H265">
        <v>0</v>
      </c>
    </row>
    <row r="266" spans="1:8" hidden="1" x14ac:dyDescent="0.45">
      <c r="A266">
        <v>265</v>
      </c>
      <c r="B266" t="s">
        <v>292</v>
      </c>
      <c r="C266" t="s">
        <v>636</v>
      </c>
      <c r="D266" t="s">
        <v>375</v>
      </c>
      <c r="E266" t="s">
        <v>349</v>
      </c>
      <c r="F266">
        <v>9</v>
      </c>
      <c r="G266">
        <v>6</v>
      </c>
      <c r="H266">
        <v>6</v>
      </c>
    </row>
    <row r="267" spans="1:8" hidden="1" x14ac:dyDescent="0.45">
      <c r="A267">
        <v>266</v>
      </c>
      <c r="B267" t="s">
        <v>293</v>
      </c>
      <c r="C267" t="s">
        <v>637</v>
      </c>
      <c r="D267" t="s">
        <v>371</v>
      </c>
      <c r="E267" t="s">
        <v>349</v>
      </c>
      <c r="F267">
        <v>9</v>
      </c>
      <c r="G267">
        <v>5</v>
      </c>
      <c r="H267">
        <v>0</v>
      </c>
    </row>
    <row r="268" spans="1:8" hidden="1" x14ac:dyDescent="0.45">
      <c r="A268">
        <v>267</v>
      </c>
      <c r="B268" t="s">
        <v>294</v>
      </c>
      <c r="C268" t="s">
        <v>638</v>
      </c>
      <c r="D268" t="s">
        <v>375</v>
      </c>
      <c r="E268" t="s">
        <v>349</v>
      </c>
      <c r="F268">
        <v>9</v>
      </c>
      <c r="G268">
        <v>7</v>
      </c>
      <c r="H268">
        <v>10</v>
      </c>
    </row>
    <row r="269" spans="1:8" hidden="1" x14ac:dyDescent="0.45">
      <c r="A269">
        <v>268</v>
      </c>
      <c r="B269" t="s">
        <v>295</v>
      </c>
      <c r="C269" t="s">
        <v>639</v>
      </c>
      <c r="D269" t="s">
        <v>384</v>
      </c>
      <c r="E269" t="s">
        <v>349</v>
      </c>
      <c r="F269">
        <v>9</v>
      </c>
      <c r="G269">
        <v>6</v>
      </c>
      <c r="H269">
        <v>6</v>
      </c>
    </row>
    <row r="270" spans="1:8" hidden="1" x14ac:dyDescent="0.45">
      <c r="A270">
        <v>269</v>
      </c>
      <c r="B270" t="s">
        <v>54</v>
      </c>
      <c r="C270" t="s">
        <v>640</v>
      </c>
      <c r="D270" t="s">
        <v>369</v>
      </c>
      <c r="E270" t="s">
        <v>349</v>
      </c>
      <c r="F270">
        <v>9</v>
      </c>
      <c r="G270">
        <v>11</v>
      </c>
      <c r="H270">
        <v>54</v>
      </c>
    </row>
    <row r="271" spans="1:8" hidden="1" x14ac:dyDescent="0.45">
      <c r="A271">
        <v>270</v>
      </c>
      <c r="B271" t="s">
        <v>296</v>
      </c>
      <c r="C271" t="s">
        <v>641</v>
      </c>
      <c r="D271" t="s">
        <v>384</v>
      </c>
      <c r="E271" t="s">
        <v>349</v>
      </c>
      <c r="F271">
        <v>9</v>
      </c>
      <c r="G271">
        <v>5</v>
      </c>
      <c r="H271">
        <v>0</v>
      </c>
    </row>
    <row r="272" spans="1:8" hidden="1" x14ac:dyDescent="0.45">
      <c r="A272">
        <v>271</v>
      </c>
      <c r="B272" t="s">
        <v>297</v>
      </c>
      <c r="C272" t="s">
        <v>642</v>
      </c>
      <c r="D272" t="s">
        <v>371</v>
      </c>
      <c r="E272" t="s">
        <v>349</v>
      </c>
      <c r="F272">
        <v>9</v>
      </c>
      <c r="G272">
        <v>6</v>
      </c>
      <c r="H272">
        <v>8</v>
      </c>
    </row>
    <row r="273" spans="1:8" hidden="1" x14ac:dyDescent="0.45">
      <c r="A273">
        <v>272</v>
      </c>
      <c r="B273" t="s">
        <v>298</v>
      </c>
      <c r="C273" t="s">
        <v>643</v>
      </c>
      <c r="D273" t="s">
        <v>384</v>
      </c>
      <c r="E273" t="s">
        <v>349</v>
      </c>
      <c r="F273">
        <v>9</v>
      </c>
      <c r="G273">
        <v>10</v>
      </c>
      <c r="H273">
        <v>44</v>
      </c>
    </row>
    <row r="274" spans="1:8" hidden="1" x14ac:dyDescent="0.45">
      <c r="A274">
        <v>273</v>
      </c>
      <c r="B274" t="s">
        <v>299</v>
      </c>
      <c r="C274" t="s">
        <v>644</v>
      </c>
      <c r="D274" t="s">
        <v>371</v>
      </c>
      <c r="E274" t="s">
        <v>349</v>
      </c>
      <c r="F274">
        <v>9</v>
      </c>
      <c r="G274">
        <v>5</v>
      </c>
      <c r="H274">
        <v>3</v>
      </c>
    </row>
    <row r="275" spans="1:8" hidden="1" x14ac:dyDescent="0.45">
      <c r="A275">
        <v>274</v>
      </c>
      <c r="B275" t="s">
        <v>300</v>
      </c>
      <c r="C275" t="s">
        <v>645</v>
      </c>
      <c r="D275" t="s">
        <v>384</v>
      </c>
      <c r="E275" t="s">
        <v>349</v>
      </c>
      <c r="F275">
        <v>9</v>
      </c>
      <c r="G275">
        <v>7</v>
      </c>
      <c r="H275">
        <v>4</v>
      </c>
    </row>
    <row r="276" spans="1:8" hidden="1" x14ac:dyDescent="0.45">
      <c r="A276">
        <v>275</v>
      </c>
      <c r="B276" t="s">
        <v>301</v>
      </c>
      <c r="C276" t="s">
        <v>646</v>
      </c>
      <c r="D276" t="s">
        <v>371</v>
      </c>
      <c r="E276" t="s">
        <v>349</v>
      </c>
      <c r="F276">
        <v>9</v>
      </c>
      <c r="G276">
        <v>4</v>
      </c>
      <c r="H276">
        <v>11</v>
      </c>
    </row>
    <row r="277" spans="1:8" hidden="1" x14ac:dyDescent="0.45">
      <c r="A277">
        <v>276</v>
      </c>
      <c r="B277" t="s">
        <v>302</v>
      </c>
      <c r="C277" t="s">
        <v>647</v>
      </c>
      <c r="D277" t="s">
        <v>371</v>
      </c>
      <c r="E277" t="s">
        <v>349</v>
      </c>
      <c r="F277">
        <v>9</v>
      </c>
      <c r="G277">
        <v>5</v>
      </c>
      <c r="H277">
        <v>0</v>
      </c>
    </row>
    <row r="278" spans="1:8" hidden="1" x14ac:dyDescent="0.45">
      <c r="A278">
        <v>277</v>
      </c>
      <c r="B278" t="s">
        <v>303</v>
      </c>
      <c r="C278" t="s">
        <v>648</v>
      </c>
      <c r="D278" t="s">
        <v>375</v>
      </c>
      <c r="E278" t="s">
        <v>349</v>
      </c>
      <c r="F278">
        <v>9</v>
      </c>
      <c r="G278">
        <v>4</v>
      </c>
      <c r="H278">
        <v>24</v>
      </c>
    </row>
    <row r="279" spans="1:8" hidden="1" x14ac:dyDescent="0.45">
      <c r="A279">
        <v>278</v>
      </c>
      <c r="B279" t="s">
        <v>304</v>
      </c>
      <c r="C279" t="s">
        <v>649</v>
      </c>
      <c r="E279" t="s">
        <v>349</v>
      </c>
      <c r="F279">
        <v>9</v>
      </c>
      <c r="G279">
        <v>0</v>
      </c>
      <c r="H279">
        <v>0</v>
      </c>
    </row>
    <row r="280" spans="1:8" hidden="1" x14ac:dyDescent="0.45">
      <c r="A280">
        <v>279</v>
      </c>
      <c r="B280" t="s">
        <v>305</v>
      </c>
      <c r="C280" t="s">
        <v>650</v>
      </c>
      <c r="D280" t="s">
        <v>375</v>
      </c>
      <c r="E280" t="s">
        <v>349</v>
      </c>
      <c r="F280">
        <v>9</v>
      </c>
      <c r="G280">
        <v>5</v>
      </c>
      <c r="H280">
        <v>8</v>
      </c>
    </row>
    <row r="281" spans="1:8" hidden="1" x14ac:dyDescent="0.45">
      <c r="A281">
        <v>280</v>
      </c>
      <c r="B281" t="s">
        <v>306</v>
      </c>
      <c r="C281" t="s">
        <v>651</v>
      </c>
      <c r="E281" t="s">
        <v>349</v>
      </c>
      <c r="F281">
        <v>9</v>
      </c>
      <c r="G281">
        <v>0</v>
      </c>
      <c r="H281">
        <v>0</v>
      </c>
    </row>
    <row r="282" spans="1:8" hidden="1" x14ac:dyDescent="0.45">
      <c r="A282">
        <v>281</v>
      </c>
      <c r="B282" t="s">
        <v>307</v>
      </c>
      <c r="C282" t="s">
        <v>652</v>
      </c>
      <c r="D282" t="s">
        <v>369</v>
      </c>
      <c r="E282" t="s">
        <v>349</v>
      </c>
      <c r="F282">
        <v>9</v>
      </c>
      <c r="G282">
        <v>2</v>
      </c>
      <c r="H282">
        <v>1</v>
      </c>
    </row>
    <row r="283" spans="1:8" hidden="1" x14ac:dyDescent="0.45">
      <c r="A283">
        <v>282</v>
      </c>
      <c r="B283" t="s">
        <v>308</v>
      </c>
      <c r="C283" t="s">
        <v>653</v>
      </c>
      <c r="D283" t="s">
        <v>371</v>
      </c>
      <c r="E283" t="s">
        <v>349</v>
      </c>
      <c r="F283">
        <v>9</v>
      </c>
      <c r="G283">
        <v>3</v>
      </c>
      <c r="H283">
        <v>1</v>
      </c>
    </row>
    <row r="284" spans="1:8" hidden="1" x14ac:dyDescent="0.45">
      <c r="A284">
        <v>283</v>
      </c>
      <c r="B284" t="s">
        <v>309</v>
      </c>
      <c r="C284" t="s">
        <v>654</v>
      </c>
      <c r="D284" t="s">
        <v>375</v>
      </c>
      <c r="E284" t="s">
        <v>349</v>
      </c>
      <c r="F284">
        <v>9</v>
      </c>
      <c r="G284">
        <v>3</v>
      </c>
      <c r="H284">
        <v>3</v>
      </c>
    </row>
    <row r="285" spans="1:8" hidden="1" x14ac:dyDescent="0.45">
      <c r="A285">
        <v>284</v>
      </c>
      <c r="B285" t="s">
        <v>55</v>
      </c>
      <c r="C285" t="s">
        <v>655</v>
      </c>
      <c r="D285" t="s">
        <v>375</v>
      </c>
      <c r="E285" t="s">
        <v>349</v>
      </c>
      <c r="F285">
        <v>9</v>
      </c>
      <c r="G285">
        <v>8</v>
      </c>
      <c r="H285">
        <v>38</v>
      </c>
    </row>
    <row r="286" spans="1:8" x14ac:dyDescent="0.45">
      <c r="A286">
        <v>285</v>
      </c>
      <c r="B286" t="s">
        <v>40</v>
      </c>
      <c r="C286" t="s">
        <v>656</v>
      </c>
      <c r="D286" t="s">
        <v>369</v>
      </c>
      <c r="E286" t="s">
        <v>349</v>
      </c>
      <c r="F286">
        <v>9</v>
      </c>
      <c r="G286">
        <v>1</v>
      </c>
      <c r="H286">
        <v>0</v>
      </c>
    </row>
    <row r="287" spans="1:8" hidden="1" x14ac:dyDescent="0.45">
      <c r="A287">
        <v>286</v>
      </c>
      <c r="B287" t="s">
        <v>310</v>
      </c>
      <c r="C287" t="s">
        <v>657</v>
      </c>
      <c r="D287" t="s">
        <v>371</v>
      </c>
      <c r="E287" t="s">
        <v>349</v>
      </c>
      <c r="F287">
        <v>9</v>
      </c>
      <c r="G287">
        <v>9</v>
      </c>
      <c r="H287">
        <v>37</v>
      </c>
    </row>
    <row r="288" spans="1:8" hidden="1" x14ac:dyDescent="0.45">
      <c r="A288">
        <v>287</v>
      </c>
      <c r="B288" t="s">
        <v>311</v>
      </c>
      <c r="C288" t="s">
        <v>353</v>
      </c>
      <c r="D288" t="s">
        <v>369</v>
      </c>
      <c r="E288" t="s">
        <v>349</v>
      </c>
      <c r="F288">
        <v>9</v>
      </c>
      <c r="G288">
        <v>8</v>
      </c>
      <c r="H288">
        <v>42.5</v>
      </c>
    </row>
    <row r="289" spans="1:8" hidden="1" x14ac:dyDescent="0.45">
      <c r="A289">
        <v>288</v>
      </c>
      <c r="B289" t="s">
        <v>312</v>
      </c>
      <c r="C289" t="s">
        <v>658</v>
      </c>
      <c r="D289" t="s">
        <v>384</v>
      </c>
      <c r="E289" t="s">
        <v>349</v>
      </c>
      <c r="F289">
        <v>9</v>
      </c>
      <c r="G289">
        <v>9</v>
      </c>
      <c r="H289">
        <v>32</v>
      </c>
    </row>
    <row r="290" spans="1:8" hidden="1" x14ac:dyDescent="0.45">
      <c r="A290">
        <v>289</v>
      </c>
      <c r="B290" t="s">
        <v>313</v>
      </c>
      <c r="C290" t="s">
        <v>659</v>
      </c>
      <c r="D290" t="s">
        <v>371</v>
      </c>
      <c r="E290" t="s">
        <v>349</v>
      </c>
      <c r="F290">
        <v>10</v>
      </c>
      <c r="G290">
        <v>0</v>
      </c>
      <c r="H290">
        <v>0</v>
      </c>
    </row>
    <row r="291" spans="1:8" hidden="1" x14ac:dyDescent="0.45">
      <c r="A291">
        <v>290</v>
      </c>
      <c r="B291" t="s">
        <v>314</v>
      </c>
      <c r="C291" t="s">
        <v>660</v>
      </c>
      <c r="D291" t="s">
        <v>369</v>
      </c>
      <c r="E291" t="s">
        <v>349</v>
      </c>
      <c r="F291">
        <v>10</v>
      </c>
      <c r="G291">
        <v>2</v>
      </c>
      <c r="H291">
        <v>0</v>
      </c>
    </row>
    <row r="292" spans="1:8" hidden="1" x14ac:dyDescent="0.45">
      <c r="A292">
        <v>291</v>
      </c>
      <c r="B292" t="s">
        <v>315</v>
      </c>
      <c r="C292" t="s">
        <v>661</v>
      </c>
      <c r="D292" t="s">
        <v>375</v>
      </c>
      <c r="E292" t="s">
        <v>349</v>
      </c>
      <c r="F292">
        <v>10</v>
      </c>
      <c r="G292">
        <v>0</v>
      </c>
      <c r="H292">
        <v>0</v>
      </c>
    </row>
    <row r="293" spans="1:8" hidden="1" x14ac:dyDescent="0.45">
      <c r="A293">
        <v>292</v>
      </c>
      <c r="B293" t="s">
        <v>316</v>
      </c>
      <c r="C293" t="s">
        <v>662</v>
      </c>
      <c r="D293" t="s">
        <v>371</v>
      </c>
      <c r="E293" t="s">
        <v>349</v>
      </c>
      <c r="F293">
        <v>10</v>
      </c>
      <c r="G293">
        <v>7</v>
      </c>
      <c r="H293">
        <v>18</v>
      </c>
    </row>
    <row r="294" spans="1:8" hidden="1" x14ac:dyDescent="0.45">
      <c r="A294">
        <v>293</v>
      </c>
      <c r="B294" t="s">
        <v>41</v>
      </c>
      <c r="C294" t="s">
        <v>663</v>
      </c>
      <c r="D294" t="s">
        <v>369</v>
      </c>
      <c r="E294" t="s">
        <v>349</v>
      </c>
      <c r="F294">
        <v>10</v>
      </c>
      <c r="G294">
        <v>4</v>
      </c>
      <c r="H294">
        <v>2</v>
      </c>
    </row>
    <row r="295" spans="1:8" hidden="1" x14ac:dyDescent="0.45">
      <c r="A295">
        <v>294</v>
      </c>
      <c r="B295" t="s">
        <v>42</v>
      </c>
      <c r="C295" t="s">
        <v>664</v>
      </c>
      <c r="D295" t="s">
        <v>384</v>
      </c>
      <c r="E295" t="s">
        <v>349</v>
      </c>
      <c r="F295">
        <v>10</v>
      </c>
      <c r="G295">
        <v>3</v>
      </c>
      <c r="H295">
        <v>2</v>
      </c>
    </row>
    <row r="296" spans="1:8" hidden="1" x14ac:dyDescent="0.45">
      <c r="A296">
        <v>295</v>
      </c>
      <c r="B296" t="s">
        <v>317</v>
      </c>
      <c r="C296" t="s">
        <v>665</v>
      </c>
      <c r="D296" t="s">
        <v>375</v>
      </c>
      <c r="E296" t="s">
        <v>349</v>
      </c>
      <c r="F296">
        <v>10</v>
      </c>
      <c r="G296">
        <v>5</v>
      </c>
      <c r="H296">
        <v>5</v>
      </c>
    </row>
    <row r="297" spans="1:8" hidden="1" x14ac:dyDescent="0.45">
      <c r="A297">
        <v>296</v>
      </c>
      <c r="B297" t="s">
        <v>43</v>
      </c>
      <c r="C297" t="s">
        <v>666</v>
      </c>
      <c r="D297" t="s">
        <v>375</v>
      </c>
      <c r="E297" t="s">
        <v>349</v>
      </c>
      <c r="F297">
        <v>10</v>
      </c>
      <c r="G297">
        <v>2</v>
      </c>
      <c r="H297">
        <v>0</v>
      </c>
    </row>
    <row r="298" spans="1:8" hidden="1" x14ac:dyDescent="0.45">
      <c r="A298">
        <v>297</v>
      </c>
      <c r="B298" t="s">
        <v>318</v>
      </c>
      <c r="C298" t="s">
        <v>667</v>
      </c>
      <c r="D298" t="s">
        <v>369</v>
      </c>
      <c r="E298" t="s">
        <v>349</v>
      </c>
      <c r="F298">
        <v>10</v>
      </c>
      <c r="G298">
        <v>4</v>
      </c>
      <c r="H298">
        <v>18</v>
      </c>
    </row>
    <row r="299" spans="1:8" hidden="1" x14ac:dyDescent="0.45">
      <c r="A299">
        <v>298</v>
      </c>
      <c r="B299" t="s">
        <v>319</v>
      </c>
      <c r="C299" t="s">
        <v>668</v>
      </c>
      <c r="D299" t="s">
        <v>371</v>
      </c>
      <c r="E299" t="s">
        <v>349</v>
      </c>
      <c r="F299">
        <v>10</v>
      </c>
      <c r="G299">
        <v>2</v>
      </c>
      <c r="H299">
        <v>0</v>
      </c>
    </row>
    <row r="300" spans="1:8" hidden="1" x14ac:dyDescent="0.45">
      <c r="A300">
        <v>299</v>
      </c>
      <c r="B300" t="s">
        <v>320</v>
      </c>
      <c r="C300" t="s">
        <v>669</v>
      </c>
      <c r="D300" t="s">
        <v>369</v>
      </c>
      <c r="E300" t="s">
        <v>349</v>
      </c>
      <c r="F300">
        <v>10</v>
      </c>
      <c r="G300">
        <v>11</v>
      </c>
      <c r="H300">
        <v>51</v>
      </c>
    </row>
    <row r="301" spans="1:8" hidden="1" x14ac:dyDescent="0.45">
      <c r="A301">
        <v>300</v>
      </c>
      <c r="B301" t="s">
        <v>321</v>
      </c>
      <c r="C301" t="s">
        <v>670</v>
      </c>
      <c r="D301" t="s">
        <v>375</v>
      </c>
      <c r="E301" t="s">
        <v>349</v>
      </c>
      <c r="F301">
        <v>10</v>
      </c>
      <c r="G301">
        <v>6</v>
      </c>
      <c r="H301">
        <v>31</v>
      </c>
    </row>
    <row r="302" spans="1:8" hidden="1" x14ac:dyDescent="0.45">
      <c r="A302">
        <v>301</v>
      </c>
      <c r="B302" t="s">
        <v>322</v>
      </c>
      <c r="C302" t="s">
        <v>671</v>
      </c>
      <c r="D302" t="s">
        <v>384</v>
      </c>
      <c r="E302" t="s">
        <v>349</v>
      </c>
      <c r="F302">
        <v>10</v>
      </c>
      <c r="G302">
        <v>3</v>
      </c>
      <c r="H302">
        <v>0</v>
      </c>
    </row>
    <row r="303" spans="1:8" hidden="1" x14ac:dyDescent="0.45">
      <c r="A303">
        <v>302</v>
      </c>
      <c r="B303" t="s">
        <v>323</v>
      </c>
      <c r="C303" t="s">
        <v>672</v>
      </c>
      <c r="D303" t="s">
        <v>369</v>
      </c>
      <c r="E303" t="s">
        <v>349</v>
      </c>
      <c r="F303">
        <v>10</v>
      </c>
      <c r="G303">
        <v>3</v>
      </c>
      <c r="H303">
        <v>0</v>
      </c>
    </row>
    <row r="304" spans="1:8" hidden="1" x14ac:dyDescent="0.45">
      <c r="A304">
        <v>303</v>
      </c>
      <c r="B304" t="s">
        <v>324</v>
      </c>
      <c r="C304" t="s">
        <v>673</v>
      </c>
      <c r="D304" t="s">
        <v>384</v>
      </c>
      <c r="E304" t="s">
        <v>349</v>
      </c>
      <c r="F304">
        <v>10</v>
      </c>
      <c r="G304">
        <v>4</v>
      </c>
      <c r="H304">
        <v>1</v>
      </c>
    </row>
    <row r="305" spans="1:8" hidden="1" x14ac:dyDescent="0.45">
      <c r="A305">
        <v>304</v>
      </c>
      <c r="B305" t="s">
        <v>325</v>
      </c>
      <c r="C305" t="s">
        <v>674</v>
      </c>
      <c r="D305" t="s">
        <v>371</v>
      </c>
      <c r="E305" t="s">
        <v>349</v>
      </c>
      <c r="F305">
        <v>10</v>
      </c>
      <c r="G305">
        <v>2</v>
      </c>
      <c r="H305">
        <v>0</v>
      </c>
    </row>
    <row r="306" spans="1:8" hidden="1" x14ac:dyDescent="0.45">
      <c r="A306">
        <v>305</v>
      </c>
      <c r="B306" t="s">
        <v>326</v>
      </c>
      <c r="C306" t="s">
        <v>675</v>
      </c>
      <c r="D306" t="s">
        <v>384</v>
      </c>
      <c r="E306" t="s">
        <v>349</v>
      </c>
      <c r="F306">
        <v>10</v>
      </c>
      <c r="G306">
        <v>4</v>
      </c>
      <c r="H306">
        <v>16</v>
      </c>
    </row>
    <row r="307" spans="1:8" hidden="1" x14ac:dyDescent="0.45">
      <c r="A307">
        <v>306</v>
      </c>
      <c r="B307" t="s">
        <v>44</v>
      </c>
      <c r="C307" t="s">
        <v>676</v>
      </c>
      <c r="D307" t="s">
        <v>369</v>
      </c>
      <c r="E307" t="s">
        <v>349</v>
      </c>
      <c r="F307">
        <v>10</v>
      </c>
      <c r="G307">
        <v>4</v>
      </c>
      <c r="H307">
        <v>0</v>
      </c>
    </row>
    <row r="308" spans="1:8" hidden="1" x14ac:dyDescent="0.45">
      <c r="A308">
        <v>307</v>
      </c>
      <c r="B308" t="s">
        <v>327</v>
      </c>
      <c r="C308" t="s">
        <v>677</v>
      </c>
      <c r="E308" t="s">
        <v>349</v>
      </c>
      <c r="F308">
        <v>10</v>
      </c>
      <c r="G308">
        <v>0</v>
      </c>
      <c r="H308">
        <v>0</v>
      </c>
    </row>
    <row r="309" spans="1:8" hidden="1" x14ac:dyDescent="0.45">
      <c r="A309">
        <v>308</v>
      </c>
      <c r="B309" t="s">
        <v>328</v>
      </c>
      <c r="C309" t="s">
        <v>678</v>
      </c>
      <c r="D309" t="s">
        <v>369</v>
      </c>
      <c r="E309" t="s">
        <v>349</v>
      </c>
      <c r="F309">
        <v>10</v>
      </c>
      <c r="G309">
        <v>5</v>
      </c>
      <c r="H309">
        <v>8</v>
      </c>
    </row>
    <row r="310" spans="1:8" hidden="1" x14ac:dyDescent="0.45">
      <c r="A310">
        <v>309</v>
      </c>
      <c r="B310" t="s">
        <v>329</v>
      </c>
      <c r="C310" t="s">
        <v>679</v>
      </c>
      <c r="D310" t="s">
        <v>384</v>
      </c>
      <c r="E310" t="s">
        <v>349</v>
      </c>
      <c r="F310">
        <v>10</v>
      </c>
      <c r="G310">
        <v>6</v>
      </c>
      <c r="H310">
        <v>0</v>
      </c>
    </row>
    <row r="311" spans="1:8" hidden="1" x14ac:dyDescent="0.45">
      <c r="A311">
        <v>310</v>
      </c>
      <c r="B311" t="s">
        <v>330</v>
      </c>
      <c r="C311" t="s">
        <v>680</v>
      </c>
      <c r="D311" t="s">
        <v>369</v>
      </c>
      <c r="E311" t="s">
        <v>349</v>
      </c>
      <c r="F311">
        <v>10</v>
      </c>
      <c r="G311">
        <v>2</v>
      </c>
      <c r="H311">
        <v>0</v>
      </c>
    </row>
    <row r="312" spans="1:8" hidden="1" x14ac:dyDescent="0.45">
      <c r="A312">
        <v>311</v>
      </c>
      <c r="B312" t="s">
        <v>331</v>
      </c>
      <c r="C312" t="s">
        <v>681</v>
      </c>
      <c r="D312" t="s">
        <v>375</v>
      </c>
      <c r="E312" t="s">
        <v>349</v>
      </c>
      <c r="F312">
        <v>10</v>
      </c>
      <c r="G312">
        <v>5</v>
      </c>
      <c r="H312">
        <v>4</v>
      </c>
    </row>
    <row r="313" spans="1:8" x14ac:dyDescent="0.45">
      <c r="A313">
        <v>312</v>
      </c>
      <c r="B313" t="s">
        <v>332</v>
      </c>
      <c r="C313" t="s">
        <v>682</v>
      </c>
      <c r="D313" t="s">
        <v>375</v>
      </c>
      <c r="E313" t="s">
        <v>349</v>
      </c>
      <c r="F313">
        <v>10</v>
      </c>
      <c r="G313">
        <v>1</v>
      </c>
      <c r="H313">
        <v>0</v>
      </c>
    </row>
    <row r="314" spans="1:8" hidden="1" x14ac:dyDescent="0.45">
      <c r="A314">
        <v>313</v>
      </c>
      <c r="B314" t="s">
        <v>333</v>
      </c>
      <c r="C314" t="s">
        <v>683</v>
      </c>
      <c r="D314" t="s">
        <v>371</v>
      </c>
      <c r="E314" t="s">
        <v>349</v>
      </c>
      <c r="F314">
        <v>10</v>
      </c>
      <c r="G314">
        <v>2</v>
      </c>
      <c r="H314">
        <v>6</v>
      </c>
    </row>
    <row r="315" spans="1:8" hidden="1" x14ac:dyDescent="0.45">
      <c r="A315">
        <v>314</v>
      </c>
      <c r="B315" t="s">
        <v>334</v>
      </c>
      <c r="C315" t="s">
        <v>684</v>
      </c>
      <c r="D315" t="s">
        <v>384</v>
      </c>
      <c r="E315" t="s">
        <v>349</v>
      </c>
      <c r="F315">
        <v>10</v>
      </c>
      <c r="G315">
        <v>3</v>
      </c>
      <c r="H315">
        <v>3</v>
      </c>
    </row>
    <row r="316" spans="1:8" hidden="1" x14ac:dyDescent="0.45">
      <c r="A316">
        <v>315</v>
      </c>
      <c r="B316" t="s">
        <v>335</v>
      </c>
      <c r="C316" t="s">
        <v>685</v>
      </c>
      <c r="D316" t="s">
        <v>371</v>
      </c>
      <c r="E316" t="s">
        <v>349</v>
      </c>
      <c r="F316">
        <v>10</v>
      </c>
      <c r="G316">
        <v>4</v>
      </c>
      <c r="H316">
        <v>0</v>
      </c>
    </row>
    <row r="317" spans="1:8" hidden="1" x14ac:dyDescent="0.45">
      <c r="A317">
        <v>316</v>
      </c>
      <c r="B317" t="s">
        <v>336</v>
      </c>
      <c r="C317" t="s">
        <v>686</v>
      </c>
      <c r="D317" t="s">
        <v>371</v>
      </c>
      <c r="E317" t="s">
        <v>349</v>
      </c>
      <c r="F317">
        <v>10</v>
      </c>
      <c r="G317">
        <v>11</v>
      </c>
      <c r="H317">
        <v>58</v>
      </c>
    </row>
    <row r="318" spans="1:8" hidden="1" x14ac:dyDescent="0.45">
      <c r="A318">
        <v>317</v>
      </c>
      <c r="B318" t="s">
        <v>337</v>
      </c>
      <c r="C318" t="s">
        <v>687</v>
      </c>
      <c r="D318" t="s">
        <v>375</v>
      </c>
      <c r="E318" t="s">
        <v>349</v>
      </c>
      <c r="F318">
        <v>10</v>
      </c>
      <c r="G318">
        <v>11</v>
      </c>
      <c r="H318">
        <v>36</v>
      </c>
    </row>
    <row r="319" spans="1:8" hidden="1" x14ac:dyDescent="0.45">
      <c r="A319">
        <v>318</v>
      </c>
      <c r="B319" t="s">
        <v>338</v>
      </c>
      <c r="C319" t="s">
        <v>688</v>
      </c>
      <c r="D319" t="s">
        <v>384</v>
      </c>
      <c r="E319" t="s">
        <v>349</v>
      </c>
      <c r="F319">
        <v>10</v>
      </c>
      <c r="G319">
        <v>10</v>
      </c>
      <c r="H319">
        <v>18</v>
      </c>
    </row>
    <row r="320" spans="1:8" hidden="1" x14ac:dyDescent="0.45">
      <c r="A320">
        <v>319</v>
      </c>
      <c r="B320" t="s">
        <v>339</v>
      </c>
      <c r="C320" t="s">
        <v>689</v>
      </c>
      <c r="D320" t="s">
        <v>384</v>
      </c>
      <c r="E320" t="s">
        <v>349</v>
      </c>
      <c r="F320">
        <v>10</v>
      </c>
      <c r="G320">
        <v>0</v>
      </c>
      <c r="H320">
        <v>0</v>
      </c>
    </row>
    <row r="321" spans="1:8" hidden="1" x14ac:dyDescent="0.45">
      <c r="A321">
        <v>320</v>
      </c>
      <c r="B321" t="s">
        <v>340</v>
      </c>
      <c r="C321" t="s">
        <v>690</v>
      </c>
      <c r="D321" t="s">
        <v>369</v>
      </c>
      <c r="E321" t="s">
        <v>349</v>
      </c>
      <c r="F321">
        <v>10</v>
      </c>
      <c r="G321">
        <v>8</v>
      </c>
      <c r="H321">
        <v>7</v>
      </c>
    </row>
    <row r="322" spans="1:8" hidden="1" x14ac:dyDescent="0.45">
      <c r="A322">
        <v>321</v>
      </c>
      <c r="B322" t="s">
        <v>341</v>
      </c>
      <c r="C322" t="s">
        <v>691</v>
      </c>
      <c r="D322" t="s">
        <v>375</v>
      </c>
      <c r="E322" t="s">
        <v>349</v>
      </c>
      <c r="F322">
        <v>10</v>
      </c>
      <c r="G322">
        <v>0</v>
      </c>
      <c r="H322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6D2D7-D072-4B30-8998-6BAE9E26723B}">
  <dimension ref="A1:G501"/>
  <sheetViews>
    <sheetView workbookViewId="0">
      <selection sqref="A1:XFD1048576"/>
    </sheetView>
  </sheetViews>
  <sheetFormatPr defaultRowHeight="14.25" x14ac:dyDescent="0.45"/>
  <cols>
    <col min="2" max="2" width="12.53125" customWidth="1"/>
    <col min="3" max="3" width="43.73046875" bestFit="1" customWidth="1"/>
    <col min="4" max="4" width="14.06640625" customWidth="1"/>
    <col min="5" max="5" width="15.53125" bestFit="1" customWidth="1"/>
  </cols>
  <sheetData>
    <row r="1" spans="1:7" ht="54.4" thickBot="1" x14ac:dyDescent="0.6">
      <c r="A1" s="26" t="s">
        <v>364</v>
      </c>
      <c r="B1" s="27" t="s">
        <v>365</v>
      </c>
      <c r="C1" s="50" t="s">
        <v>3</v>
      </c>
      <c r="D1" s="51" t="s">
        <v>366</v>
      </c>
      <c r="E1" s="51" t="s">
        <v>5</v>
      </c>
      <c r="F1" s="52" t="s">
        <v>367</v>
      </c>
      <c r="G1" s="52" t="s">
        <v>692</v>
      </c>
    </row>
    <row r="2" spans="1:7" ht="18" x14ac:dyDescent="0.55000000000000004">
      <c r="A2" s="28" cm="1">
        <f t="array" ref="A2:A501">_xlfn.SEQUENCE(500)</f>
        <v>1</v>
      </c>
      <c r="B2" s="31" t="s">
        <v>56</v>
      </c>
      <c r="C2" s="42" t="s">
        <v>368</v>
      </c>
      <c r="D2" s="32" t="s">
        <v>369</v>
      </c>
      <c r="E2" s="32" t="s">
        <v>351</v>
      </c>
      <c r="F2" s="33">
        <v>1</v>
      </c>
      <c r="G2" s="33">
        <v>4</v>
      </c>
    </row>
    <row r="3" spans="1:7" ht="18.399999999999999" thickBot="1" x14ac:dyDescent="0.6">
      <c r="A3" s="29">
        <v>2</v>
      </c>
      <c r="B3" s="34" t="s">
        <v>57</v>
      </c>
      <c r="C3" s="43" t="s">
        <v>370</v>
      </c>
      <c r="D3" s="35" t="s">
        <v>371</v>
      </c>
      <c r="E3" s="35" t="s">
        <v>351</v>
      </c>
      <c r="F3" s="36">
        <v>1</v>
      </c>
      <c r="G3" s="36">
        <v>4</v>
      </c>
    </row>
    <row r="4" spans="1:7" ht="18" x14ac:dyDescent="0.55000000000000004">
      <c r="A4" s="29">
        <v>3</v>
      </c>
      <c r="B4" s="31" t="s">
        <v>58</v>
      </c>
      <c r="C4" s="44" t="s">
        <v>372</v>
      </c>
      <c r="D4" s="37" t="s">
        <v>371</v>
      </c>
      <c r="E4" s="32" t="s">
        <v>351</v>
      </c>
      <c r="F4" s="33">
        <v>1</v>
      </c>
      <c r="G4" s="33">
        <v>4</v>
      </c>
    </row>
    <row r="5" spans="1:7" ht="18.399999999999999" thickBot="1" x14ac:dyDescent="0.6">
      <c r="A5" s="29">
        <v>4</v>
      </c>
      <c r="B5" s="34" t="s">
        <v>59</v>
      </c>
      <c r="C5" s="43" t="s">
        <v>373</v>
      </c>
      <c r="D5" s="35" t="s">
        <v>371</v>
      </c>
      <c r="E5" s="35" t="s">
        <v>351</v>
      </c>
      <c r="F5" s="36">
        <v>1</v>
      </c>
      <c r="G5" s="36">
        <v>8</v>
      </c>
    </row>
    <row r="6" spans="1:7" ht="18" x14ac:dyDescent="0.55000000000000004">
      <c r="A6" s="29">
        <v>5</v>
      </c>
      <c r="B6" s="31" t="s">
        <v>60</v>
      </c>
      <c r="C6" s="44" t="s">
        <v>374</v>
      </c>
      <c r="D6" s="32" t="s">
        <v>375</v>
      </c>
      <c r="E6" s="32" t="s">
        <v>351</v>
      </c>
      <c r="F6" s="33">
        <v>1</v>
      </c>
      <c r="G6" s="33">
        <v>8</v>
      </c>
    </row>
    <row r="7" spans="1:7" ht="18.399999999999999" thickBot="1" x14ac:dyDescent="0.6">
      <c r="A7" s="29">
        <v>6</v>
      </c>
      <c r="B7" s="34" t="s">
        <v>61</v>
      </c>
      <c r="C7" s="43" t="s">
        <v>376</v>
      </c>
      <c r="D7" s="35" t="s">
        <v>369</v>
      </c>
      <c r="E7" s="35" t="s">
        <v>351</v>
      </c>
      <c r="F7" s="36">
        <v>1</v>
      </c>
      <c r="G7" s="36">
        <v>6</v>
      </c>
    </row>
    <row r="8" spans="1:7" ht="18" x14ac:dyDescent="0.55000000000000004">
      <c r="A8" s="29">
        <v>7</v>
      </c>
      <c r="B8" s="31" t="s">
        <v>62</v>
      </c>
      <c r="C8" s="44" t="s">
        <v>377</v>
      </c>
      <c r="D8" s="37" t="s">
        <v>375</v>
      </c>
      <c r="E8" s="32" t="s">
        <v>351</v>
      </c>
      <c r="F8" s="33">
        <v>1</v>
      </c>
      <c r="G8" s="33">
        <v>4</v>
      </c>
    </row>
    <row r="9" spans="1:7" ht="18.399999999999999" thickBot="1" x14ac:dyDescent="0.6">
      <c r="A9" s="29">
        <v>8</v>
      </c>
      <c r="B9" s="34" t="s">
        <v>63</v>
      </c>
      <c r="C9" s="43" t="s">
        <v>378</v>
      </c>
      <c r="D9" s="35" t="s">
        <v>369</v>
      </c>
      <c r="E9" s="35" t="s">
        <v>351</v>
      </c>
      <c r="F9" s="36">
        <v>1</v>
      </c>
      <c r="G9" s="36">
        <v>6</v>
      </c>
    </row>
    <row r="10" spans="1:7" ht="18" x14ac:dyDescent="0.55000000000000004">
      <c r="A10" s="29">
        <v>9</v>
      </c>
      <c r="B10" s="31" t="s">
        <v>13</v>
      </c>
      <c r="C10" s="44" t="s">
        <v>379</v>
      </c>
      <c r="D10" s="32" t="s">
        <v>375</v>
      </c>
      <c r="E10" s="32" t="s">
        <v>351</v>
      </c>
      <c r="F10" s="33">
        <v>1</v>
      </c>
      <c r="G10" s="33">
        <v>4</v>
      </c>
    </row>
    <row r="11" spans="1:7" ht="18.399999999999999" thickBot="1" x14ac:dyDescent="0.6">
      <c r="A11" s="29">
        <v>10</v>
      </c>
      <c r="B11" s="34" t="s">
        <v>64</v>
      </c>
      <c r="C11" s="43" t="s">
        <v>380</v>
      </c>
      <c r="D11" s="35" t="s">
        <v>375</v>
      </c>
      <c r="E11" s="35" t="s">
        <v>351</v>
      </c>
      <c r="F11" s="36">
        <v>1</v>
      </c>
      <c r="G11" s="36">
        <v>7</v>
      </c>
    </row>
    <row r="12" spans="1:7" ht="18" x14ac:dyDescent="0.55000000000000004">
      <c r="A12" s="29">
        <v>11</v>
      </c>
      <c r="B12" s="31" t="s">
        <v>65</v>
      </c>
      <c r="C12" s="44" t="s">
        <v>381</v>
      </c>
      <c r="D12" s="37" t="s">
        <v>369</v>
      </c>
      <c r="E12" s="32" t="s">
        <v>351</v>
      </c>
      <c r="F12" s="33">
        <v>1</v>
      </c>
      <c r="G12" s="33">
        <v>8</v>
      </c>
    </row>
    <row r="13" spans="1:7" ht="18.399999999999999" thickBot="1" x14ac:dyDescent="0.6">
      <c r="A13" s="29">
        <v>12</v>
      </c>
      <c r="B13" s="34" t="s">
        <v>14</v>
      </c>
      <c r="C13" s="43" t="s">
        <v>382</v>
      </c>
      <c r="D13" s="35" t="s">
        <v>369</v>
      </c>
      <c r="E13" s="35" t="s">
        <v>351</v>
      </c>
      <c r="F13" s="36">
        <v>1</v>
      </c>
      <c r="G13" s="36">
        <v>8</v>
      </c>
    </row>
    <row r="14" spans="1:7" ht="18" x14ac:dyDescent="0.55000000000000004">
      <c r="A14" s="29">
        <v>13</v>
      </c>
      <c r="B14" s="31" t="s">
        <v>66</v>
      </c>
      <c r="C14" s="44" t="s">
        <v>383</v>
      </c>
      <c r="D14" s="32" t="s">
        <v>384</v>
      </c>
      <c r="E14" s="37" t="s">
        <v>351</v>
      </c>
      <c r="F14" s="38">
        <v>1</v>
      </c>
      <c r="G14" s="38">
        <v>5</v>
      </c>
    </row>
    <row r="15" spans="1:7" ht="18.399999999999999" thickBot="1" x14ac:dyDescent="0.6">
      <c r="A15" s="29">
        <v>14</v>
      </c>
      <c r="B15" s="34" t="s">
        <v>67</v>
      </c>
      <c r="C15" s="43" t="s">
        <v>385</v>
      </c>
      <c r="D15" s="35" t="s">
        <v>384</v>
      </c>
      <c r="E15" s="35" t="s">
        <v>351</v>
      </c>
      <c r="F15" s="36">
        <v>1</v>
      </c>
      <c r="G15" s="36">
        <v>7</v>
      </c>
    </row>
    <row r="16" spans="1:7" ht="18" x14ac:dyDescent="0.55000000000000004">
      <c r="A16" s="29">
        <v>15</v>
      </c>
      <c r="B16" s="31" t="s">
        <v>68</v>
      </c>
      <c r="C16" s="44" t="s">
        <v>386</v>
      </c>
      <c r="D16" s="32" t="s">
        <v>375</v>
      </c>
      <c r="E16" s="37" t="s">
        <v>351</v>
      </c>
      <c r="F16" s="38">
        <v>1</v>
      </c>
      <c r="G16" s="38">
        <v>5</v>
      </c>
    </row>
    <row r="17" spans="1:7" ht="18.399999999999999" thickBot="1" x14ac:dyDescent="0.6">
      <c r="A17" s="29">
        <v>16</v>
      </c>
      <c r="B17" s="34" t="s">
        <v>69</v>
      </c>
      <c r="C17" s="43" t="s">
        <v>387</v>
      </c>
      <c r="D17" s="35" t="s">
        <v>384</v>
      </c>
      <c r="E17" s="35" t="s">
        <v>351</v>
      </c>
      <c r="F17" s="36">
        <v>1</v>
      </c>
      <c r="G17" s="36">
        <v>8</v>
      </c>
    </row>
    <row r="18" spans="1:7" ht="18" x14ac:dyDescent="0.55000000000000004">
      <c r="A18" s="29">
        <v>17</v>
      </c>
      <c r="B18" s="31" t="s">
        <v>70</v>
      </c>
      <c r="C18" s="44" t="s">
        <v>388</v>
      </c>
      <c r="D18" s="32"/>
      <c r="E18" s="37" t="s">
        <v>351</v>
      </c>
      <c r="F18" s="38">
        <v>1</v>
      </c>
      <c r="G18" s="38">
        <v>0</v>
      </c>
    </row>
    <row r="19" spans="1:7" ht="18.399999999999999" thickBot="1" x14ac:dyDescent="0.6">
      <c r="A19" s="29">
        <v>18</v>
      </c>
      <c r="B19" s="34" t="s">
        <v>71</v>
      </c>
      <c r="C19" s="43" t="s">
        <v>389</v>
      </c>
      <c r="D19" s="35" t="s">
        <v>371</v>
      </c>
      <c r="E19" s="35" t="s">
        <v>351</v>
      </c>
      <c r="F19" s="36">
        <v>1</v>
      </c>
      <c r="G19" s="36">
        <v>2</v>
      </c>
    </row>
    <row r="20" spans="1:7" ht="18" x14ac:dyDescent="0.55000000000000004">
      <c r="A20" s="29">
        <v>19</v>
      </c>
      <c r="B20" s="31" t="s">
        <v>72</v>
      </c>
      <c r="C20" s="44" t="s">
        <v>390</v>
      </c>
      <c r="D20" s="32"/>
      <c r="E20" s="37" t="s">
        <v>351</v>
      </c>
      <c r="F20" s="38">
        <v>1</v>
      </c>
      <c r="G20" s="38">
        <v>0</v>
      </c>
    </row>
    <row r="21" spans="1:7" ht="18.399999999999999" thickBot="1" x14ac:dyDescent="0.6">
      <c r="A21" s="29">
        <v>20</v>
      </c>
      <c r="B21" s="34" t="s">
        <v>73</v>
      </c>
      <c r="C21" s="43" t="s">
        <v>391</v>
      </c>
      <c r="D21" s="35" t="s">
        <v>371</v>
      </c>
      <c r="E21" s="35" t="s">
        <v>351</v>
      </c>
      <c r="F21" s="36">
        <v>1</v>
      </c>
      <c r="G21" s="36">
        <v>3</v>
      </c>
    </row>
    <row r="22" spans="1:7" ht="18" x14ac:dyDescent="0.55000000000000004">
      <c r="A22" s="29">
        <v>21</v>
      </c>
      <c r="B22" s="31" t="s">
        <v>74</v>
      </c>
      <c r="C22" s="44" t="s">
        <v>392</v>
      </c>
      <c r="D22" s="32" t="s">
        <v>384</v>
      </c>
      <c r="E22" s="37" t="s">
        <v>351</v>
      </c>
      <c r="F22" s="38">
        <v>1</v>
      </c>
      <c r="G22" s="38">
        <v>3</v>
      </c>
    </row>
    <row r="23" spans="1:7" ht="18.399999999999999" thickBot="1" x14ac:dyDescent="0.6">
      <c r="A23" s="29">
        <v>22</v>
      </c>
      <c r="B23" s="34" t="s">
        <v>75</v>
      </c>
      <c r="C23" s="43" t="s">
        <v>393</v>
      </c>
      <c r="D23" s="35" t="s">
        <v>371</v>
      </c>
      <c r="E23" s="35" t="s">
        <v>351</v>
      </c>
      <c r="F23" s="36">
        <v>1</v>
      </c>
      <c r="G23" s="36">
        <v>8</v>
      </c>
    </row>
    <row r="24" spans="1:7" ht="18" x14ac:dyDescent="0.55000000000000004">
      <c r="A24" s="29">
        <v>23</v>
      </c>
      <c r="B24" s="31" t="s">
        <v>76</v>
      </c>
      <c r="C24" s="44" t="s">
        <v>394</v>
      </c>
      <c r="D24" s="32" t="s">
        <v>369</v>
      </c>
      <c r="E24" s="37" t="s">
        <v>351</v>
      </c>
      <c r="F24" s="38">
        <v>1</v>
      </c>
      <c r="G24" s="38">
        <v>4</v>
      </c>
    </row>
    <row r="25" spans="1:7" ht="18.399999999999999" thickBot="1" x14ac:dyDescent="0.6">
      <c r="A25" s="29">
        <v>24</v>
      </c>
      <c r="B25" s="34" t="s">
        <v>15</v>
      </c>
      <c r="C25" s="43" t="s">
        <v>395</v>
      </c>
      <c r="D25" s="35" t="s">
        <v>371</v>
      </c>
      <c r="E25" s="35" t="s">
        <v>351</v>
      </c>
      <c r="F25" s="36">
        <v>1</v>
      </c>
      <c r="G25" s="36">
        <v>5</v>
      </c>
    </row>
    <row r="26" spans="1:7" ht="18" x14ac:dyDescent="0.55000000000000004">
      <c r="A26" s="29">
        <v>25</v>
      </c>
      <c r="B26" s="31" t="s">
        <v>77</v>
      </c>
      <c r="C26" s="44" t="s">
        <v>396</v>
      </c>
      <c r="D26" s="32" t="s">
        <v>375</v>
      </c>
      <c r="E26" s="37" t="s">
        <v>351</v>
      </c>
      <c r="F26" s="38">
        <v>1</v>
      </c>
      <c r="G26" s="38">
        <v>3</v>
      </c>
    </row>
    <row r="27" spans="1:7" ht="18.399999999999999" thickBot="1" x14ac:dyDescent="0.6">
      <c r="A27" s="29">
        <v>26</v>
      </c>
      <c r="B27" s="34" t="s">
        <v>78</v>
      </c>
      <c r="C27" s="43" t="s">
        <v>397</v>
      </c>
      <c r="D27" s="35" t="s">
        <v>384</v>
      </c>
      <c r="E27" s="35" t="s">
        <v>351</v>
      </c>
      <c r="F27" s="36">
        <v>1</v>
      </c>
      <c r="G27" s="36">
        <v>5</v>
      </c>
    </row>
    <row r="28" spans="1:7" ht="18" x14ac:dyDescent="0.55000000000000004">
      <c r="A28" s="29">
        <v>27</v>
      </c>
      <c r="B28" s="31" t="s">
        <v>79</v>
      </c>
      <c r="C28" s="44" t="s">
        <v>398</v>
      </c>
      <c r="D28" s="32" t="s">
        <v>371</v>
      </c>
      <c r="E28" s="37" t="s">
        <v>351</v>
      </c>
      <c r="F28" s="38">
        <v>1</v>
      </c>
      <c r="G28" s="38">
        <v>5</v>
      </c>
    </row>
    <row r="29" spans="1:7" ht="18.399999999999999" thickBot="1" x14ac:dyDescent="0.6">
      <c r="A29" s="29">
        <v>28</v>
      </c>
      <c r="B29" s="34" t="s">
        <v>80</v>
      </c>
      <c r="C29" s="43" t="s">
        <v>399</v>
      </c>
      <c r="D29" s="35" t="s">
        <v>375</v>
      </c>
      <c r="E29" s="35" t="s">
        <v>351</v>
      </c>
      <c r="F29" s="36">
        <v>1</v>
      </c>
      <c r="G29" s="36">
        <v>4</v>
      </c>
    </row>
    <row r="30" spans="1:7" ht="18" x14ac:dyDescent="0.55000000000000004">
      <c r="A30" s="29">
        <v>29</v>
      </c>
      <c r="B30" s="31" t="s">
        <v>81</v>
      </c>
      <c r="C30" s="44" t="s">
        <v>400</v>
      </c>
      <c r="D30" s="32" t="s">
        <v>384</v>
      </c>
      <c r="E30" s="37" t="s">
        <v>351</v>
      </c>
      <c r="F30" s="38">
        <v>1</v>
      </c>
      <c r="G30" s="38">
        <v>4</v>
      </c>
    </row>
    <row r="31" spans="1:7" ht="18.399999999999999" thickBot="1" x14ac:dyDescent="0.6">
      <c r="A31" s="29">
        <v>30</v>
      </c>
      <c r="B31" s="34" t="s">
        <v>16</v>
      </c>
      <c r="C31" s="43" t="s">
        <v>401</v>
      </c>
      <c r="D31" s="35" t="s">
        <v>369</v>
      </c>
      <c r="E31" s="35" t="s">
        <v>351</v>
      </c>
      <c r="F31" s="36">
        <v>1</v>
      </c>
      <c r="G31" s="36">
        <v>4</v>
      </c>
    </row>
    <row r="32" spans="1:7" ht="18" x14ac:dyDescent="0.55000000000000004">
      <c r="A32" s="29">
        <v>31</v>
      </c>
      <c r="B32" s="31" t="s">
        <v>82</v>
      </c>
      <c r="C32" s="44" t="s">
        <v>402</v>
      </c>
      <c r="D32" s="32" t="s">
        <v>371</v>
      </c>
      <c r="E32" s="37" t="s">
        <v>351</v>
      </c>
      <c r="F32" s="38">
        <v>1</v>
      </c>
      <c r="G32" s="38">
        <v>6</v>
      </c>
    </row>
    <row r="33" spans="1:7" ht="18.399999999999999" thickBot="1" x14ac:dyDescent="0.6">
      <c r="A33" s="29">
        <v>32</v>
      </c>
      <c r="B33" s="34" t="s">
        <v>83</v>
      </c>
      <c r="C33" s="43" t="s">
        <v>403</v>
      </c>
      <c r="D33" s="35" t="s">
        <v>384</v>
      </c>
      <c r="E33" s="35" t="s">
        <v>351</v>
      </c>
      <c r="F33" s="36">
        <v>1</v>
      </c>
      <c r="G33" s="36">
        <v>5</v>
      </c>
    </row>
    <row r="34" spans="1:7" ht="18" x14ac:dyDescent="0.55000000000000004">
      <c r="A34" s="29">
        <v>33</v>
      </c>
      <c r="B34" s="31" t="s">
        <v>84</v>
      </c>
      <c r="C34" s="44" t="s">
        <v>404</v>
      </c>
      <c r="D34" s="32" t="s">
        <v>369</v>
      </c>
      <c r="E34" s="37" t="s">
        <v>351</v>
      </c>
      <c r="F34" s="38">
        <v>1</v>
      </c>
      <c r="G34" s="38">
        <v>2</v>
      </c>
    </row>
    <row r="35" spans="1:7" ht="18.399999999999999" thickBot="1" x14ac:dyDescent="0.6">
      <c r="A35" s="29">
        <v>34</v>
      </c>
      <c r="B35" s="34" t="s">
        <v>85</v>
      </c>
      <c r="C35" s="43" t="s">
        <v>405</v>
      </c>
      <c r="D35" s="35" t="s">
        <v>371</v>
      </c>
      <c r="E35" s="35" t="s">
        <v>351</v>
      </c>
      <c r="F35" s="36">
        <v>1</v>
      </c>
      <c r="G35" s="36">
        <v>1</v>
      </c>
    </row>
    <row r="36" spans="1:7" ht="18" x14ac:dyDescent="0.55000000000000004">
      <c r="A36" s="29">
        <v>35</v>
      </c>
      <c r="B36" s="31" t="s">
        <v>86</v>
      </c>
      <c r="C36" s="44" t="s">
        <v>406</v>
      </c>
      <c r="D36" s="37" t="s">
        <v>384</v>
      </c>
      <c r="E36" s="37" t="s">
        <v>351</v>
      </c>
      <c r="F36" s="38">
        <v>1</v>
      </c>
      <c r="G36" s="38">
        <v>3</v>
      </c>
    </row>
    <row r="37" spans="1:7" ht="18.399999999999999" thickBot="1" x14ac:dyDescent="0.6">
      <c r="A37" s="29">
        <v>36</v>
      </c>
      <c r="B37" s="34" t="s">
        <v>87</v>
      </c>
      <c r="C37" s="43" t="s">
        <v>407</v>
      </c>
      <c r="D37" s="35" t="s">
        <v>375</v>
      </c>
      <c r="E37" s="35" t="s">
        <v>351</v>
      </c>
      <c r="F37" s="36">
        <v>1</v>
      </c>
      <c r="G37" s="36">
        <v>4</v>
      </c>
    </row>
    <row r="38" spans="1:7" ht="18" x14ac:dyDescent="0.55000000000000004">
      <c r="A38" s="29">
        <v>37</v>
      </c>
      <c r="B38" s="31" t="s">
        <v>88</v>
      </c>
      <c r="C38" s="44" t="s">
        <v>408</v>
      </c>
      <c r="D38" s="32" t="s">
        <v>375</v>
      </c>
      <c r="E38" s="37" t="s">
        <v>351</v>
      </c>
      <c r="F38" s="38">
        <v>1</v>
      </c>
      <c r="G38" s="38">
        <v>5</v>
      </c>
    </row>
    <row r="39" spans="1:7" ht="18.399999999999999" thickBot="1" x14ac:dyDescent="0.6">
      <c r="A39" s="29">
        <v>38</v>
      </c>
      <c r="B39" s="34" t="s">
        <v>89</v>
      </c>
      <c r="C39" s="43" t="s">
        <v>409</v>
      </c>
      <c r="D39" s="35" t="s">
        <v>384</v>
      </c>
      <c r="E39" s="35" t="s">
        <v>351</v>
      </c>
      <c r="F39" s="36">
        <v>1</v>
      </c>
      <c r="G39" s="36">
        <v>4</v>
      </c>
    </row>
    <row r="40" spans="1:7" ht="18" x14ac:dyDescent="0.55000000000000004">
      <c r="A40" s="29">
        <v>39</v>
      </c>
      <c r="B40" s="31" t="s">
        <v>90</v>
      </c>
      <c r="C40" s="44" t="s">
        <v>410</v>
      </c>
      <c r="D40" s="37"/>
      <c r="E40" s="37" t="s">
        <v>351</v>
      </c>
      <c r="F40" s="38">
        <v>1</v>
      </c>
      <c r="G40" s="38">
        <v>0</v>
      </c>
    </row>
    <row r="41" spans="1:7" ht="18.399999999999999" thickBot="1" x14ac:dyDescent="0.6">
      <c r="A41" s="29">
        <v>40</v>
      </c>
      <c r="B41" s="34" t="s">
        <v>91</v>
      </c>
      <c r="C41" s="43" t="s">
        <v>411</v>
      </c>
      <c r="D41" s="35" t="s">
        <v>369</v>
      </c>
      <c r="E41" s="35" t="s">
        <v>351</v>
      </c>
      <c r="F41" s="36">
        <v>1</v>
      </c>
      <c r="G41" s="36">
        <v>6</v>
      </c>
    </row>
    <row r="42" spans="1:7" ht="18" x14ac:dyDescent="0.55000000000000004">
      <c r="A42" s="29">
        <v>41</v>
      </c>
      <c r="B42" s="31" t="s">
        <v>92</v>
      </c>
      <c r="C42" s="42" t="s">
        <v>412</v>
      </c>
      <c r="D42" s="32" t="s">
        <v>369</v>
      </c>
      <c r="E42" s="37" t="s">
        <v>351</v>
      </c>
      <c r="F42" s="39">
        <v>2</v>
      </c>
      <c r="G42" s="39">
        <v>8</v>
      </c>
    </row>
    <row r="43" spans="1:7" ht="18.399999999999999" thickBot="1" x14ac:dyDescent="0.6">
      <c r="A43" s="29">
        <v>42</v>
      </c>
      <c r="B43" s="34" t="s">
        <v>93</v>
      </c>
      <c r="C43" s="43" t="s">
        <v>413</v>
      </c>
      <c r="D43" s="35" t="s">
        <v>371</v>
      </c>
      <c r="E43" s="35" t="s">
        <v>351</v>
      </c>
      <c r="F43" s="40">
        <v>2</v>
      </c>
      <c r="G43" s="40">
        <v>10</v>
      </c>
    </row>
    <row r="44" spans="1:7" ht="18" x14ac:dyDescent="0.55000000000000004">
      <c r="A44" s="29">
        <v>43</v>
      </c>
      <c r="B44" s="31" t="s">
        <v>94</v>
      </c>
      <c r="C44" s="44" t="s">
        <v>414</v>
      </c>
      <c r="D44" s="37" t="s">
        <v>375</v>
      </c>
      <c r="E44" s="37" t="s">
        <v>351</v>
      </c>
      <c r="F44" s="39">
        <v>2</v>
      </c>
      <c r="G44" s="39">
        <v>7</v>
      </c>
    </row>
    <row r="45" spans="1:7" ht="18.399999999999999" thickBot="1" x14ac:dyDescent="0.6">
      <c r="A45" s="29">
        <v>44</v>
      </c>
      <c r="B45" s="34" t="s">
        <v>95</v>
      </c>
      <c r="C45" s="43" t="s">
        <v>415</v>
      </c>
      <c r="D45" s="35" t="s">
        <v>369</v>
      </c>
      <c r="E45" s="35" t="s">
        <v>351</v>
      </c>
      <c r="F45" s="40">
        <v>2</v>
      </c>
      <c r="G45" s="40">
        <v>8</v>
      </c>
    </row>
    <row r="46" spans="1:7" ht="18" x14ac:dyDescent="0.55000000000000004">
      <c r="A46" s="29">
        <v>45</v>
      </c>
      <c r="B46" s="31" t="s">
        <v>96</v>
      </c>
      <c r="C46" s="44" t="s">
        <v>416</v>
      </c>
      <c r="D46" s="32" t="s">
        <v>371</v>
      </c>
      <c r="E46" s="37" t="s">
        <v>351</v>
      </c>
      <c r="F46" s="39">
        <v>2</v>
      </c>
      <c r="G46" s="39">
        <v>8</v>
      </c>
    </row>
    <row r="47" spans="1:7" ht="18.399999999999999" thickBot="1" x14ac:dyDescent="0.6">
      <c r="A47" s="29">
        <v>46</v>
      </c>
      <c r="B47" s="34" t="s">
        <v>97</v>
      </c>
      <c r="C47" s="43" t="s">
        <v>417</v>
      </c>
      <c r="D47" s="35" t="s">
        <v>375</v>
      </c>
      <c r="E47" s="35" t="s">
        <v>351</v>
      </c>
      <c r="F47" s="40">
        <v>2</v>
      </c>
      <c r="G47" s="40">
        <v>10</v>
      </c>
    </row>
    <row r="48" spans="1:7" ht="18" x14ac:dyDescent="0.55000000000000004">
      <c r="A48" s="29">
        <v>47</v>
      </c>
      <c r="B48" s="31" t="s">
        <v>98</v>
      </c>
      <c r="C48" s="44" t="s">
        <v>418</v>
      </c>
      <c r="D48" s="37" t="s">
        <v>375</v>
      </c>
      <c r="E48" s="37" t="s">
        <v>351</v>
      </c>
      <c r="F48" s="39">
        <v>2</v>
      </c>
      <c r="G48" s="39">
        <v>10</v>
      </c>
    </row>
    <row r="49" spans="1:7" ht="18.399999999999999" thickBot="1" x14ac:dyDescent="0.6">
      <c r="A49" s="29">
        <v>48</v>
      </c>
      <c r="B49" s="34" t="s">
        <v>99</v>
      </c>
      <c r="C49" s="43" t="s">
        <v>419</v>
      </c>
      <c r="D49" s="35" t="s">
        <v>384</v>
      </c>
      <c r="E49" s="35" t="s">
        <v>351</v>
      </c>
      <c r="F49" s="40">
        <v>2</v>
      </c>
      <c r="G49" s="40">
        <v>9</v>
      </c>
    </row>
    <row r="50" spans="1:7" ht="18" x14ac:dyDescent="0.55000000000000004">
      <c r="A50" s="29">
        <v>49</v>
      </c>
      <c r="B50" s="31" t="s">
        <v>100</v>
      </c>
      <c r="C50" s="44" t="s">
        <v>420</v>
      </c>
      <c r="D50" s="32" t="s">
        <v>375</v>
      </c>
      <c r="E50" s="37" t="s">
        <v>351</v>
      </c>
      <c r="F50" s="39">
        <v>2</v>
      </c>
      <c r="G50" s="39">
        <v>6</v>
      </c>
    </row>
    <row r="51" spans="1:7" ht="18.399999999999999" thickBot="1" x14ac:dyDescent="0.6">
      <c r="A51" s="29">
        <v>50</v>
      </c>
      <c r="B51" s="34" t="s">
        <v>101</v>
      </c>
      <c r="C51" s="43" t="s">
        <v>421</v>
      </c>
      <c r="D51" s="35" t="s">
        <v>371</v>
      </c>
      <c r="E51" s="35" t="s">
        <v>351</v>
      </c>
      <c r="F51" s="40">
        <v>2</v>
      </c>
      <c r="G51" s="40">
        <v>9</v>
      </c>
    </row>
    <row r="52" spans="1:7" ht="18" x14ac:dyDescent="0.55000000000000004">
      <c r="A52" s="29">
        <v>51</v>
      </c>
      <c r="B52" s="31" t="s">
        <v>17</v>
      </c>
      <c r="C52" s="44" t="s">
        <v>422</v>
      </c>
      <c r="D52" s="37" t="s">
        <v>369</v>
      </c>
      <c r="E52" s="37" t="s">
        <v>351</v>
      </c>
      <c r="F52" s="39">
        <v>2</v>
      </c>
      <c r="G52" s="39">
        <v>9</v>
      </c>
    </row>
    <row r="53" spans="1:7" ht="18.399999999999999" thickBot="1" x14ac:dyDescent="0.6">
      <c r="A53" s="29">
        <v>52</v>
      </c>
      <c r="B53" s="34" t="s">
        <v>102</v>
      </c>
      <c r="C53" s="43" t="s">
        <v>423</v>
      </c>
      <c r="D53" s="35" t="s">
        <v>369</v>
      </c>
      <c r="E53" s="35" t="s">
        <v>351</v>
      </c>
      <c r="F53" s="40">
        <v>2</v>
      </c>
      <c r="G53" s="40">
        <v>6</v>
      </c>
    </row>
    <row r="54" spans="1:7" ht="18" x14ac:dyDescent="0.55000000000000004">
      <c r="A54" s="29">
        <v>53</v>
      </c>
      <c r="B54" s="31" t="s">
        <v>103</v>
      </c>
      <c r="C54" s="44" t="s">
        <v>424</v>
      </c>
      <c r="D54" s="32" t="s">
        <v>375</v>
      </c>
      <c r="E54" s="37" t="s">
        <v>351</v>
      </c>
      <c r="F54" s="39">
        <v>2</v>
      </c>
      <c r="G54" s="39">
        <v>7</v>
      </c>
    </row>
    <row r="55" spans="1:7" ht="18.399999999999999" thickBot="1" x14ac:dyDescent="0.6">
      <c r="A55" s="29">
        <v>54</v>
      </c>
      <c r="B55" s="34" t="s">
        <v>104</v>
      </c>
      <c r="C55" s="43" t="s">
        <v>425</v>
      </c>
      <c r="D55" s="35" t="s">
        <v>369</v>
      </c>
      <c r="E55" s="35" t="s">
        <v>351</v>
      </c>
      <c r="F55" s="40">
        <v>2</v>
      </c>
      <c r="G55" s="40">
        <v>7</v>
      </c>
    </row>
    <row r="56" spans="1:7" ht="18" x14ac:dyDescent="0.55000000000000004">
      <c r="A56" s="29">
        <v>55</v>
      </c>
      <c r="B56" s="31" t="s">
        <v>105</v>
      </c>
      <c r="C56" s="44" t="s">
        <v>426</v>
      </c>
      <c r="D56" s="37" t="s">
        <v>371</v>
      </c>
      <c r="E56" s="37" t="s">
        <v>351</v>
      </c>
      <c r="F56" s="39">
        <v>2</v>
      </c>
      <c r="G56" s="39">
        <v>9</v>
      </c>
    </row>
    <row r="57" spans="1:7" ht="18.399999999999999" thickBot="1" x14ac:dyDescent="0.6">
      <c r="A57" s="29">
        <v>56</v>
      </c>
      <c r="B57" s="34" t="s">
        <v>106</v>
      </c>
      <c r="C57" s="43" t="s">
        <v>427</v>
      </c>
      <c r="D57" s="35" t="s">
        <v>371</v>
      </c>
      <c r="E57" s="35" t="s">
        <v>351</v>
      </c>
      <c r="F57" s="40">
        <v>2</v>
      </c>
      <c r="G57" s="40">
        <v>9</v>
      </c>
    </row>
    <row r="58" spans="1:7" ht="18" x14ac:dyDescent="0.55000000000000004">
      <c r="A58" s="29">
        <v>57</v>
      </c>
      <c r="B58" s="31" t="s">
        <v>107</v>
      </c>
      <c r="C58" s="44" t="s">
        <v>428</v>
      </c>
      <c r="D58" s="32" t="s">
        <v>371</v>
      </c>
      <c r="E58" s="37" t="s">
        <v>351</v>
      </c>
      <c r="F58" s="39">
        <v>2</v>
      </c>
      <c r="G58" s="39">
        <v>3</v>
      </c>
    </row>
    <row r="59" spans="1:7" ht="18.399999999999999" thickBot="1" x14ac:dyDescent="0.6">
      <c r="A59" s="29">
        <v>58</v>
      </c>
      <c r="B59" s="34" t="s">
        <v>108</v>
      </c>
      <c r="C59" s="43" t="s">
        <v>429</v>
      </c>
      <c r="D59" s="35" t="s">
        <v>369</v>
      </c>
      <c r="E59" s="35" t="s">
        <v>351</v>
      </c>
      <c r="F59" s="40">
        <v>2</v>
      </c>
      <c r="G59" s="40">
        <v>6</v>
      </c>
    </row>
    <row r="60" spans="1:7" ht="18" x14ac:dyDescent="0.55000000000000004">
      <c r="A60" s="29">
        <v>59</v>
      </c>
      <c r="B60" s="31" t="s">
        <v>18</v>
      </c>
      <c r="C60" s="44" t="s">
        <v>430</v>
      </c>
      <c r="D60" s="37" t="s">
        <v>384</v>
      </c>
      <c r="E60" s="37" t="s">
        <v>351</v>
      </c>
      <c r="F60" s="39">
        <v>2</v>
      </c>
      <c r="G60" s="39">
        <v>9</v>
      </c>
    </row>
    <row r="61" spans="1:7" ht="18.399999999999999" thickBot="1" x14ac:dyDescent="0.6">
      <c r="A61" s="29">
        <v>60</v>
      </c>
      <c r="B61" s="34" t="s">
        <v>109</v>
      </c>
      <c r="C61" s="43" t="s">
        <v>431</v>
      </c>
      <c r="D61" s="35" t="s">
        <v>371</v>
      </c>
      <c r="E61" s="35" t="s">
        <v>351</v>
      </c>
      <c r="F61" s="40">
        <v>2</v>
      </c>
      <c r="G61" s="40">
        <v>10</v>
      </c>
    </row>
    <row r="62" spans="1:7" ht="18" x14ac:dyDescent="0.55000000000000004">
      <c r="A62" s="29">
        <v>61</v>
      </c>
      <c r="B62" s="31" t="s">
        <v>110</v>
      </c>
      <c r="C62" s="44" t="s">
        <v>432</v>
      </c>
      <c r="D62" s="32" t="s">
        <v>371</v>
      </c>
      <c r="E62" s="37" t="s">
        <v>351</v>
      </c>
      <c r="F62" s="39">
        <v>2</v>
      </c>
      <c r="G62" s="39">
        <v>3</v>
      </c>
    </row>
    <row r="63" spans="1:7" ht="18.399999999999999" thickBot="1" x14ac:dyDescent="0.6">
      <c r="A63" s="29">
        <v>62</v>
      </c>
      <c r="B63" s="34" t="s">
        <v>111</v>
      </c>
      <c r="C63" s="43" t="s">
        <v>433</v>
      </c>
      <c r="D63" s="35" t="s">
        <v>369</v>
      </c>
      <c r="E63" s="35" t="s">
        <v>351</v>
      </c>
      <c r="F63" s="40">
        <v>2</v>
      </c>
      <c r="G63" s="40">
        <v>10</v>
      </c>
    </row>
    <row r="64" spans="1:7" ht="18" x14ac:dyDescent="0.55000000000000004">
      <c r="A64" s="29">
        <v>63</v>
      </c>
      <c r="B64" s="31" t="s">
        <v>112</v>
      </c>
      <c r="C64" s="44" t="s">
        <v>434</v>
      </c>
      <c r="D64" s="37" t="s">
        <v>369</v>
      </c>
      <c r="E64" s="37" t="s">
        <v>351</v>
      </c>
      <c r="F64" s="39">
        <v>2</v>
      </c>
      <c r="G64" s="39">
        <v>7</v>
      </c>
    </row>
    <row r="65" spans="1:7" ht="18.399999999999999" thickBot="1" x14ac:dyDescent="0.6">
      <c r="A65" s="29">
        <v>64</v>
      </c>
      <c r="B65" s="34" t="s">
        <v>113</v>
      </c>
      <c r="C65" s="43" t="s">
        <v>435</v>
      </c>
      <c r="D65" s="35" t="s">
        <v>375</v>
      </c>
      <c r="E65" s="35" t="s">
        <v>351</v>
      </c>
      <c r="F65" s="40">
        <v>2</v>
      </c>
      <c r="G65" s="40">
        <v>9</v>
      </c>
    </row>
    <row r="66" spans="1:7" ht="18" x14ac:dyDescent="0.55000000000000004">
      <c r="A66" s="29">
        <v>65</v>
      </c>
      <c r="B66" s="31" t="s">
        <v>19</v>
      </c>
      <c r="C66" s="44" t="s">
        <v>436</v>
      </c>
      <c r="D66" s="32" t="s">
        <v>384</v>
      </c>
      <c r="E66" s="37" t="s">
        <v>351</v>
      </c>
      <c r="F66" s="39">
        <v>2</v>
      </c>
      <c r="G66" s="39">
        <v>9</v>
      </c>
    </row>
    <row r="67" spans="1:7" ht="18.399999999999999" thickBot="1" x14ac:dyDescent="0.6">
      <c r="A67" s="29">
        <v>66</v>
      </c>
      <c r="B67" s="34" t="s">
        <v>114</v>
      </c>
      <c r="C67" s="43" t="s">
        <v>437</v>
      </c>
      <c r="D67" s="35" t="s">
        <v>384</v>
      </c>
      <c r="E67" s="35" t="s">
        <v>351</v>
      </c>
      <c r="F67" s="40">
        <v>2</v>
      </c>
      <c r="G67" s="40">
        <v>9</v>
      </c>
    </row>
    <row r="68" spans="1:7" ht="18" x14ac:dyDescent="0.55000000000000004">
      <c r="A68" s="29">
        <v>67</v>
      </c>
      <c r="B68" s="31" t="s">
        <v>115</v>
      </c>
      <c r="C68" s="44" t="s">
        <v>438</v>
      </c>
      <c r="D68" s="37" t="s">
        <v>375</v>
      </c>
      <c r="E68" s="37" t="s">
        <v>351</v>
      </c>
      <c r="F68" s="39">
        <v>2</v>
      </c>
      <c r="G68" s="39">
        <v>7</v>
      </c>
    </row>
    <row r="69" spans="1:7" ht="18.399999999999999" thickBot="1" x14ac:dyDescent="0.6">
      <c r="A69" s="29">
        <v>68</v>
      </c>
      <c r="B69" s="34" t="s">
        <v>116</v>
      </c>
      <c r="C69" s="43" t="s">
        <v>439</v>
      </c>
      <c r="D69" s="35" t="s">
        <v>375</v>
      </c>
      <c r="E69" s="35" t="s">
        <v>351</v>
      </c>
      <c r="F69" s="40">
        <v>2</v>
      </c>
      <c r="G69" s="40">
        <v>9</v>
      </c>
    </row>
    <row r="70" spans="1:7" ht="18" x14ac:dyDescent="0.55000000000000004">
      <c r="A70" s="29">
        <v>69</v>
      </c>
      <c r="B70" s="31" t="s">
        <v>117</v>
      </c>
      <c r="C70" s="44" t="s">
        <v>440</v>
      </c>
      <c r="D70" s="32" t="s">
        <v>371</v>
      </c>
      <c r="E70" s="37" t="s">
        <v>351</v>
      </c>
      <c r="F70" s="39">
        <v>2</v>
      </c>
      <c r="G70" s="39">
        <v>5</v>
      </c>
    </row>
    <row r="71" spans="1:7" ht="18.399999999999999" thickBot="1" x14ac:dyDescent="0.6">
      <c r="A71" s="29">
        <v>70</v>
      </c>
      <c r="B71" s="34" t="s">
        <v>118</v>
      </c>
      <c r="C71" s="43" t="s">
        <v>441</v>
      </c>
      <c r="D71" s="35" t="s">
        <v>369</v>
      </c>
      <c r="E71" s="35" t="s">
        <v>351</v>
      </c>
      <c r="F71" s="40">
        <v>2</v>
      </c>
      <c r="G71" s="40">
        <v>4</v>
      </c>
    </row>
    <row r="72" spans="1:7" ht="18" x14ac:dyDescent="0.55000000000000004">
      <c r="A72" s="29">
        <v>71</v>
      </c>
      <c r="B72" s="31" t="s">
        <v>119</v>
      </c>
      <c r="C72" s="44" t="s">
        <v>442</v>
      </c>
      <c r="D72" s="37" t="s">
        <v>384</v>
      </c>
      <c r="E72" s="37" t="s">
        <v>351</v>
      </c>
      <c r="F72" s="39">
        <v>2</v>
      </c>
      <c r="G72" s="39">
        <v>7</v>
      </c>
    </row>
    <row r="73" spans="1:7" ht="18.399999999999999" thickBot="1" x14ac:dyDescent="0.6">
      <c r="A73" s="29">
        <v>72</v>
      </c>
      <c r="B73" s="34" t="s">
        <v>120</v>
      </c>
      <c r="C73" s="43" t="s">
        <v>443</v>
      </c>
      <c r="D73" s="35" t="s">
        <v>384</v>
      </c>
      <c r="E73" s="35" t="s">
        <v>351</v>
      </c>
      <c r="F73" s="40">
        <v>2</v>
      </c>
      <c r="G73" s="40">
        <v>6</v>
      </c>
    </row>
    <row r="74" spans="1:7" ht="18" x14ac:dyDescent="0.55000000000000004">
      <c r="A74" s="29">
        <v>73</v>
      </c>
      <c r="B74" s="31" t="s">
        <v>121</v>
      </c>
      <c r="C74" s="44" t="s">
        <v>444</v>
      </c>
      <c r="D74" s="32" t="s">
        <v>384</v>
      </c>
      <c r="E74" s="37" t="s">
        <v>351</v>
      </c>
      <c r="F74" s="39">
        <v>2</v>
      </c>
      <c r="G74" s="39">
        <v>8</v>
      </c>
    </row>
    <row r="75" spans="1:7" ht="18.399999999999999" thickBot="1" x14ac:dyDescent="0.6">
      <c r="A75" s="29">
        <v>74</v>
      </c>
      <c r="B75" s="34" t="s">
        <v>122</v>
      </c>
      <c r="C75" s="43" t="s">
        <v>445</v>
      </c>
      <c r="D75" s="35" t="s">
        <v>375</v>
      </c>
      <c r="E75" s="35" t="s">
        <v>351</v>
      </c>
      <c r="F75" s="40">
        <v>2</v>
      </c>
      <c r="G75" s="40">
        <v>4</v>
      </c>
    </row>
    <row r="76" spans="1:7" ht="18" x14ac:dyDescent="0.55000000000000004">
      <c r="A76" s="29">
        <v>75</v>
      </c>
      <c r="B76" s="31" t="s">
        <v>123</v>
      </c>
      <c r="C76" s="44" t="s">
        <v>446</v>
      </c>
      <c r="D76" s="37" t="s">
        <v>384</v>
      </c>
      <c r="E76" s="37" t="s">
        <v>351</v>
      </c>
      <c r="F76" s="39">
        <v>2</v>
      </c>
      <c r="G76" s="39">
        <v>8</v>
      </c>
    </row>
    <row r="77" spans="1:7" ht="18.399999999999999" thickBot="1" x14ac:dyDescent="0.6">
      <c r="A77" s="29">
        <v>76</v>
      </c>
      <c r="B77" s="34" t="s">
        <v>124</v>
      </c>
      <c r="C77" s="43" t="s">
        <v>447</v>
      </c>
      <c r="D77" s="35" t="s">
        <v>384</v>
      </c>
      <c r="E77" s="35" t="s">
        <v>351</v>
      </c>
      <c r="F77" s="40">
        <v>2</v>
      </c>
      <c r="G77" s="40">
        <v>4</v>
      </c>
    </row>
    <row r="78" spans="1:7" ht="18" x14ac:dyDescent="0.55000000000000004">
      <c r="A78" s="29">
        <v>77</v>
      </c>
      <c r="B78" s="31" t="s">
        <v>125</v>
      </c>
      <c r="C78" s="42" t="s">
        <v>448</v>
      </c>
      <c r="D78" s="32" t="s">
        <v>375</v>
      </c>
      <c r="E78" s="37" t="s">
        <v>352</v>
      </c>
      <c r="F78" s="39">
        <v>3</v>
      </c>
      <c r="G78" s="39">
        <v>8</v>
      </c>
    </row>
    <row r="79" spans="1:7" ht="18.399999999999999" thickBot="1" x14ac:dyDescent="0.6">
      <c r="A79" s="29">
        <v>78</v>
      </c>
      <c r="B79" s="34" t="s">
        <v>126</v>
      </c>
      <c r="C79" s="43" t="s">
        <v>449</v>
      </c>
      <c r="D79" s="35" t="s">
        <v>384</v>
      </c>
      <c r="E79" s="35" t="s">
        <v>352</v>
      </c>
      <c r="F79" s="40">
        <v>3</v>
      </c>
      <c r="G79" s="40">
        <v>0</v>
      </c>
    </row>
    <row r="80" spans="1:7" ht="18" x14ac:dyDescent="0.55000000000000004">
      <c r="A80" s="29">
        <v>79</v>
      </c>
      <c r="B80" s="31" t="s">
        <v>127</v>
      </c>
      <c r="C80" s="44" t="s">
        <v>450</v>
      </c>
      <c r="D80" s="37" t="s">
        <v>369</v>
      </c>
      <c r="E80" s="37" t="s">
        <v>352</v>
      </c>
      <c r="F80" s="39">
        <v>3</v>
      </c>
      <c r="G80" s="39">
        <v>5</v>
      </c>
    </row>
    <row r="81" spans="1:7" ht="18.399999999999999" thickBot="1" x14ac:dyDescent="0.6">
      <c r="A81" s="29">
        <v>80</v>
      </c>
      <c r="B81" s="34" t="s">
        <v>128</v>
      </c>
      <c r="C81" s="43" t="s">
        <v>451</v>
      </c>
      <c r="D81" s="35" t="s">
        <v>375</v>
      </c>
      <c r="E81" s="35" t="s">
        <v>352</v>
      </c>
      <c r="F81" s="40">
        <v>3</v>
      </c>
      <c r="G81" s="40">
        <v>8</v>
      </c>
    </row>
    <row r="82" spans="1:7" ht="18" x14ac:dyDescent="0.55000000000000004">
      <c r="A82" s="29">
        <v>81</v>
      </c>
      <c r="B82" s="31" t="s">
        <v>129</v>
      </c>
      <c r="C82" s="44" t="s">
        <v>452</v>
      </c>
      <c r="D82" s="32" t="s">
        <v>369</v>
      </c>
      <c r="E82" s="37" t="s">
        <v>352</v>
      </c>
      <c r="F82" s="39">
        <v>3</v>
      </c>
      <c r="G82" s="39">
        <v>6</v>
      </c>
    </row>
    <row r="83" spans="1:7" ht="18.399999999999999" thickBot="1" x14ac:dyDescent="0.6">
      <c r="A83" s="29">
        <v>82</v>
      </c>
      <c r="B83" s="34" t="s">
        <v>130</v>
      </c>
      <c r="C83" s="43" t="s">
        <v>453</v>
      </c>
      <c r="D83" s="35" t="s">
        <v>371</v>
      </c>
      <c r="E83" s="35" t="s">
        <v>352</v>
      </c>
      <c r="F83" s="40">
        <v>3</v>
      </c>
      <c r="G83" s="40">
        <v>5</v>
      </c>
    </row>
    <row r="84" spans="1:7" ht="18" x14ac:dyDescent="0.55000000000000004">
      <c r="A84" s="29">
        <v>83</v>
      </c>
      <c r="B84" s="31" t="s">
        <v>131</v>
      </c>
      <c r="C84" s="44" t="s">
        <v>454</v>
      </c>
      <c r="D84" s="37" t="s">
        <v>375</v>
      </c>
      <c r="E84" s="37" t="s">
        <v>352</v>
      </c>
      <c r="F84" s="39">
        <v>3</v>
      </c>
      <c r="G84" s="39">
        <v>6</v>
      </c>
    </row>
    <row r="85" spans="1:7" ht="18.399999999999999" thickBot="1" x14ac:dyDescent="0.6">
      <c r="A85" s="29">
        <v>84</v>
      </c>
      <c r="B85" s="34" t="s">
        <v>20</v>
      </c>
      <c r="C85" s="43" t="s">
        <v>455</v>
      </c>
      <c r="D85" s="35" t="s">
        <v>371</v>
      </c>
      <c r="E85" s="35" t="s">
        <v>352</v>
      </c>
      <c r="F85" s="40">
        <v>3</v>
      </c>
      <c r="G85" s="40">
        <v>8</v>
      </c>
    </row>
    <row r="86" spans="1:7" ht="18" x14ac:dyDescent="0.55000000000000004">
      <c r="A86" s="29">
        <v>85</v>
      </c>
      <c r="B86" s="31" t="s">
        <v>132</v>
      </c>
      <c r="C86" s="44" t="s">
        <v>456</v>
      </c>
      <c r="D86" s="32" t="s">
        <v>371</v>
      </c>
      <c r="E86" s="37" t="s">
        <v>352</v>
      </c>
      <c r="F86" s="39">
        <v>3</v>
      </c>
      <c r="G86" s="39">
        <v>11</v>
      </c>
    </row>
    <row r="87" spans="1:7" ht="18.399999999999999" thickBot="1" x14ac:dyDescent="0.6">
      <c r="A87" s="29">
        <v>86</v>
      </c>
      <c r="B87" s="34" t="s">
        <v>133</v>
      </c>
      <c r="C87" s="43" t="s">
        <v>457</v>
      </c>
      <c r="D87" s="35" t="s">
        <v>384</v>
      </c>
      <c r="E87" s="35" t="s">
        <v>352</v>
      </c>
      <c r="F87" s="40">
        <v>3</v>
      </c>
      <c r="G87" s="40">
        <v>10</v>
      </c>
    </row>
    <row r="88" spans="1:7" ht="18" x14ac:dyDescent="0.55000000000000004">
      <c r="A88" s="29">
        <v>87</v>
      </c>
      <c r="B88" s="31" t="s">
        <v>134</v>
      </c>
      <c r="C88" s="44" t="s">
        <v>458</v>
      </c>
      <c r="D88" s="37" t="s">
        <v>384</v>
      </c>
      <c r="E88" s="37" t="s">
        <v>352</v>
      </c>
      <c r="F88" s="39">
        <v>3</v>
      </c>
      <c r="G88" s="39">
        <v>7</v>
      </c>
    </row>
    <row r="89" spans="1:7" ht="18.399999999999999" thickBot="1" x14ac:dyDescent="0.6">
      <c r="A89" s="29">
        <v>88</v>
      </c>
      <c r="B89" s="34" t="s">
        <v>135</v>
      </c>
      <c r="C89" s="43" t="s">
        <v>459</v>
      </c>
      <c r="D89" s="35" t="s">
        <v>369</v>
      </c>
      <c r="E89" s="35" t="s">
        <v>352</v>
      </c>
      <c r="F89" s="40">
        <v>3</v>
      </c>
      <c r="G89" s="40">
        <v>7</v>
      </c>
    </row>
    <row r="90" spans="1:7" ht="18" x14ac:dyDescent="0.55000000000000004">
      <c r="A90" s="29">
        <v>89</v>
      </c>
      <c r="B90" s="31" t="s">
        <v>136</v>
      </c>
      <c r="C90" s="44" t="s">
        <v>460</v>
      </c>
      <c r="D90" s="32" t="s">
        <v>369</v>
      </c>
      <c r="E90" s="37" t="s">
        <v>352</v>
      </c>
      <c r="F90" s="39">
        <v>3</v>
      </c>
      <c r="G90" s="39">
        <v>5</v>
      </c>
    </row>
    <row r="91" spans="1:7" ht="18.399999999999999" thickBot="1" x14ac:dyDescent="0.6">
      <c r="A91" s="29">
        <v>90</v>
      </c>
      <c r="B91" s="34" t="s">
        <v>137</v>
      </c>
      <c r="C91" s="43" t="s">
        <v>461</v>
      </c>
      <c r="D91" s="35" t="s">
        <v>375</v>
      </c>
      <c r="E91" s="35" t="s">
        <v>352</v>
      </c>
      <c r="F91" s="40">
        <v>3</v>
      </c>
      <c r="G91" s="40">
        <v>8</v>
      </c>
    </row>
    <row r="92" spans="1:7" ht="18" x14ac:dyDescent="0.55000000000000004">
      <c r="A92" s="29">
        <v>91</v>
      </c>
      <c r="B92" s="31" t="s">
        <v>138</v>
      </c>
      <c r="C92" s="44" t="s">
        <v>462</v>
      </c>
      <c r="D92" s="37" t="s">
        <v>384</v>
      </c>
      <c r="E92" s="37" t="s">
        <v>352</v>
      </c>
      <c r="F92" s="39">
        <v>3</v>
      </c>
      <c r="G92" s="39">
        <v>8</v>
      </c>
    </row>
    <row r="93" spans="1:7" ht="18.399999999999999" thickBot="1" x14ac:dyDescent="0.6">
      <c r="A93" s="29">
        <v>92</v>
      </c>
      <c r="B93" s="34" t="s">
        <v>139</v>
      </c>
      <c r="C93" s="43" t="s">
        <v>463</v>
      </c>
      <c r="D93" s="35" t="s">
        <v>369</v>
      </c>
      <c r="E93" s="35" t="s">
        <v>352</v>
      </c>
      <c r="F93" s="40">
        <v>3</v>
      </c>
      <c r="G93" s="40">
        <v>7</v>
      </c>
    </row>
    <row r="94" spans="1:7" ht="18" x14ac:dyDescent="0.55000000000000004">
      <c r="A94" s="29">
        <v>93</v>
      </c>
      <c r="B94" s="31" t="s">
        <v>140</v>
      </c>
      <c r="C94" s="44" t="s">
        <v>464</v>
      </c>
      <c r="D94" s="32" t="s">
        <v>371</v>
      </c>
      <c r="E94" s="37" t="s">
        <v>352</v>
      </c>
      <c r="F94" s="39">
        <v>3</v>
      </c>
      <c r="G94" s="39">
        <v>7</v>
      </c>
    </row>
    <row r="95" spans="1:7" ht="18.399999999999999" thickBot="1" x14ac:dyDescent="0.6">
      <c r="A95" s="29">
        <v>94</v>
      </c>
      <c r="B95" s="34" t="s">
        <v>141</v>
      </c>
      <c r="C95" s="43" t="s">
        <v>465</v>
      </c>
      <c r="D95" s="35" t="s">
        <v>375</v>
      </c>
      <c r="E95" s="35" t="s">
        <v>352</v>
      </c>
      <c r="F95" s="40">
        <v>3</v>
      </c>
      <c r="G95" s="40">
        <v>5</v>
      </c>
    </row>
    <row r="96" spans="1:7" ht="18" x14ac:dyDescent="0.55000000000000004">
      <c r="A96" s="29">
        <v>95</v>
      </c>
      <c r="B96" s="31" t="s">
        <v>142</v>
      </c>
      <c r="C96" s="44" t="s">
        <v>466</v>
      </c>
      <c r="D96" s="37" t="s">
        <v>371</v>
      </c>
      <c r="E96" s="37" t="s">
        <v>352</v>
      </c>
      <c r="F96" s="39">
        <v>3</v>
      </c>
      <c r="G96" s="39">
        <v>10</v>
      </c>
    </row>
    <row r="97" spans="1:7" ht="18.399999999999999" thickBot="1" x14ac:dyDescent="0.6">
      <c r="A97" s="29">
        <v>96</v>
      </c>
      <c r="B97" s="34" t="s">
        <v>143</v>
      </c>
      <c r="C97" s="43" t="s">
        <v>467</v>
      </c>
      <c r="D97" s="35" t="s">
        <v>371</v>
      </c>
      <c r="E97" s="35" t="s">
        <v>352</v>
      </c>
      <c r="F97" s="40">
        <v>3</v>
      </c>
      <c r="G97" s="40">
        <v>5</v>
      </c>
    </row>
    <row r="98" spans="1:7" ht="18" x14ac:dyDescent="0.55000000000000004">
      <c r="A98" s="29">
        <v>97</v>
      </c>
      <c r="B98" s="31" t="s">
        <v>144</v>
      </c>
      <c r="C98" s="44" t="s">
        <v>468</v>
      </c>
      <c r="D98" s="32" t="s">
        <v>369</v>
      </c>
      <c r="E98" s="37" t="s">
        <v>352</v>
      </c>
      <c r="F98" s="39">
        <v>3</v>
      </c>
      <c r="G98" s="39">
        <v>9</v>
      </c>
    </row>
    <row r="99" spans="1:7" ht="18.399999999999999" thickBot="1" x14ac:dyDescent="0.6">
      <c r="A99" s="29">
        <v>98</v>
      </c>
      <c r="B99" s="34" t="s">
        <v>145</v>
      </c>
      <c r="C99" s="43" t="s">
        <v>469</v>
      </c>
      <c r="D99" s="35" t="s">
        <v>375</v>
      </c>
      <c r="E99" s="35" t="s">
        <v>352</v>
      </c>
      <c r="F99" s="40">
        <v>3</v>
      </c>
      <c r="G99" s="40">
        <v>10</v>
      </c>
    </row>
    <row r="100" spans="1:7" ht="18" x14ac:dyDescent="0.55000000000000004">
      <c r="A100" s="29">
        <v>99</v>
      </c>
      <c r="B100" s="31" t="s">
        <v>146</v>
      </c>
      <c r="C100" s="44" t="s">
        <v>470</v>
      </c>
      <c r="D100" s="37" t="s">
        <v>384</v>
      </c>
      <c r="E100" s="37" t="s">
        <v>352</v>
      </c>
      <c r="F100" s="39">
        <v>3</v>
      </c>
      <c r="G100" s="39">
        <v>8</v>
      </c>
    </row>
    <row r="101" spans="1:7" ht="18.399999999999999" thickBot="1" x14ac:dyDescent="0.6">
      <c r="A101" s="29">
        <v>100</v>
      </c>
      <c r="B101" s="34" t="s">
        <v>147</v>
      </c>
      <c r="C101" s="43" t="s">
        <v>471</v>
      </c>
      <c r="D101" s="35" t="s">
        <v>369</v>
      </c>
      <c r="E101" s="35" t="s">
        <v>352</v>
      </c>
      <c r="F101" s="40">
        <v>3</v>
      </c>
      <c r="G101" s="40">
        <v>9</v>
      </c>
    </row>
    <row r="102" spans="1:7" ht="18" x14ac:dyDescent="0.55000000000000004">
      <c r="A102" s="29">
        <v>101</v>
      </c>
      <c r="B102" s="31" t="s">
        <v>148</v>
      </c>
      <c r="C102" s="44" t="s">
        <v>472</v>
      </c>
      <c r="D102" s="32" t="s">
        <v>384</v>
      </c>
      <c r="E102" s="37" t="s">
        <v>352</v>
      </c>
      <c r="F102" s="39">
        <v>3</v>
      </c>
      <c r="G102" s="39">
        <v>8</v>
      </c>
    </row>
    <row r="103" spans="1:7" ht="18.399999999999999" thickBot="1" x14ac:dyDescent="0.6">
      <c r="A103" s="29">
        <v>102</v>
      </c>
      <c r="B103" s="34" t="s">
        <v>149</v>
      </c>
      <c r="C103" s="43" t="s">
        <v>473</v>
      </c>
      <c r="D103" s="35" t="s">
        <v>384</v>
      </c>
      <c r="E103" s="35" t="s">
        <v>352</v>
      </c>
      <c r="F103" s="40">
        <v>3</v>
      </c>
      <c r="G103" s="40">
        <v>5</v>
      </c>
    </row>
    <row r="104" spans="1:7" ht="18" x14ac:dyDescent="0.55000000000000004">
      <c r="A104" s="29">
        <v>103</v>
      </c>
      <c r="B104" s="31" t="s">
        <v>150</v>
      </c>
      <c r="C104" s="44" t="s">
        <v>474</v>
      </c>
      <c r="D104" s="37" t="s">
        <v>371</v>
      </c>
      <c r="E104" s="37" t="s">
        <v>352</v>
      </c>
      <c r="F104" s="39">
        <v>3</v>
      </c>
      <c r="G104" s="39">
        <v>5</v>
      </c>
    </row>
    <row r="105" spans="1:7" ht="18.399999999999999" thickBot="1" x14ac:dyDescent="0.6">
      <c r="A105" s="29">
        <v>104</v>
      </c>
      <c r="B105" s="34" t="s">
        <v>151</v>
      </c>
      <c r="C105" s="43" t="s">
        <v>475</v>
      </c>
      <c r="D105" s="35" t="s">
        <v>384</v>
      </c>
      <c r="E105" s="35" t="s">
        <v>352</v>
      </c>
      <c r="F105" s="40">
        <v>3</v>
      </c>
      <c r="G105" s="40">
        <v>8</v>
      </c>
    </row>
    <row r="106" spans="1:7" ht="18" x14ac:dyDescent="0.55000000000000004">
      <c r="A106" s="29">
        <v>105</v>
      </c>
      <c r="B106" s="31" t="s">
        <v>152</v>
      </c>
      <c r="C106" s="44" t="s">
        <v>476</v>
      </c>
      <c r="D106" s="32" t="s">
        <v>375</v>
      </c>
      <c r="E106" s="37" t="s">
        <v>352</v>
      </c>
      <c r="F106" s="39">
        <v>3</v>
      </c>
      <c r="G106" s="39">
        <v>7</v>
      </c>
    </row>
    <row r="107" spans="1:7" ht="18.399999999999999" thickBot="1" x14ac:dyDescent="0.6">
      <c r="A107" s="29">
        <v>106</v>
      </c>
      <c r="B107" s="34" t="s">
        <v>21</v>
      </c>
      <c r="C107" s="43" t="s">
        <v>477</v>
      </c>
      <c r="D107" s="35" t="s">
        <v>369</v>
      </c>
      <c r="E107" s="35" t="s">
        <v>352</v>
      </c>
      <c r="F107" s="40">
        <v>3</v>
      </c>
      <c r="G107" s="40">
        <v>9</v>
      </c>
    </row>
    <row r="108" spans="1:7" ht="18" x14ac:dyDescent="0.55000000000000004">
      <c r="A108" s="29">
        <v>107</v>
      </c>
      <c r="B108" s="31" t="s">
        <v>153</v>
      </c>
      <c r="C108" s="44" t="s">
        <v>478</v>
      </c>
      <c r="D108" s="37" t="s">
        <v>369</v>
      </c>
      <c r="E108" s="37" t="s">
        <v>352</v>
      </c>
      <c r="F108" s="39">
        <v>3</v>
      </c>
      <c r="G108" s="39">
        <v>6</v>
      </c>
    </row>
    <row r="109" spans="1:7" ht="18.399999999999999" thickBot="1" x14ac:dyDescent="0.6">
      <c r="A109" s="29">
        <v>108</v>
      </c>
      <c r="B109" s="34" t="s">
        <v>154</v>
      </c>
      <c r="C109" s="43" t="s">
        <v>479</v>
      </c>
      <c r="D109" s="35" t="s">
        <v>371</v>
      </c>
      <c r="E109" s="35" t="s">
        <v>352</v>
      </c>
      <c r="F109" s="40">
        <v>3</v>
      </c>
      <c r="G109" s="40">
        <v>5</v>
      </c>
    </row>
    <row r="110" spans="1:7" ht="18" x14ac:dyDescent="0.55000000000000004">
      <c r="A110" s="29">
        <v>109</v>
      </c>
      <c r="B110" s="31" t="s">
        <v>155</v>
      </c>
      <c r="C110" s="44" t="s">
        <v>480</v>
      </c>
      <c r="D110" s="32" t="s">
        <v>384</v>
      </c>
      <c r="E110" s="37" t="s">
        <v>352</v>
      </c>
      <c r="F110" s="39">
        <v>3</v>
      </c>
      <c r="G110" s="39">
        <v>9</v>
      </c>
    </row>
    <row r="111" spans="1:7" ht="18.399999999999999" thickBot="1" x14ac:dyDescent="0.6">
      <c r="A111" s="29">
        <v>110</v>
      </c>
      <c r="B111" s="34" t="s">
        <v>156</v>
      </c>
      <c r="C111" s="43" t="s">
        <v>481</v>
      </c>
      <c r="D111" s="35" t="s">
        <v>371</v>
      </c>
      <c r="E111" s="35" t="s">
        <v>352</v>
      </c>
      <c r="F111" s="40">
        <v>3</v>
      </c>
      <c r="G111" s="40">
        <v>6</v>
      </c>
    </row>
    <row r="112" spans="1:7" ht="18" x14ac:dyDescent="0.55000000000000004">
      <c r="A112" s="29">
        <v>111</v>
      </c>
      <c r="B112" s="31" t="s">
        <v>157</v>
      </c>
      <c r="C112" s="44" t="s">
        <v>482</v>
      </c>
      <c r="D112" s="37" t="s">
        <v>371</v>
      </c>
      <c r="E112" s="37" t="s">
        <v>352</v>
      </c>
      <c r="F112" s="39">
        <v>3</v>
      </c>
      <c r="G112" s="39">
        <v>9</v>
      </c>
    </row>
    <row r="113" spans="1:7" ht="18.399999999999999" thickBot="1" x14ac:dyDescent="0.6">
      <c r="A113" s="29">
        <v>112</v>
      </c>
      <c r="B113" s="34" t="s">
        <v>158</v>
      </c>
      <c r="C113" s="43" t="s">
        <v>483</v>
      </c>
      <c r="D113" s="35" t="s">
        <v>369</v>
      </c>
      <c r="E113" s="35" t="s">
        <v>352</v>
      </c>
      <c r="F113" s="40">
        <v>3</v>
      </c>
      <c r="G113" s="40">
        <v>11</v>
      </c>
    </row>
    <row r="114" spans="1:7" ht="18" x14ac:dyDescent="0.55000000000000004">
      <c r="A114" s="29">
        <v>113</v>
      </c>
      <c r="B114" s="31" t="s">
        <v>159</v>
      </c>
      <c r="C114" s="44" t="s">
        <v>484</v>
      </c>
      <c r="D114" s="32" t="s">
        <v>375</v>
      </c>
      <c r="E114" s="37" t="s">
        <v>352</v>
      </c>
      <c r="F114" s="39">
        <v>3</v>
      </c>
      <c r="G114" s="39">
        <v>4</v>
      </c>
    </row>
    <row r="115" spans="1:7" ht="18.399999999999999" thickBot="1" x14ac:dyDescent="0.6">
      <c r="A115" s="29">
        <v>114</v>
      </c>
      <c r="B115" s="34" t="s">
        <v>160</v>
      </c>
      <c r="C115" s="43" t="s">
        <v>485</v>
      </c>
      <c r="D115" s="35" t="s">
        <v>375</v>
      </c>
      <c r="E115" s="35" t="s">
        <v>352</v>
      </c>
      <c r="F115" s="40">
        <v>3</v>
      </c>
      <c r="G115" s="40">
        <v>11</v>
      </c>
    </row>
    <row r="116" spans="1:7" ht="18" x14ac:dyDescent="0.55000000000000004">
      <c r="A116" s="29">
        <v>115</v>
      </c>
      <c r="B116" s="31" t="s">
        <v>22</v>
      </c>
      <c r="C116" s="44" t="s">
        <v>486</v>
      </c>
      <c r="D116" s="37" t="s">
        <v>375</v>
      </c>
      <c r="E116" s="37" t="s">
        <v>352</v>
      </c>
      <c r="F116" s="39">
        <v>3</v>
      </c>
      <c r="G116" s="39">
        <v>8</v>
      </c>
    </row>
    <row r="117" spans="1:7" ht="18.399999999999999" thickBot="1" x14ac:dyDescent="0.6">
      <c r="A117" s="29">
        <v>116</v>
      </c>
      <c r="B117" s="34" t="s">
        <v>161</v>
      </c>
      <c r="C117" s="43" t="s">
        <v>487</v>
      </c>
      <c r="D117" s="35" t="s">
        <v>384</v>
      </c>
      <c r="E117" s="35" t="s">
        <v>352</v>
      </c>
      <c r="F117" s="40">
        <v>3</v>
      </c>
      <c r="G117" s="40">
        <v>10</v>
      </c>
    </row>
    <row r="118" spans="1:7" ht="18" x14ac:dyDescent="0.55000000000000004">
      <c r="A118" s="29">
        <v>117</v>
      </c>
      <c r="B118" s="31" t="s">
        <v>162</v>
      </c>
      <c r="C118" s="42" t="s">
        <v>488</v>
      </c>
      <c r="D118" s="32" t="s">
        <v>375</v>
      </c>
      <c r="E118" s="37" t="s">
        <v>352</v>
      </c>
      <c r="F118" s="39">
        <v>4</v>
      </c>
      <c r="G118" s="39">
        <v>8</v>
      </c>
    </row>
    <row r="119" spans="1:7" ht="18.399999999999999" thickBot="1" x14ac:dyDescent="0.6">
      <c r="A119" s="29">
        <v>118</v>
      </c>
      <c r="B119" s="34" t="s">
        <v>163</v>
      </c>
      <c r="C119" s="43" t="s">
        <v>489</v>
      </c>
      <c r="D119" s="35" t="s">
        <v>369</v>
      </c>
      <c r="E119" s="35" t="s">
        <v>352</v>
      </c>
      <c r="F119" s="40">
        <v>4</v>
      </c>
      <c r="G119" s="40">
        <v>7</v>
      </c>
    </row>
    <row r="120" spans="1:7" ht="18" x14ac:dyDescent="0.55000000000000004">
      <c r="A120" s="29">
        <v>119</v>
      </c>
      <c r="B120" s="31" t="s">
        <v>164</v>
      </c>
      <c r="C120" s="44" t="s">
        <v>490</v>
      </c>
      <c r="D120" s="37" t="s">
        <v>375</v>
      </c>
      <c r="E120" s="37" t="s">
        <v>352</v>
      </c>
      <c r="F120" s="39">
        <v>4</v>
      </c>
      <c r="G120" s="39">
        <v>10</v>
      </c>
    </row>
    <row r="121" spans="1:7" ht="18.399999999999999" thickBot="1" x14ac:dyDescent="0.6">
      <c r="A121" s="29">
        <v>120</v>
      </c>
      <c r="B121" s="34" t="s">
        <v>165</v>
      </c>
      <c r="C121" s="43" t="s">
        <v>491</v>
      </c>
      <c r="D121" s="35" t="s">
        <v>369</v>
      </c>
      <c r="E121" s="35" t="s">
        <v>352</v>
      </c>
      <c r="F121" s="40">
        <v>4</v>
      </c>
      <c r="G121" s="40">
        <v>9</v>
      </c>
    </row>
    <row r="122" spans="1:7" ht="18" x14ac:dyDescent="0.55000000000000004">
      <c r="A122" s="29">
        <v>121</v>
      </c>
      <c r="B122" s="31" t="s">
        <v>166</v>
      </c>
      <c r="C122" s="44" t="s">
        <v>492</v>
      </c>
      <c r="D122" s="32" t="s">
        <v>369</v>
      </c>
      <c r="E122" s="37" t="s">
        <v>352</v>
      </c>
      <c r="F122" s="39">
        <v>4</v>
      </c>
      <c r="G122" s="39">
        <v>10</v>
      </c>
    </row>
    <row r="123" spans="1:7" ht="18.399999999999999" thickBot="1" x14ac:dyDescent="0.6">
      <c r="A123" s="29">
        <v>122</v>
      </c>
      <c r="B123" s="34" t="s">
        <v>167</v>
      </c>
      <c r="C123" s="43" t="s">
        <v>493</v>
      </c>
      <c r="D123" s="35" t="s">
        <v>369</v>
      </c>
      <c r="E123" s="35" t="s">
        <v>352</v>
      </c>
      <c r="F123" s="40">
        <v>4</v>
      </c>
      <c r="G123" s="40">
        <v>9</v>
      </c>
    </row>
    <row r="124" spans="1:7" ht="18" x14ac:dyDescent="0.55000000000000004">
      <c r="A124" s="29">
        <v>123</v>
      </c>
      <c r="B124" s="31" t="s">
        <v>168</v>
      </c>
      <c r="C124" s="44" t="s">
        <v>494</v>
      </c>
      <c r="D124" s="37" t="s">
        <v>375</v>
      </c>
      <c r="E124" s="37" t="s">
        <v>352</v>
      </c>
      <c r="F124" s="39">
        <v>4</v>
      </c>
      <c r="G124" s="39">
        <v>10</v>
      </c>
    </row>
    <row r="125" spans="1:7" ht="18.399999999999999" thickBot="1" x14ac:dyDescent="0.6">
      <c r="A125" s="29">
        <v>124</v>
      </c>
      <c r="B125" s="34" t="s">
        <v>169</v>
      </c>
      <c r="C125" s="43" t="s">
        <v>495</v>
      </c>
      <c r="D125" s="35" t="s">
        <v>371</v>
      </c>
      <c r="E125" s="35" t="s">
        <v>352</v>
      </c>
      <c r="F125" s="40">
        <v>4</v>
      </c>
      <c r="G125" s="40">
        <v>9</v>
      </c>
    </row>
    <row r="126" spans="1:7" ht="18" x14ac:dyDescent="0.55000000000000004">
      <c r="A126" s="29">
        <v>125</v>
      </c>
      <c r="B126" s="31" t="s">
        <v>23</v>
      </c>
      <c r="C126" s="44" t="s">
        <v>496</v>
      </c>
      <c r="D126" s="32" t="s">
        <v>371</v>
      </c>
      <c r="E126" s="37" t="s">
        <v>352</v>
      </c>
      <c r="F126" s="39">
        <v>4</v>
      </c>
      <c r="G126" s="39">
        <v>7</v>
      </c>
    </row>
    <row r="127" spans="1:7" ht="18.399999999999999" thickBot="1" x14ac:dyDescent="0.6">
      <c r="A127" s="29">
        <v>126</v>
      </c>
      <c r="B127" s="34" t="s">
        <v>170</v>
      </c>
      <c r="C127" s="43" t="s">
        <v>497</v>
      </c>
      <c r="D127" s="35" t="s">
        <v>384</v>
      </c>
      <c r="E127" s="35" t="s">
        <v>352</v>
      </c>
      <c r="F127" s="40">
        <v>4</v>
      </c>
      <c r="G127" s="40">
        <v>8</v>
      </c>
    </row>
    <row r="128" spans="1:7" ht="18" x14ac:dyDescent="0.55000000000000004">
      <c r="A128" s="29">
        <v>127</v>
      </c>
      <c r="B128" s="31" t="s">
        <v>171</v>
      </c>
      <c r="C128" s="44" t="s">
        <v>498</v>
      </c>
      <c r="D128" s="37" t="s">
        <v>369</v>
      </c>
      <c r="E128" s="37" t="s">
        <v>352</v>
      </c>
      <c r="F128" s="39">
        <v>4</v>
      </c>
      <c r="G128" s="39">
        <v>8</v>
      </c>
    </row>
    <row r="129" spans="1:7" ht="18.399999999999999" thickBot="1" x14ac:dyDescent="0.6">
      <c r="A129" s="29">
        <v>128</v>
      </c>
      <c r="B129" s="34" t="s">
        <v>172</v>
      </c>
      <c r="C129" s="43" t="s">
        <v>499</v>
      </c>
      <c r="D129" s="35" t="s">
        <v>375</v>
      </c>
      <c r="E129" s="35" t="s">
        <v>352</v>
      </c>
      <c r="F129" s="40">
        <v>4</v>
      </c>
      <c r="G129" s="40">
        <v>6</v>
      </c>
    </row>
    <row r="130" spans="1:7" ht="18" x14ac:dyDescent="0.55000000000000004">
      <c r="A130" s="29">
        <v>129</v>
      </c>
      <c r="B130" s="31" t="s">
        <v>173</v>
      </c>
      <c r="C130" s="44" t="s">
        <v>500</v>
      </c>
      <c r="D130" s="32" t="s">
        <v>371</v>
      </c>
      <c r="E130" s="37" t="s">
        <v>352</v>
      </c>
      <c r="F130" s="39">
        <v>4</v>
      </c>
      <c r="G130" s="39">
        <v>11</v>
      </c>
    </row>
    <row r="131" spans="1:7" ht="18.399999999999999" thickBot="1" x14ac:dyDescent="0.6">
      <c r="A131" s="29">
        <v>130</v>
      </c>
      <c r="B131" s="34" t="s">
        <v>174</v>
      </c>
      <c r="C131" s="43" t="s">
        <v>501</v>
      </c>
      <c r="D131" s="35" t="s">
        <v>375</v>
      </c>
      <c r="E131" s="35" t="s">
        <v>352</v>
      </c>
      <c r="F131" s="40">
        <v>4</v>
      </c>
      <c r="G131" s="40">
        <v>6</v>
      </c>
    </row>
    <row r="132" spans="1:7" ht="18" x14ac:dyDescent="0.55000000000000004">
      <c r="A132" s="29">
        <v>131</v>
      </c>
      <c r="B132" s="31" t="s">
        <v>175</v>
      </c>
      <c r="C132" s="44" t="s">
        <v>502</v>
      </c>
      <c r="D132" s="37" t="s">
        <v>384</v>
      </c>
      <c r="E132" s="37" t="s">
        <v>352</v>
      </c>
      <c r="F132" s="39">
        <v>4</v>
      </c>
      <c r="G132" s="39">
        <v>8</v>
      </c>
    </row>
    <row r="133" spans="1:7" ht="18.399999999999999" thickBot="1" x14ac:dyDescent="0.6">
      <c r="A133" s="29">
        <v>132</v>
      </c>
      <c r="B133" s="34" t="s">
        <v>176</v>
      </c>
      <c r="C133" s="43" t="s">
        <v>503</v>
      </c>
      <c r="D133" s="35" t="s">
        <v>384</v>
      </c>
      <c r="E133" s="35" t="s">
        <v>352</v>
      </c>
      <c r="F133" s="40">
        <v>4</v>
      </c>
      <c r="G133" s="40">
        <v>6</v>
      </c>
    </row>
    <row r="134" spans="1:7" ht="18" x14ac:dyDescent="0.55000000000000004">
      <c r="A134" s="29">
        <v>133</v>
      </c>
      <c r="B134" s="31" t="s">
        <v>177</v>
      </c>
      <c r="C134" s="44" t="s">
        <v>504</v>
      </c>
      <c r="D134" s="32" t="s">
        <v>371</v>
      </c>
      <c r="E134" s="37" t="s">
        <v>352</v>
      </c>
      <c r="F134" s="39">
        <v>4</v>
      </c>
      <c r="G134" s="39">
        <v>5</v>
      </c>
    </row>
    <row r="135" spans="1:7" ht="18.399999999999999" thickBot="1" x14ac:dyDescent="0.6">
      <c r="A135" s="29">
        <v>134</v>
      </c>
      <c r="B135" s="34" t="s">
        <v>178</v>
      </c>
      <c r="C135" s="43" t="s">
        <v>505</v>
      </c>
      <c r="D135" s="35" t="s">
        <v>369</v>
      </c>
      <c r="E135" s="35" t="s">
        <v>352</v>
      </c>
      <c r="F135" s="40">
        <v>4</v>
      </c>
      <c r="G135" s="40">
        <v>7</v>
      </c>
    </row>
    <row r="136" spans="1:7" ht="18" x14ac:dyDescent="0.55000000000000004">
      <c r="A136" s="29">
        <v>135</v>
      </c>
      <c r="B136" s="31" t="s">
        <v>179</v>
      </c>
      <c r="C136" s="44" t="s">
        <v>506</v>
      </c>
      <c r="D136" s="37" t="s">
        <v>384</v>
      </c>
      <c r="E136" s="37" t="s">
        <v>352</v>
      </c>
      <c r="F136" s="39">
        <v>4</v>
      </c>
      <c r="G136" s="39">
        <v>10</v>
      </c>
    </row>
    <row r="137" spans="1:7" ht="18.399999999999999" thickBot="1" x14ac:dyDescent="0.6">
      <c r="A137" s="29">
        <v>136</v>
      </c>
      <c r="B137" s="34" t="s">
        <v>180</v>
      </c>
      <c r="C137" s="43" t="s">
        <v>507</v>
      </c>
      <c r="D137" s="35" t="s">
        <v>384</v>
      </c>
      <c r="E137" s="35" t="s">
        <v>352</v>
      </c>
      <c r="F137" s="40">
        <v>4</v>
      </c>
      <c r="G137" s="40">
        <v>10</v>
      </c>
    </row>
    <row r="138" spans="1:7" ht="18" x14ac:dyDescent="0.55000000000000004">
      <c r="A138" s="29">
        <v>137</v>
      </c>
      <c r="B138" s="31" t="s">
        <v>181</v>
      </c>
      <c r="C138" s="44" t="s">
        <v>508</v>
      </c>
      <c r="D138" s="32" t="s">
        <v>371</v>
      </c>
      <c r="E138" s="37" t="s">
        <v>352</v>
      </c>
      <c r="F138" s="39">
        <v>4</v>
      </c>
      <c r="G138" s="39">
        <v>6</v>
      </c>
    </row>
    <row r="139" spans="1:7" ht="18.399999999999999" thickBot="1" x14ac:dyDescent="0.6">
      <c r="A139" s="29">
        <v>138</v>
      </c>
      <c r="B139" s="34" t="s">
        <v>182</v>
      </c>
      <c r="C139" s="43" t="s">
        <v>509</v>
      </c>
      <c r="D139" s="35" t="s">
        <v>384</v>
      </c>
      <c r="E139" s="35" t="s">
        <v>352</v>
      </c>
      <c r="F139" s="40">
        <v>4</v>
      </c>
      <c r="G139" s="40">
        <v>9</v>
      </c>
    </row>
    <row r="140" spans="1:7" ht="18" x14ac:dyDescent="0.55000000000000004">
      <c r="A140" s="29">
        <v>139</v>
      </c>
      <c r="B140" s="31" t="s">
        <v>183</v>
      </c>
      <c r="C140" s="44" t="s">
        <v>510</v>
      </c>
      <c r="D140" s="37" t="s">
        <v>371</v>
      </c>
      <c r="E140" s="37" t="s">
        <v>352</v>
      </c>
      <c r="F140" s="39">
        <v>4</v>
      </c>
      <c r="G140" s="39">
        <v>5</v>
      </c>
    </row>
    <row r="141" spans="1:7" ht="18.399999999999999" thickBot="1" x14ac:dyDescent="0.6">
      <c r="A141" s="29">
        <v>140</v>
      </c>
      <c r="B141" s="34" t="s">
        <v>24</v>
      </c>
      <c r="C141" s="43" t="s">
        <v>511</v>
      </c>
      <c r="D141" s="35" t="s">
        <v>371</v>
      </c>
      <c r="E141" s="35" t="s">
        <v>352</v>
      </c>
      <c r="F141" s="40">
        <v>4</v>
      </c>
      <c r="G141" s="40">
        <v>10</v>
      </c>
    </row>
    <row r="142" spans="1:7" ht="18.399999999999999" thickBot="1" x14ac:dyDescent="0.6">
      <c r="A142" s="29">
        <v>141</v>
      </c>
      <c r="B142" s="31" t="s">
        <v>25</v>
      </c>
      <c r="C142" s="44" t="s">
        <v>512</v>
      </c>
      <c r="D142" s="32" t="s">
        <v>375</v>
      </c>
      <c r="E142" s="37" t="s">
        <v>352</v>
      </c>
      <c r="F142" s="39">
        <v>4</v>
      </c>
      <c r="G142" s="39">
        <v>9</v>
      </c>
    </row>
    <row r="143" spans="1:7" ht="18.399999999999999" thickBot="1" x14ac:dyDescent="0.6">
      <c r="A143" s="29">
        <v>142</v>
      </c>
      <c r="B143" s="34" t="s">
        <v>26</v>
      </c>
      <c r="C143" s="45" t="s">
        <v>513</v>
      </c>
      <c r="D143" s="35" t="s">
        <v>384</v>
      </c>
      <c r="E143" s="35" t="s">
        <v>350</v>
      </c>
      <c r="F143" s="40">
        <v>5</v>
      </c>
      <c r="G143" s="40">
        <v>3</v>
      </c>
    </row>
    <row r="144" spans="1:7" ht="18" x14ac:dyDescent="0.55000000000000004">
      <c r="A144" s="29">
        <v>143</v>
      </c>
      <c r="B144" s="31" t="s">
        <v>184</v>
      </c>
      <c r="C144" s="44" t="s">
        <v>514</v>
      </c>
      <c r="D144" s="37" t="s">
        <v>369</v>
      </c>
      <c r="E144" s="37" t="s">
        <v>350</v>
      </c>
      <c r="F144" s="39">
        <v>5</v>
      </c>
      <c r="G144" s="39">
        <v>6</v>
      </c>
    </row>
    <row r="145" spans="1:7" ht="18.399999999999999" thickBot="1" x14ac:dyDescent="0.6">
      <c r="A145" s="29">
        <v>144</v>
      </c>
      <c r="B145" s="34" t="s">
        <v>185</v>
      </c>
      <c r="C145" s="43" t="s">
        <v>515</v>
      </c>
      <c r="D145" s="35" t="s">
        <v>384</v>
      </c>
      <c r="E145" s="35" t="s">
        <v>350</v>
      </c>
      <c r="F145" s="40">
        <v>5</v>
      </c>
      <c r="G145" s="40">
        <v>4</v>
      </c>
    </row>
    <row r="146" spans="1:7" ht="18" x14ac:dyDescent="0.55000000000000004">
      <c r="A146" s="29">
        <v>145</v>
      </c>
      <c r="B146" s="31" t="s">
        <v>186</v>
      </c>
      <c r="C146" s="44" t="s">
        <v>516</v>
      </c>
      <c r="D146" s="32" t="s">
        <v>375</v>
      </c>
      <c r="E146" s="37" t="s">
        <v>350</v>
      </c>
      <c r="F146" s="39">
        <v>5</v>
      </c>
      <c r="G146" s="39">
        <v>11</v>
      </c>
    </row>
    <row r="147" spans="1:7" ht="18.399999999999999" thickBot="1" x14ac:dyDescent="0.6">
      <c r="A147" s="29">
        <v>146</v>
      </c>
      <c r="B147" s="34" t="s">
        <v>187</v>
      </c>
      <c r="C147" s="43" t="s">
        <v>517</v>
      </c>
      <c r="D147" s="35" t="s">
        <v>375</v>
      </c>
      <c r="E147" s="35" t="s">
        <v>350</v>
      </c>
      <c r="F147" s="40">
        <v>5</v>
      </c>
      <c r="G147" s="40">
        <v>6</v>
      </c>
    </row>
    <row r="148" spans="1:7" ht="18" x14ac:dyDescent="0.55000000000000004">
      <c r="A148" s="29">
        <v>147</v>
      </c>
      <c r="B148" s="31" t="s">
        <v>188</v>
      </c>
      <c r="C148" s="44" t="s">
        <v>518</v>
      </c>
      <c r="D148" s="37" t="s">
        <v>371</v>
      </c>
      <c r="E148" s="37" t="s">
        <v>350</v>
      </c>
      <c r="F148" s="39">
        <v>5</v>
      </c>
      <c r="G148" s="39">
        <v>4</v>
      </c>
    </row>
    <row r="149" spans="1:7" ht="18.399999999999999" thickBot="1" x14ac:dyDescent="0.6">
      <c r="A149" s="29">
        <v>148</v>
      </c>
      <c r="B149" s="34" t="s">
        <v>189</v>
      </c>
      <c r="C149" s="43" t="s">
        <v>519</v>
      </c>
      <c r="D149" s="35" t="s">
        <v>375</v>
      </c>
      <c r="E149" s="35" t="s">
        <v>350</v>
      </c>
      <c r="F149" s="40">
        <v>5</v>
      </c>
      <c r="G149" s="40">
        <v>4</v>
      </c>
    </row>
    <row r="150" spans="1:7" ht="18" x14ac:dyDescent="0.55000000000000004">
      <c r="A150" s="29">
        <v>149</v>
      </c>
      <c r="B150" s="31" t="s">
        <v>190</v>
      </c>
      <c r="C150" s="44" t="s">
        <v>520</v>
      </c>
      <c r="D150" s="32" t="s">
        <v>384</v>
      </c>
      <c r="E150" s="37" t="s">
        <v>350</v>
      </c>
      <c r="F150" s="39">
        <v>5</v>
      </c>
      <c r="G150" s="39">
        <v>8</v>
      </c>
    </row>
    <row r="151" spans="1:7" ht="18.399999999999999" thickBot="1" x14ac:dyDescent="0.6">
      <c r="A151" s="29">
        <v>150</v>
      </c>
      <c r="B151" s="34" t="s">
        <v>191</v>
      </c>
      <c r="C151" s="43" t="s">
        <v>521</v>
      </c>
      <c r="D151" s="35" t="s">
        <v>369</v>
      </c>
      <c r="E151" s="35" t="s">
        <v>350</v>
      </c>
      <c r="F151" s="40">
        <v>5</v>
      </c>
      <c r="G151" s="40">
        <v>7</v>
      </c>
    </row>
    <row r="152" spans="1:7" ht="18" x14ac:dyDescent="0.55000000000000004">
      <c r="A152" s="29">
        <v>151</v>
      </c>
      <c r="B152" s="31" t="s">
        <v>192</v>
      </c>
      <c r="C152" s="44" t="s">
        <v>522</v>
      </c>
      <c r="D152" s="37" t="s">
        <v>375</v>
      </c>
      <c r="E152" s="37" t="s">
        <v>350</v>
      </c>
      <c r="F152" s="39">
        <v>5</v>
      </c>
      <c r="G152" s="39">
        <v>8</v>
      </c>
    </row>
    <row r="153" spans="1:7" ht="18.399999999999999" thickBot="1" x14ac:dyDescent="0.6">
      <c r="A153" s="29">
        <v>152</v>
      </c>
      <c r="B153" s="34" t="s">
        <v>193</v>
      </c>
      <c r="C153" s="43" t="s">
        <v>523</v>
      </c>
      <c r="D153" s="35" t="s">
        <v>384</v>
      </c>
      <c r="E153" s="35" t="s">
        <v>350</v>
      </c>
      <c r="F153" s="40">
        <v>5</v>
      </c>
      <c r="G153" s="40">
        <v>7</v>
      </c>
    </row>
    <row r="154" spans="1:7" ht="18" x14ac:dyDescent="0.55000000000000004">
      <c r="A154" s="29">
        <v>153</v>
      </c>
      <c r="B154" s="31" t="s">
        <v>194</v>
      </c>
      <c r="C154" s="44" t="s">
        <v>524</v>
      </c>
      <c r="D154" s="32" t="s">
        <v>371</v>
      </c>
      <c r="E154" s="37" t="s">
        <v>350</v>
      </c>
      <c r="F154" s="39">
        <v>5</v>
      </c>
      <c r="G154" s="39">
        <v>11</v>
      </c>
    </row>
    <row r="155" spans="1:7" ht="18.399999999999999" thickBot="1" x14ac:dyDescent="0.6">
      <c r="A155" s="29">
        <v>154</v>
      </c>
      <c r="B155" s="34" t="s">
        <v>195</v>
      </c>
      <c r="C155" s="43" t="s">
        <v>525</v>
      </c>
      <c r="D155" s="35" t="s">
        <v>369</v>
      </c>
      <c r="E155" s="35" t="s">
        <v>350</v>
      </c>
      <c r="F155" s="40">
        <v>5</v>
      </c>
      <c r="G155" s="40">
        <v>10</v>
      </c>
    </row>
    <row r="156" spans="1:7" ht="18" x14ac:dyDescent="0.55000000000000004">
      <c r="A156" s="29">
        <v>155</v>
      </c>
      <c r="B156" s="31" t="s">
        <v>196</v>
      </c>
      <c r="C156" s="44" t="s">
        <v>526</v>
      </c>
      <c r="D156" s="37" t="s">
        <v>371</v>
      </c>
      <c r="E156" s="37" t="s">
        <v>350</v>
      </c>
      <c r="F156" s="39">
        <v>5</v>
      </c>
      <c r="G156" s="39">
        <v>7</v>
      </c>
    </row>
    <row r="157" spans="1:7" ht="18.399999999999999" thickBot="1" x14ac:dyDescent="0.6">
      <c r="A157" s="29">
        <v>156</v>
      </c>
      <c r="B157" s="34" t="s">
        <v>197</v>
      </c>
      <c r="C157" s="43" t="s">
        <v>527</v>
      </c>
      <c r="D157" s="35" t="s">
        <v>375</v>
      </c>
      <c r="E157" s="35" t="s">
        <v>350</v>
      </c>
      <c r="F157" s="40">
        <v>5</v>
      </c>
      <c r="G157" s="40">
        <v>6</v>
      </c>
    </row>
    <row r="158" spans="1:7" ht="18" x14ac:dyDescent="0.55000000000000004">
      <c r="A158" s="29">
        <v>157</v>
      </c>
      <c r="B158" s="31" t="s">
        <v>198</v>
      </c>
      <c r="C158" s="44" t="s">
        <v>528</v>
      </c>
      <c r="D158" s="32" t="s">
        <v>369</v>
      </c>
      <c r="E158" s="37" t="s">
        <v>350</v>
      </c>
      <c r="F158" s="39">
        <v>5</v>
      </c>
      <c r="G158" s="39">
        <v>6</v>
      </c>
    </row>
    <row r="159" spans="1:7" ht="18.399999999999999" thickBot="1" x14ac:dyDescent="0.6">
      <c r="A159" s="29">
        <v>158</v>
      </c>
      <c r="B159" s="34" t="s">
        <v>199</v>
      </c>
      <c r="C159" s="43" t="s">
        <v>529</v>
      </c>
      <c r="D159" s="35" t="s">
        <v>371</v>
      </c>
      <c r="E159" s="35" t="s">
        <v>350</v>
      </c>
      <c r="F159" s="40">
        <v>5</v>
      </c>
      <c r="G159" s="40">
        <v>8</v>
      </c>
    </row>
    <row r="160" spans="1:7" ht="18" x14ac:dyDescent="0.55000000000000004">
      <c r="A160" s="29">
        <v>159</v>
      </c>
      <c r="B160" s="31" t="s">
        <v>200</v>
      </c>
      <c r="C160" s="44" t="s">
        <v>530</v>
      </c>
      <c r="D160" s="37" t="s">
        <v>384</v>
      </c>
      <c r="E160" s="37" t="s">
        <v>350</v>
      </c>
      <c r="F160" s="39">
        <v>5</v>
      </c>
      <c r="G160" s="39">
        <v>4</v>
      </c>
    </row>
    <row r="161" spans="1:7" ht="18.399999999999999" thickBot="1" x14ac:dyDescent="0.6">
      <c r="A161" s="29">
        <v>160</v>
      </c>
      <c r="B161" s="34" t="s">
        <v>201</v>
      </c>
      <c r="C161" s="43" t="s">
        <v>531</v>
      </c>
      <c r="D161" s="35" t="s">
        <v>369</v>
      </c>
      <c r="E161" s="35" t="s">
        <v>350</v>
      </c>
      <c r="F161" s="40">
        <v>5</v>
      </c>
      <c r="G161" s="40">
        <v>8</v>
      </c>
    </row>
    <row r="162" spans="1:7" ht="18" x14ac:dyDescent="0.55000000000000004">
      <c r="A162" s="29">
        <v>161</v>
      </c>
      <c r="B162" s="31" t="s">
        <v>202</v>
      </c>
      <c r="C162" s="44" t="s">
        <v>532</v>
      </c>
      <c r="D162" s="32" t="s">
        <v>371</v>
      </c>
      <c r="E162" s="37" t="s">
        <v>350</v>
      </c>
      <c r="F162" s="39">
        <v>5</v>
      </c>
      <c r="G162" s="39">
        <v>6</v>
      </c>
    </row>
    <row r="163" spans="1:7" ht="18.399999999999999" thickBot="1" x14ac:dyDescent="0.6">
      <c r="A163" s="29">
        <v>162</v>
      </c>
      <c r="B163" s="34" t="s">
        <v>203</v>
      </c>
      <c r="C163" s="43" t="s">
        <v>533</v>
      </c>
      <c r="D163" s="35" t="s">
        <v>384</v>
      </c>
      <c r="E163" s="35" t="s">
        <v>350</v>
      </c>
      <c r="F163" s="40">
        <v>5</v>
      </c>
      <c r="G163" s="40">
        <v>9</v>
      </c>
    </row>
    <row r="164" spans="1:7" ht="18" x14ac:dyDescent="0.55000000000000004">
      <c r="A164" s="29">
        <v>163</v>
      </c>
      <c r="B164" s="31" t="s">
        <v>204</v>
      </c>
      <c r="C164" s="44" t="s">
        <v>534</v>
      </c>
      <c r="D164" s="37" t="s">
        <v>371</v>
      </c>
      <c r="E164" s="37" t="s">
        <v>350</v>
      </c>
      <c r="F164" s="39">
        <v>5</v>
      </c>
      <c r="G164" s="39">
        <v>9</v>
      </c>
    </row>
    <row r="165" spans="1:7" ht="18.399999999999999" thickBot="1" x14ac:dyDescent="0.6">
      <c r="A165" s="29">
        <v>164</v>
      </c>
      <c r="B165" s="34" t="s">
        <v>205</v>
      </c>
      <c r="C165" s="43" t="s">
        <v>535</v>
      </c>
      <c r="D165" s="35" t="s">
        <v>375</v>
      </c>
      <c r="E165" s="35" t="s">
        <v>350</v>
      </c>
      <c r="F165" s="40">
        <v>5</v>
      </c>
      <c r="G165" s="40">
        <v>4</v>
      </c>
    </row>
    <row r="166" spans="1:7" ht="18" x14ac:dyDescent="0.55000000000000004">
      <c r="A166" s="29">
        <v>165</v>
      </c>
      <c r="B166" s="31" t="s">
        <v>206</v>
      </c>
      <c r="C166" s="44" t="s">
        <v>536</v>
      </c>
      <c r="D166" s="32" t="s">
        <v>375</v>
      </c>
      <c r="E166" s="37" t="s">
        <v>350</v>
      </c>
      <c r="F166" s="39">
        <v>5</v>
      </c>
      <c r="G166" s="39">
        <v>6</v>
      </c>
    </row>
    <row r="167" spans="1:7" ht="18.399999999999999" thickBot="1" x14ac:dyDescent="0.6">
      <c r="A167" s="29">
        <v>166</v>
      </c>
      <c r="B167" s="34" t="s">
        <v>207</v>
      </c>
      <c r="C167" s="43" t="s">
        <v>537</v>
      </c>
      <c r="D167" s="35" t="s">
        <v>375</v>
      </c>
      <c r="E167" s="35" t="s">
        <v>350</v>
      </c>
      <c r="F167" s="40">
        <v>5</v>
      </c>
      <c r="G167" s="40">
        <v>5</v>
      </c>
    </row>
    <row r="168" spans="1:7" ht="18" x14ac:dyDescent="0.55000000000000004">
      <c r="A168" s="29">
        <v>167</v>
      </c>
      <c r="B168" s="31" t="s">
        <v>208</v>
      </c>
      <c r="C168" s="44" t="s">
        <v>538</v>
      </c>
      <c r="D168" s="37" t="s">
        <v>369</v>
      </c>
      <c r="E168" s="37" t="s">
        <v>350</v>
      </c>
      <c r="F168" s="39">
        <v>5</v>
      </c>
      <c r="G168" s="39">
        <v>5</v>
      </c>
    </row>
    <row r="169" spans="1:7" ht="18.399999999999999" thickBot="1" x14ac:dyDescent="0.6">
      <c r="A169" s="29">
        <v>168</v>
      </c>
      <c r="B169" s="34" t="s">
        <v>209</v>
      </c>
      <c r="C169" s="43" t="s">
        <v>539</v>
      </c>
      <c r="D169" s="35" t="s">
        <v>371</v>
      </c>
      <c r="E169" s="35" t="s">
        <v>350</v>
      </c>
      <c r="F169" s="40">
        <v>5</v>
      </c>
      <c r="G169" s="40">
        <v>6</v>
      </c>
    </row>
    <row r="170" spans="1:7" ht="18" x14ac:dyDescent="0.55000000000000004">
      <c r="A170" s="29">
        <v>169</v>
      </c>
      <c r="B170" s="31" t="s">
        <v>210</v>
      </c>
      <c r="C170" s="44" t="s">
        <v>540</v>
      </c>
      <c r="D170" s="32" t="s">
        <v>369</v>
      </c>
      <c r="E170" s="37" t="s">
        <v>350</v>
      </c>
      <c r="F170" s="39">
        <v>5</v>
      </c>
      <c r="G170" s="39">
        <v>5</v>
      </c>
    </row>
    <row r="171" spans="1:7" ht="18.399999999999999" thickBot="1" x14ac:dyDescent="0.6">
      <c r="A171" s="29">
        <v>170</v>
      </c>
      <c r="B171" s="34" t="s">
        <v>211</v>
      </c>
      <c r="C171" s="43" t="s">
        <v>541</v>
      </c>
      <c r="D171" s="35" t="s">
        <v>384</v>
      </c>
      <c r="E171" s="35" t="s">
        <v>350</v>
      </c>
      <c r="F171" s="40">
        <v>5</v>
      </c>
      <c r="G171" s="40">
        <v>3</v>
      </c>
    </row>
    <row r="172" spans="1:7" ht="18" x14ac:dyDescent="0.55000000000000004">
      <c r="A172" s="29">
        <v>171</v>
      </c>
      <c r="B172" s="31" t="s">
        <v>212</v>
      </c>
      <c r="C172" s="44" t="s">
        <v>542</v>
      </c>
      <c r="D172" s="37" t="s">
        <v>375</v>
      </c>
      <c r="E172" s="37" t="s">
        <v>350</v>
      </c>
      <c r="F172" s="39">
        <v>5</v>
      </c>
      <c r="G172" s="39">
        <v>7</v>
      </c>
    </row>
    <row r="173" spans="1:7" ht="18.399999999999999" thickBot="1" x14ac:dyDescent="0.6">
      <c r="A173" s="29">
        <v>172</v>
      </c>
      <c r="B173" s="34" t="s">
        <v>213</v>
      </c>
      <c r="C173" s="43" t="s">
        <v>543</v>
      </c>
      <c r="D173" s="35" t="s">
        <v>384</v>
      </c>
      <c r="E173" s="35" t="s">
        <v>350</v>
      </c>
      <c r="F173" s="40">
        <v>5</v>
      </c>
      <c r="G173" s="40">
        <v>4</v>
      </c>
    </row>
    <row r="174" spans="1:7" ht="18" x14ac:dyDescent="0.55000000000000004">
      <c r="A174" s="29">
        <v>173</v>
      </c>
      <c r="B174" s="31" t="s">
        <v>214</v>
      </c>
      <c r="C174" s="42" t="s">
        <v>544</v>
      </c>
      <c r="D174" s="32" t="s">
        <v>369</v>
      </c>
      <c r="E174" s="37" t="s">
        <v>350</v>
      </c>
      <c r="F174" s="39">
        <v>6</v>
      </c>
      <c r="G174" s="39">
        <v>6</v>
      </c>
    </row>
    <row r="175" spans="1:7" ht="18.399999999999999" thickBot="1" x14ac:dyDescent="0.6">
      <c r="A175" s="29">
        <v>174</v>
      </c>
      <c r="B175" s="34" t="s">
        <v>215</v>
      </c>
      <c r="C175" s="43" t="s">
        <v>545</v>
      </c>
      <c r="D175" s="35" t="s">
        <v>375</v>
      </c>
      <c r="E175" s="35" t="s">
        <v>350</v>
      </c>
      <c r="F175" s="40">
        <v>6</v>
      </c>
      <c r="G175" s="40">
        <v>3</v>
      </c>
    </row>
    <row r="176" spans="1:7" ht="18" x14ac:dyDescent="0.55000000000000004">
      <c r="A176" s="29">
        <v>175</v>
      </c>
      <c r="B176" s="31" t="s">
        <v>27</v>
      </c>
      <c r="C176" s="44" t="s">
        <v>546</v>
      </c>
      <c r="D176" s="37" t="s">
        <v>384</v>
      </c>
      <c r="E176" s="37" t="s">
        <v>350</v>
      </c>
      <c r="F176" s="39">
        <v>6</v>
      </c>
      <c r="G176" s="39">
        <v>11</v>
      </c>
    </row>
    <row r="177" spans="1:7" ht="18.399999999999999" thickBot="1" x14ac:dyDescent="0.6">
      <c r="A177" s="29">
        <v>176</v>
      </c>
      <c r="B177" s="34" t="s">
        <v>216</v>
      </c>
      <c r="C177" s="43" t="s">
        <v>547</v>
      </c>
      <c r="D177" s="35" t="s">
        <v>369</v>
      </c>
      <c r="E177" s="35" t="s">
        <v>350</v>
      </c>
      <c r="F177" s="40">
        <v>6</v>
      </c>
      <c r="G177" s="40">
        <v>4</v>
      </c>
    </row>
    <row r="178" spans="1:7" ht="18" x14ac:dyDescent="0.55000000000000004">
      <c r="A178" s="29">
        <v>177</v>
      </c>
      <c r="B178" s="31" t="s">
        <v>28</v>
      </c>
      <c r="C178" s="44" t="s">
        <v>548</v>
      </c>
      <c r="D178" s="32" t="s">
        <v>371</v>
      </c>
      <c r="E178" s="37" t="s">
        <v>350</v>
      </c>
      <c r="F178" s="39">
        <v>6</v>
      </c>
      <c r="G178" s="39">
        <v>11</v>
      </c>
    </row>
    <row r="179" spans="1:7" ht="18.399999999999999" thickBot="1" x14ac:dyDescent="0.6">
      <c r="A179" s="29">
        <v>178</v>
      </c>
      <c r="B179" s="34" t="s">
        <v>29</v>
      </c>
      <c r="C179" s="43" t="s">
        <v>549</v>
      </c>
      <c r="D179" s="35" t="s">
        <v>384</v>
      </c>
      <c r="E179" s="35" t="s">
        <v>350</v>
      </c>
      <c r="F179" s="40">
        <v>6</v>
      </c>
      <c r="G179" s="40">
        <v>11</v>
      </c>
    </row>
    <row r="180" spans="1:7" ht="18" x14ac:dyDescent="0.55000000000000004">
      <c r="A180" s="29">
        <v>179</v>
      </c>
      <c r="B180" s="31" t="s">
        <v>217</v>
      </c>
      <c r="C180" s="44" t="s">
        <v>550</v>
      </c>
      <c r="D180" s="37" t="s">
        <v>369</v>
      </c>
      <c r="E180" s="37" t="s">
        <v>350</v>
      </c>
      <c r="F180" s="39">
        <v>6</v>
      </c>
      <c r="G180" s="39">
        <v>2</v>
      </c>
    </row>
    <row r="181" spans="1:7" ht="18.399999999999999" thickBot="1" x14ac:dyDescent="0.6">
      <c r="A181" s="29">
        <v>180</v>
      </c>
      <c r="B181" s="34" t="s">
        <v>218</v>
      </c>
      <c r="C181" s="43" t="s">
        <v>551</v>
      </c>
      <c r="D181" s="35" t="s">
        <v>369</v>
      </c>
      <c r="E181" s="35" t="s">
        <v>350</v>
      </c>
      <c r="F181" s="40">
        <v>6</v>
      </c>
      <c r="G181" s="40">
        <v>6</v>
      </c>
    </row>
    <row r="182" spans="1:7" ht="18" x14ac:dyDescent="0.55000000000000004">
      <c r="A182" s="29">
        <v>181</v>
      </c>
      <c r="B182" s="31" t="s">
        <v>30</v>
      </c>
      <c r="C182" s="44" t="s">
        <v>552</v>
      </c>
      <c r="D182" s="32" t="s">
        <v>375</v>
      </c>
      <c r="E182" s="37" t="s">
        <v>350</v>
      </c>
      <c r="F182" s="39">
        <v>6</v>
      </c>
      <c r="G182" s="39">
        <v>4</v>
      </c>
    </row>
    <row r="183" spans="1:7" ht="18.399999999999999" thickBot="1" x14ac:dyDescent="0.6">
      <c r="A183" s="29">
        <v>182</v>
      </c>
      <c r="B183" s="34" t="s">
        <v>219</v>
      </c>
      <c r="C183" s="43" t="s">
        <v>553</v>
      </c>
      <c r="D183" s="35" t="s">
        <v>371</v>
      </c>
      <c r="E183" s="35" t="s">
        <v>350</v>
      </c>
      <c r="F183" s="40">
        <v>6</v>
      </c>
      <c r="G183" s="40">
        <v>9</v>
      </c>
    </row>
    <row r="184" spans="1:7" ht="18" x14ac:dyDescent="0.55000000000000004">
      <c r="A184" s="29">
        <v>183</v>
      </c>
      <c r="B184" s="31" t="s">
        <v>220</v>
      </c>
      <c r="C184" s="44" t="s">
        <v>554</v>
      </c>
      <c r="D184" s="37" t="s">
        <v>375</v>
      </c>
      <c r="E184" s="37" t="s">
        <v>350</v>
      </c>
      <c r="F184" s="39">
        <v>6</v>
      </c>
      <c r="G184" s="39">
        <v>6</v>
      </c>
    </row>
    <row r="185" spans="1:7" ht="18.399999999999999" thickBot="1" x14ac:dyDescent="0.6">
      <c r="A185" s="29">
        <v>184</v>
      </c>
      <c r="B185" s="34" t="s">
        <v>221</v>
      </c>
      <c r="C185" s="43" t="s">
        <v>555</v>
      </c>
      <c r="D185" s="35" t="s">
        <v>369</v>
      </c>
      <c r="E185" s="35" t="s">
        <v>350</v>
      </c>
      <c r="F185" s="40">
        <v>6</v>
      </c>
      <c r="G185" s="40">
        <v>5</v>
      </c>
    </row>
    <row r="186" spans="1:7" ht="18" x14ac:dyDescent="0.55000000000000004">
      <c r="A186" s="29">
        <v>185</v>
      </c>
      <c r="B186" s="31" t="s">
        <v>222</v>
      </c>
      <c r="C186" s="44" t="s">
        <v>556</v>
      </c>
      <c r="D186" s="32" t="s">
        <v>371</v>
      </c>
      <c r="E186" s="37" t="s">
        <v>350</v>
      </c>
      <c r="F186" s="39">
        <v>6</v>
      </c>
      <c r="G186" s="39">
        <v>6</v>
      </c>
    </row>
    <row r="187" spans="1:7" ht="18.399999999999999" thickBot="1" x14ac:dyDescent="0.6">
      <c r="A187" s="29">
        <v>186</v>
      </c>
      <c r="B187" s="34" t="s">
        <v>223</v>
      </c>
      <c r="C187" s="43" t="s">
        <v>557</v>
      </c>
      <c r="D187" s="35" t="s">
        <v>384</v>
      </c>
      <c r="E187" s="35" t="s">
        <v>350</v>
      </c>
      <c r="F187" s="40">
        <v>6</v>
      </c>
      <c r="G187" s="40">
        <v>4</v>
      </c>
    </row>
    <row r="188" spans="1:7" ht="18" x14ac:dyDescent="0.55000000000000004">
      <c r="A188" s="29">
        <v>187</v>
      </c>
      <c r="B188" s="31" t="s">
        <v>224</v>
      </c>
      <c r="C188" s="44" t="s">
        <v>558</v>
      </c>
      <c r="D188" s="37" t="s">
        <v>375</v>
      </c>
      <c r="E188" s="37" t="s">
        <v>350</v>
      </c>
      <c r="F188" s="39">
        <v>6</v>
      </c>
      <c r="G188" s="39">
        <v>10</v>
      </c>
    </row>
    <row r="189" spans="1:7" ht="18.399999999999999" thickBot="1" x14ac:dyDescent="0.6">
      <c r="A189" s="29">
        <v>188</v>
      </c>
      <c r="B189" s="34" t="s">
        <v>225</v>
      </c>
      <c r="C189" s="43" t="s">
        <v>559</v>
      </c>
      <c r="D189" s="35" t="s">
        <v>371</v>
      </c>
      <c r="E189" s="35" t="s">
        <v>350</v>
      </c>
      <c r="F189" s="40">
        <v>6</v>
      </c>
      <c r="G189" s="40">
        <v>4</v>
      </c>
    </row>
    <row r="190" spans="1:7" ht="18" x14ac:dyDescent="0.55000000000000004">
      <c r="A190" s="29">
        <v>189</v>
      </c>
      <c r="B190" s="31" t="s">
        <v>31</v>
      </c>
      <c r="C190" s="44" t="s">
        <v>560</v>
      </c>
      <c r="D190" s="32" t="s">
        <v>371</v>
      </c>
      <c r="E190" s="37" t="s">
        <v>350</v>
      </c>
      <c r="F190" s="39">
        <v>6</v>
      </c>
      <c r="G190" s="39">
        <v>6</v>
      </c>
    </row>
    <row r="191" spans="1:7" ht="18.399999999999999" thickBot="1" x14ac:dyDescent="0.6">
      <c r="A191" s="29">
        <v>190</v>
      </c>
      <c r="B191" s="34" t="s">
        <v>226</v>
      </c>
      <c r="C191" s="43" t="s">
        <v>561</v>
      </c>
      <c r="D191" s="35" t="s">
        <v>375</v>
      </c>
      <c r="E191" s="35" t="s">
        <v>350</v>
      </c>
      <c r="F191" s="40">
        <v>6</v>
      </c>
      <c r="G191" s="40">
        <v>9</v>
      </c>
    </row>
    <row r="192" spans="1:7" ht="18" x14ac:dyDescent="0.55000000000000004">
      <c r="A192" s="29">
        <v>191</v>
      </c>
      <c r="B192" s="31" t="s">
        <v>227</v>
      </c>
      <c r="C192" s="44" t="s">
        <v>562</v>
      </c>
      <c r="D192" s="37" t="s">
        <v>369</v>
      </c>
      <c r="E192" s="37" t="s">
        <v>350</v>
      </c>
      <c r="F192" s="39">
        <v>6</v>
      </c>
      <c r="G192" s="39">
        <v>7</v>
      </c>
    </row>
    <row r="193" spans="1:7" ht="18.399999999999999" thickBot="1" x14ac:dyDescent="0.6">
      <c r="A193" s="29">
        <v>192</v>
      </c>
      <c r="B193" s="34" t="s">
        <v>228</v>
      </c>
      <c r="C193" s="43" t="s">
        <v>563</v>
      </c>
      <c r="D193" s="35" t="s">
        <v>384</v>
      </c>
      <c r="E193" s="35" t="s">
        <v>350</v>
      </c>
      <c r="F193" s="40">
        <v>6</v>
      </c>
      <c r="G193" s="40">
        <v>6</v>
      </c>
    </row>
    <row r="194" spans="1:7" ht="18" x14ac:dyDescent="0.55000000000000004">
      <c r="A194" s="29">
        <v>193</v>
      </c>
      <c r="B194" s="31" t="s">
        <v>32</v>
      </c>
      <c r="C194" s="44" t="s">
        <v>564</v>
      </c>
      <c r="D194" s="32" t="s">
        <v>371</v>
      </c>
      <c r="E194" s="37" t="s">
        <v>350</v>
      </c>
      <c r="F194" s="39">
        <v>6</v>
      </c>
      <c r="G194" s="39">
        <v>4</v>
      </c>
    </row>
    <row r="195" spans="1:7" ht="18.399999999999999" thickBot="1" x14ac:dyDescent="0.6">
      <c r="A195" s="29">
        <v>194</v>
      </c>
      <c r="B195" s="34" t="s">
        <v>229</v>
      </c>
      <c r="C195" s="43" t="s">
        <v>565</v>
      </c>
      <c r="D195" s="35" t="s">
        <v>371</v>
      </c>
      <c r="E195" s="35" t="s">
        <v>350</v>
      </c>
      <c r="F195" s="40">
        <v>6</v>
      </c>
      <c r="G195" s="40">
        <v>6</v>
      </c>
    </row>
    <row r="196" spans="1:7" ht="18" x14ac:dyDescent="0.55000000000000004">
      <c r="A196" s="29">
        <v>195</v>
      </c>
      <c r="B196" s="31" t="s">
        <v>230</v>
      </c>
      <c r="C196" s="44" t="s">
        <v>566</v>
      </c>
      <c r="D196" s="37" t="s">
        <v>384</v>
      </c>
      <c r="E196" s="37" t="s">
        <v>350</v>
      </c>
      <c r="F196" s="39">
        <v>6</v>
      </c>
      <c r="G196" s="39">
        <v>7</v>
      </c>
    </row>
    <row r="197" spans="1:7" ht="18.399999999999999" thickBot="1" x14ac:dyDescent="0.6">
      <c r="A197" s="29">
        <v>196</v>
      </c>
      <c r="B197" s="34" t="s">
        <v>231</v>
      </c>
      <c r="C197" s="43" t="s">
        <v>567</v>
      </c>
      <c r="D197" s="35" t="s">
        <v>384</v>
      </c>
      <c r="E197" s="35" t="s">
        <v>350</v>
      </c>
      <c r="F197" s="40">
        <v>6</v>
      </c>
      <c r="G197" s="40">
        <v>7</v>
      </c>
    </row>
    <row r="198" spans="1:7" ht="18" x14ac:dyDescent="0.55000000000000004">
      <c r="A198" s="29">
        <v>197</v>
      </c>
      <c r="B198" s="31" t="s">
        <v>232</v>
      </c>
      <c r="C198" s="44" t="s">
        <v>568</v>
      </c>
      <c r="D198" s="32" t="s">
        <v>369</v>
      </c>
      <c r="E198" s="37" t="s">
        <v>350</v>
      </c>
      <c r="F198" s="39">
        <v>6</v>
      </c>
      <c r="G198" s="39">
        <v>10</v>
      </c>
    </row>
    <row r="199" spans="1:7" ht="18.399999999999999" thickBot="1" x14ac:dyDescent="0.6">
      <c r="A199" s="29">
        <v>198</v>
      </c>
      <c r="B199" s="34" t="s">
        <v>233</v>
      </c>
      <c r="C199" s="43" t="s">
        <v>569</v>
      </c>
      <c r="D199" s="35" t="s">
        <v>369</v>
      </c>
      <c r="E199" s="35" t="s">
        <v>350</v>
      </c>
      <c r="F199" s="40">
        <v>6</v>
      </c>
      <c r="G199" s="40">
        <v>7</v>
      </c>
    </row>
    <row r="200" spans="1:7" ht="18" x14ac:dyDescent="0.55000000000000004">
      <c r="A200" s="29">
        <v>199</v>
      </c>
      <c r="B200" s="31" t="s">
        <v>234</v>
      </c>
      <c r="C200" s="44" t="s">
        <v>570</v>
      </c>
      <c r="D200" s="37" t="s">
        <v>375</v>
      </c>
      <c r="E200" s="37" t="s">
        <v>350</v>
      </c>
      <c r="F200" s="39">
        <v>6</v>
      </c>
      <c r="G200" s="39">
        <v>5</v>
      </c>
    </row>
    <row r="201" spans="1:7" ht="18.399999999999999" thickBot="1" x14ac:dyDescent="0.6">
      <c r="A201" s="29">
        <v>200</v>
      </c>
      <c r="B201" s="34" t="s">
        <v>235</v>
      </c>
      <c r="C201" s="43" t="s">
        <v>571</v>
      </c>
      <c r="D201" s="35" t="s">
        <v>384</v>
      </c>
      <c r="E201" s="35" t="s">
        <v>350</v>
      </c>
      <c r="F201" s="40">
        <v>6</v>
      </c>
      <c r="G201" s="40">
        <v>10</v>
      </c>
    </row>
    <row r="202" spans="1:7" ht="18.399999999999999" thickBot="1" x14ac:dyDescent="0.6">
      <c r="A202" s="29">
        <v>201</v>
      </c>
      <c r="B202" s="31" t="s">
        <v>236</v>
      </c>
      <c r="C202" s="44" t="s">
        <v>572</v>
      </c>
      <c r="D202" s="32" t="s">
        <v>375</v>
      </c>
      <c r="E202" s="37" t="s">
        <v>350</v>
      </c>
      <c r="F202" s="39">
        <v>6</v>
      </c>
      <c r="G202" s="39">
        <v>5</v>
      </c>
    </row>
    <row r="203" spans="1:7" ht="18.399999999999999" thickBot="1" x14ac:dyDescent="0.6">
      <c r="A203" s="29">
        <v>202</v>
      </c>
      <c r="B203" s="34" t="s">
        <v>237</v>
      </c>
      <c r="C203" s="45" t="s">
        <v>573</v>
      </c>
      <c r="D203" s="35" t="s">
        <v>375</v>
      </c>
      <c r="E203" s="35" t="s">
        <v>350</v>
      </c>
      <c r="F203" s="40">
        <v>7</v>
      </c>
      <c r="G203" s="40">
        <v>2</v>
      </c>
    </row>
    <row r="204" spans="1:7" ht="18" x14ac:dyDescent="0.55000000000000004">
      <c r="A204" s="29">
        <v>203</v>
      </c>
      <c r="B204" s="31" t="s">
        <v>238</v>
      </c>
      <c r="C204" s="46" t="s">
        <v>574</v>
      </c>
      <c r="D204" s="37" t="s">
        <v>384</v>
      </c>
      <c r="E204" s="37" t="s">
        <v>350</v>
      </c>
      <c r="F204" s="39">
        <v>7</v>
      </c>
      <c r="G204" s="39">
        <v>9</v>
      </c>
    </row>
    <row r="205" spans="1:7" ht="18.399999999999999" thickBot="1" x14ac:dyDescent="0.6">
      <c r="A205" s="29">
        <v>204</v>
      </c>
      <c r="B205" s="34" t="s">
        <v>239</v>
      </c>
      <c r="C205" s="43" t="s">
        <v>575</v>
      </c>
      <c r="D205" s="35" t="s">
        <v>369</v>
      </c>
      <c r="E205" s="35" t="s">
        <v>350</v>
      </c>
      <c r="F205" s="40">
        <v>7</v>
      </c>
      <c r="G205" s="40">
        <v>9</v>
      </c>
    </row>
    <row r="206" spans="1:7" ht="18" x14ac:dyDescent="0.55000000000000004">
      <c r="A206" s="29">
        <v>205</v>
      </c>
      <c r="B206" s="31" t="s">
        <v>240</v>
      </c>
      <c r="C206" s="44" t="s">
        <v>576</v>
      </c>
      <c r="D206" s="32" t="s">
        <v>371</v>
      </c>
      <c r="E206" s="37" t="s">
        <v>350</v>
      </c>
      <c r="F206" s="39">
        <v>7</v>
      </c>
      <c r="G206" s="39">
        <v>10</v>
      </c>
    </row>
    <row r="207" spans="1:7" ht="18.399999999999999" thickBot="1" x14ac:dyDescent="0.6">
      <c r="A207" s="29">
        <v>206</v>
      </c>
      <c r="B207" s="34" t="s">
        <v>241</v>
      </c>
      <c r="C207" s="43" t="s">
        <v>577</v>
      </c>
      <c r="D207" s="35" t="s">
        <v>369</v>
      </c>
      <c r="E207" s="35" t="s">
        <v>350</v>
      </c>
      <c r="F207" s="40">
        <v>7</v>
      </c>
      <c r="G207" s="40">
        <v>4</v>
      </c>
    </row>
    <row r="208" spans="1:7" ht="18" x14ac:dyDescent="0.55000000000000004">
      <c r="A208" s="29">
        <v>207</v>
      </c>
      <c r="B208" s="31" t="s">
        <v>33</v>
      </c>
      <c r="C208" s="44" t="s">
        <v>578</v>
      </c>
      <c r="D208" s="37" t="s">
        <v>371</v>
      </c>
      <c r="E208" s="37" t="s">
        <v>350</v>
      </c>
      <c r="F208" s="39">
        <v>7</v>
      </c>
      <c r="G208" s="39">
        <v>11</v>
      </c>
    </row>
    <row r="209" spans="1:7" ht="18.399999999999999" thickBot="1" x14ac:dyDescent="0.6">
      <c r="A209" s="29">
        <v>208</v>
      </c>
      <c r="B209" s="34" t="s">
        <v>242</v>
      </c>
      <c r="C209" s="43" t="s">
        <v>579</v>
      </c>
      <c r="D209" s="35" t="s">
        <v>384</v>
      </c>
      <c r="E209" s="35" t="s">
        <v>350</v>
      </c>
      <c r="F209" s="40">
        <v>7</v>
      </c>
      <c r="G209" s="40">
        <v>12</v>
      </c>
    </row>
    <row r="210" spans="1:7" ht="18" x14ac:dyDescent="0.55000000000000004">
      <c r="A210" s="29">
        <v>209</v>
      </c>
      <c r="B210" s="31" t="s">
        <v>243</v>
      </c>
      <c r="C210" s="44" t="s">
        <v>580</v>
      </c>
      <c r="D210" s="32" t="s">
        <v>371</v>
      </c>
      <c r="E210" s="37" t="s">
        <v>350</v>
      </c>
      <c r="F210" s="39">
        <v>7</v>
      </c>
      <c r="G210" s="39">
        <v>5</v>
      </c>
    </row>
    <row r="211" spans="1:7" ht="18.399999999999999" thickBot="1" x14ac:dyDescent="0.6">
      <c r="A211" s="29">
        <v>210</v>
      </c>
      <c r="B211" s="34" t="s">
        <v>34</v>
      </c>
      <c r="C211" s="43" t="s">
        <v>581</v>
      </c>
      <c r="D211" s="35" t="s">
        <v>369</v>
      </c>
      <c r="E211" s="35" t="s">
        <v>350</v>
      </c>
      <c r="F211" s="40">
        <v>7</v>
      </c>
      <c r="G211" s="40">
        <v>11</v>
      </c>
    </row>
    <row r="212" spans="1:7" ht="18" x14ac:dyDescent="0.55000000000000004">
      <c r="A212" s="29">
        <v>211</v>
      </c>
      <c r="B212" s="31" t="s">
        <v>244</v>
      </c>
      <c r="C212" s="44" t="s">
        <v>582</v>
      </c>
      <c r="D212" s="37" t="s">
        <v>375</v>
      </c>
      <c r="E212" s="37" t="s">
        <v>350</v>
      </c>
      <c r="F212" s="39">
        <v>7</v>
      </c>
      <c r="G212" s="39">
        <v>4</v>
      </c>
    </row>
    <row r="213" spans="1:7" ht="18.399999999999999" thickBot="1" x14ac:dyDescent="0.6">
      <c r="A213" s="29">
        <v>212</v>
      </c>
      <c r="B213" s="34" t="s">
        <v>245</v>
      </c>
      <c r="C213" s="43" t="s">
        <v>583</v>
      </c>
      <c r="D213" s="35" t="s">
        <v>375</v>
      </c>
      <c r="E213" s="35" t="s">
        <v>350</v>
      </c>
      <c r="F213" s="40">
        <v>7</v>
      </c>
      <c r="G213" s="40">
        <v>10</v>
      </c>
    </row>
    <row r="214" spans="1:7" ht="18" x14ac:dyDescent="0.55000000000000004">
      <c r="A214" s="29">
        <v>213</v>
      </c>
      <c r="B214" s="31" t="s">
        <v>35</v>
      </c>
      <c r="C214" s="44" t="s">
        <v>584</v>
      </c>
      <c r="D214" s="32" t="s">
        <v>375</v>
      </c>
      <c r="E214" s="37" t="s">
        <v>350</v>
      </c>
      <c r="F214" s="39">
        <v>7</v>
      </c>
      <c r="G214" s="39">
        <v>9</v>
      </c>
    </row>
    <row r="215" spans="1:7" ht="18" x14ac:dyDescent="0.55000000000000004">
      <c r="A215" s="29">
        <v>214</v>
      </c>
      <c r="B215" s="34" t="s">
        <v>246</v>
      </c>
      <c r="C215" s="43" t="s">
        <v>585</v>
      </c>
      <c r="D215" s="35" t="s">
        <v>384</v>
      </c>
      <c r="E215" s="35" t="s">
        <v>350</v>
      </c>
      <c r="F215" s="40">
        <v>7</v>
      </c>
      <c r="G215" s="40">
        <v>5</v>
      </c>
    </row>
    <row r="216" spans="1:7" ht="18" x14ac:dyDescent="0.55000000000000004">
      <c r="A216" s="29">
        <v>215</v>
      </c>
      <c r="B216" s="41" t="s">
        <v>36</v>
      </c>
      <c r="C216" s="44" t="s">
        <v>586</v>
      </c>
      <c r="D216" s="37" t="s">
        <v>369</v>
      </c>
      <c r="E216" s="37" t="s">
        <v>350</v>
      </c>
      <c r="F216" s="39">
        <v>7</v>
      </c>
      <c r="G216" s="39">
        <v>6</v>
      </c>
    </row>
    <row r="217" spans="1:7" ht="18.399999999999999" thickBot="1" x14ac:dyDescent="0.6">
      <c r="A217" s="29">
        <v>216</v>
      </c>
      <c r="B217" s="34" t="s">
        <v>37</v>
      </c>
      <c r="C217" s="43" t="s">
        <v>587</v>
      </c>
      <c r="D217" s="35" t="s">
        <v>375</v>
      </c>
      <c r="E217" s="35" t="s">
        <v>350</v>
      </c>
      <c r="F217" s="40">
        <v>7</v>
      </c>
      <c r="G217" s="40">
        <v>10</v>
      </c>
    </row>
    <row r="218" spans="1:7" ht="18" x14ac:dyDescent="0.55000000000000004">
      <c r="A218" s="29">
        <v>217</v>
      </c>
      <c r="B218" s="41" t="s">
        <v>247</v>
      </c>
      <c r="C218" s="44" t="s">
        <v>588</v>
      </c>
      <c r="D218" s="32" t="s">
        <v>371</v>
      </c>
      <c r="E218" s="37" t="s">
        <v>350</v>
      </c>
      <c r="F218" s="39">
        <v>7</v>
      </c>
      <c r="G218" s="39">
        <v>8</v>
      </c>
    </row>
    <row r="219" spans="1:7" ht="18" x14ac:dyDescent="0.55000000000000004">
      <c r="A219" s="29">
        <v>218</v>
      </c>
      <c r="B219" s="34" t="s">
        <v>248</v>
      </c>
      <c r="C219" s="43" t="s">
        <v>589</v>
      </c>
      <c r="D219" s="35" t="s">
        <v>369</v>
      </c>
      <c r="E219" s="35" t="s">
        <v>350</v>
      </c>
      <c r="F219" s="40">
        <v>7</v>
      </c>
      <c r="G219" s="40">
        <v>10</v>
      </c>
    </row>
    <row r="220" spans="1:7" ht="18" x14ac:dyDescent="0.55000000000000004">
      <c r="A220" s="29">
        <v>219</v>
      </c>
      <c r="B220" s="41" t="s">
        <v>249</v>
      </c>
      <c r="C220" s="44" t="s">
        <v>590</v>
      </c>
      <c r="D220" s="37" t="s">
        <v>384</v>
      </c>
      <c r="E220" s="37" t="s">
        <v>350</v>
      </c>
      <c r="F220" s="39">
        <v>7</v>
      </c>
      <c r="G220" s="39">
        <v>6</v>
      </c>
    </row>
    <row r="221" spans="1:7" ht="18.399999999999999" thickBot="1" x14ac:dyDescent="0.6">
      <c r="A221" s="29">
        <v>220</v>
      </c>
      <c r="B221" s="34" t="s">
        <v>250</v>
      </c>
      <c r="C221" s="43" t="s">
        <v>591</v>
      </c>
      <c r="D221" s="35" t="s">
        <v>371</v>
      </c>
      <c r="E221" s="35" t="s">
        <v>350</v>
      </c>
      <c r="F221" s="40">
        <v>7</v>
      </c>
      <c r="G221" s="40">
        <v>3</v>
      </c>
    </row>
    <row r="222" spans="1:7" ht="18.399999999999999" thickBot="1" x14ac:dyDescent="0.6">
      <c r="A222" s="29">
        <v>221</v>
      </c>
      <c r="B222" s="41" t="s">
        <v>38</v>
      </c>
      <c r="C222" s="44" t="s">
        <v>592</v>
      </c>
      <c r="D222" s="32" t="s">
        <v>384</v>
      </c>
      <c r="E222" s="37" t="s">
        <v>350</v>
      </c>
      <c r="F222" s="39">
        <v>7</v>
      </c>
      <c r="G222" s="39">
        <v>4</v>
      </c>
    </row>
    <row r="223" spans="1:7" ht="18" x14ac:dyDescent="0.55000000000000004">
      <c r="A223" s="29">
        <v>222</v>
      </c>
      <c r="B223" s="34" t="s">
        <v>251</v>
      </c>
      <c r="C223" s="45" t="s">
        <v>593</v>
      </c>
      <c r="D223" s="35" t="s">
        <v>371</v>
      </c>
      <c r="E223" s="35" t="s">
        <v>349</v>
      </c>
      <c r="F223" s="40">
        <v>8</v>
      </c>
      <c r="G223" s="40">
        <v>2</v>
      </c>
    </row>
    <row r="224" spans="1:7" ht="18" x14ac:dyDescent="0.55000000000000004">
      <c r="A224" s="29">
        <v>223</v>
      </c>
      <c r="B224" s="41" t="s">
        <v>252</v>
      </c>
      <c r="C224" s="44" t="s">
        <v>594</v>
      </c>
      <c r="D224" s="37" t="s">
        <v>371</v>
      </c>
      <c r="E224" s="37" t="s">
        <v>349</v>
      </c>
      <c r="F224" s="39">
        <v>8</v>
      </c>
      <c r="G224" s="39">
        <v>6</v>
      </c>
    </row>
    <row r="225" spans="1:7" ht="18.399999999999999" thickBot="1" x14ac:dyDescent="0.6">
      <c r="A225" s="29">
        <v>224</v>
      </c>
      <c r="B225" s="34" t="s">
        <v>253</v>
      </c>
      <c r="C225" s="43" t="s">
        <v>595</v>
      </c>
      <c r="D225" s="35" t="s">
        <v>384</v>
      </c>
      <c r="E225" s="35" t="s">
        <v>349</v>
      </c>
      <c r="F225" s="40">
        <v>8</v>
      </c>
      <c r="G225" s="40">
        <v>2</v>
      </c>
    </row>
    <row r="226" spans="1:7" ht="18" x14ac:dyDescent="0.55000000000000004">
      <c r="A226" s="29">
        <v>225</v>
      </c>
      <c r="B226" s="41" t="s">
        <v>254</v>
      </c>
      <c r="C226" s="44" t="s">
        <v>596</v>
      </c>
      <c r="D226" s="32" t="s">
        <v>384</v>
      </c>
      <c r="E226" s="37" t="s">
        <v>349</v>
      </c>
      <c r="F226" s="39">
        <v>8</v>
      </c>
      <c r="G226" s="39">
        <v>3</v>
      </c>
    </row>
    <row r="227" spans="1:7" ht="18" x14ac:dyDescent="0.55000000000000004">
      <c r="A227" s="29">
        <v>226</v>
      </c>
      <c r="B227" s="34" t="s">
        <v>255</v>
      </c>
      <c r="C227" s="43" t="s">
        <v>597</v>
      </c>
      <c r="D227" s="35" t="s">
        <v>371</v>
      </c>
      <c r="E227" s="35" t="s">
        <v>349</v>
      </c>
      <c r="F227" s="40">
        <v>8</v>
      </c>
      <c r="G227" s="40">
        <v>9</v>
      </c>
    </row>
    <row r="228" spans="1:7" ht="18" x14ac:dyDescent="0.55000000000000004">
      <c r="A228" s="29">
        <v>227</v>
      </c>
      <c r="B228" s="41" t="s">
        <v>256</v>
      </c>
      <c r="C228" s="44" t="s">
        <v>598</v>
      </c>
      <c r="D228" s="37" t="s">
        <v>369</v>
      </c>
      <c r="E228" s="37" t="s">
        <v>349</v>
      </c>
      <c r="F228" s="39">
        <v>8</v>
      </c>
      <c r="G228" s="39">
        <v>6</v>
      </c>
    </row>
    <row r="229" spans="1:7" ht="18.399999999999999" thickBot="1" x14ac:dyDescent="0.6">
      <c r="A229" s="29">
        <v>228</v>
      </c>
      <c r="B229" s="34" t="s">
        <v>257</v>
      </c>
      <c r="C229" s="43" t="s">
        <v>599</v>
      </c>
      <c r="D229" s="35" t="s">
        <v>384</v>
      </c>
      <c r="E229" s="35" t="s">
        <v>349</v>
      </c>
      <c r="F229" s="40">
        <v>8</v>
      </c>
      <c r="G229" s="40">
        <v>3</v>
      </c>
    </row>
    <row r="230" spans="1:7" ht="18" x14ac:dyDescent="0.55000000000000004">
      <c r="A230" s="29">
        <v>229</v>
      </c>
      <c r="B230" s="41" t="s">
        <v>258</v>
      </c>
      <c r="C230" s="44" t="s">
        <v>600</v>
      </c>
      <c r="D230" s="32" t="s">
        <v>384</v>
      </c>
      <c r="E230" s="37" t="s">
        <v>349</v>
      </c>
      <c r="F230" s="39">
        <v>8</v>
      </c>
      <c r="G230" s="39">
        <v>6</v>
      </c>
    </row>
    <row r="231" spans="1:7" ht="18" x14ac:dyDescent="0.55000000000000004">
      <c r="A231" s="29">
        <v>230</v>
      </c>
      <c r="B231" s="34" t="s">
        <v>259</v>
      </c>
      <c r="C231" s="43" t="s">
        <v>601</v>
      </c>
      <c r="D231" s="35" t="s">
        <v>384</v>
      </c>
      <c r="E231" s="35" t="s">
        <v>349</v>
      </c>
      <c r="F231" s="40">
        <v>8</v>
      </c>
      <c r="G231" s="40">
        <v>10</v>
      </c>
    </row>
    <row r="232" spans="1:7" ht="18" x14ac:dyDescent="0.55000000000000004">
      <c r="A232" s="29">
        <v>231</v>
      </c>
      <c r="B232" s="41" t="s">
        <v>260</v>
      </c>
      <c r="C232" s="44" t="s">
        <v>602</v>
      </c>
      <c r="D232" s="37" t="s">
        <v>375</v>
      </c>
      <c r="E232" s="37" t="s">
        <v>349</v>
      </c>
      <c r="F232" s="39">
        <v>8</v>
      </c>
      <c r="G232" s="39">
        <v>2</v>
      </c>
    </row>
    <row r="233" spans="1:7" ht="18.399999999999999" thickBot="1" x14ac:dyDescent="0.6">
      <c r="A233" s="29">
        <v>232</v>
      </c>
      <c r="B233" s="34" t="s">
        <v>261</v>
      </c>
      <c r="C233" s="43" t="s">
        <v>603</v>
      </c>
      <c r="D233" s="35" t="s">
        <v>375</v>
      </c>
      <c r="E233" s="35" t="s">
        <v>349</v>
      </c>
      <c r="F233" s="40">
        <v>8</v>
      </c>
      <c r="G233" s="40">
        <v>5</v>
      </c>
    </row>
    <row r="234" spans="1:7" ht="18" x14ac:dyDescent="0.55000000000000004">
      <c r="A234" s="29">
        <v>233</v>
      </c>
      <c r="B234" s="41" t="s">
        <v>262</v>
      </c>
      <c r="C234" s="44" t="s">
        <v>604</v>
      </c>
      <c r="D234" s="32" t="s">
        <v>371</v>
      </c>
      <c r="E234" s="37" t="s">
        <v>349</v>
      </c>
      <c r="F234" s="39">
        <v>8</v>
      </c>
      <c r="G234" s="39">
        <v>11</v>
      </c>
    </row>
    <row r="235" spans="1:7" ht="18" x14ac:dyDescent="0.55000000000000004">
      <c r="A235" s="29">
        <v>234</v>
      </c>
      <c r="B235" s="34" t="s">
        <v>263</v>
      </c>
      <c r="C235" s="43" t="s">
        <v>605</v>
      </c>
      <c r="D235" s="35" t="s">
        <v>369</v>
      </c>
      <c r="E235" s="35" t="s">
        <v>349</v>
      </c>
      <c r="F235" s="40">
        <v>8</v>
      </c>
      <c r="G235" s="40">
        <v>4</v>
      </c>
    </row>
    <row r="236" spans="1:7" ht="18" x14ac:dyDescent="0.55000000000000004">
      <c r="A236" s="29">
        <v>235</v>
      </c>
      <c r="B236" s="41" t="s">
        <v>264</v>
      </c>
      <c r="C236" s="44" t="s">
        <v>606</v>
      </c>
      <c r="D236" s="37" t="s">
        <v>371</v>
      </c>
      <c r="E236" s="37" t="s">
        <v>349</v>
      </c>
      <c r="F236" s="39">
        <v>8</v>
      </c>
      <c r="G236" s="39">
        <v>9</v>
      </c>
    </row>
    <row r="237" spans="1:7" ht="18.399999999999999" thickBot="1" x14ac:dyDescent="0.6">
      <c r="A237" s="29">
        <v>236</v>
      </c>
      <c r="B237" s="34" t="s">
        <v>265</v>
      </c>
      <c r="C237" s="43" t="s">
        <v>607</v>
      </c>
      <c r="D237" s="35" t="s">
        <v>369</v>
      </c>
      <c r="E237" s="35" t="s">
        <v>349</v>
      </c>
      <c r="F237" s="40">
        <v>8</v>
      </c>
      <c r="G237" s="40">
        <v>3</v>
      </c>
    </row>
    <row r="238" spans="1:7" ht="18" x14ac:dyDescent="0.55000000000000004">
      <c r="A238" s="29">
        <v>237</v>
      </c>
      <c r="B238" s="41" t="s">
        <v>266</v>
      </c>
      <c r="C238" s="44" t="s">
        <v>608</v>
      </c>
      <c r="D238" s="32" t="s">
        <v>384</v>
      </c>
      <c r="E238" s="37" t="s">
        <v>349</v>
      </c>
      <c r="F238" s="39">
        <v>8</v>
      </c>
      <c r="G238" s="39">
        <v>2</v>
      </c>
    </row>
    <row r="239" spans="1:7" ht="18" x14ac:dyDescent="0.55000000000000004">
      <c r="A239" s="29">
        <v>238</v>
      </c>
      <c r="B239" s="34" t="s">
        <v>267</v>
      </c>
      <c r="C239" s="43" t="s">
        <v>609</v>
      </c>
      <c r="D239" s="35" t="s">
        <v>371</v>
      </c>
      <c r="E239" s="35" t="s">
        <v>349</v>
      </c>
      <c r="F239" s="40">
        <v>8</v>
      </c>
      <c r="G239" s="40">
        <v>6</v>
      </c>
    </row>
    <row r="240" spans="1:7" ht="18" x14ac:dyDescent="0.55000000000000004">
      <c r="A240" s="29">
        <v>239</v>
      </c>
      <c r="B240" s="41" t="s">
        <v>268</v>
      </c>
      <c r="C240" s="44" t="s">
        <v>610</v>
      </c>
      <c r="D240" s="37" t="s">
        <v>369</v>
      </c>
      <c r="E240" s="37" t="s">
        <v>349</v>
      </c>
      <c r="F240" s="39">
        <v>8</v>
      </c>
      <c r="G240" s="39">
        <v>3</v>
      </c>
    </row>
    <row r="241" spans="1:7" ht="18.399999999999999" thickBot="1" x14ac:dyDescent="0.6">
      <c r="A241" s="29">
        <v>240</v>
      </c>
      <c r="B241" s="34" t="s">
        <v>269</v>
      </c>
      <c r="C241" s="43" t="s">
        <v>611</v>
      </c>
      <c r="D241" s="35" t="s">
        <v>375</v>
      </c>
      <c r="E241" s="35" t="s">
        <v>349</v>
      </c>
      <c r="F241" s="40">
        <v>8</v>
      </c>
      <c r="G241" s="40">
        <v>11</v>
      </c>
    </row>
    <row r="242" spans="1:7" ht="18" x14ac:dyDescent="0.55000000000000004">
      <c r="A242" s="29">
        <v>241</v>
      </c>
      <c r="B242" s="41" t="s">
        <v>270</v>
      </c>
      <c r="C242" s="44" t="s">
        <v>612</v>
      </c>
      <c r="D242" s="32" t="s">
        <v>375</v>
      </c>
      <c r="E242" s="37" t="s">
        <v>349</v>
      </c>
      <c r="F242" s="39">
        <v>8</v>
      </c>
      <c r="G242" s="39">
        <v>3</v>
      </c>
    </row>
    <row r="243" spans="1:7" ht="18" x14ac:dyDescent="0.55000000000000004">
      <c r="A243" s="29">
        <v>242</v>
      </c>
      <c r="B243" s="34" t="s">
        <v>271</v>
      </c>
      <c r="C243" s="43" t="s">
        <v>613</v>
      </c>
      <c r="D243" s="35" t="s">
        <v>369</v>
      </c>
      <c r="E243" s="35" t="s">
        <v>349</v>
      </c>
      <c r="F243" s="40">
        <v>8</v>
      </c>
      <c r="G243" s="40">
        <v>1</v>
      </c>
    </row>
    <row r="244" spans="1:7" ht="18" x14ac:dyDescent="0.55000000000000004">
      <c r="A244" s="29">
        <v>243</v>
      </c>
      <c r="B244" s="41" t="s">
        <v>272</v>
      </c>
      <c r="C244" s="44" t="s">
        <v>614</v>
      </c>
      <c r="D244" s="37" t="s">
        <v>384</v>
      </c>
      <c r="E244" s="37" t="s">
        <v>349</v>
      </c>
      <c r="F244" s="39">
        <v>8</v>
      </c>
      <c r="G244" s="39">
        <v>3</v>
      </c>
    </row>
    <row r="245" spans="1:7" ht="18.399999999999999" thickBot="1" x14ac:dyDescent="0.6">
      <c r="A245" s="29">
        <v>244</v>
      </c>
      <c r="B245" s="34" t="s">
        <v>273</v>
      </c>
      <c r="C245" s="43" t="s">
        <v>615</v>
      </c>
      <c r="D245" s="35"/>
      <c r="E245" s="35" t="s">
        <v>349</v>
      </c>
      <c r="F245" s="40">
        <v>8</v>
      </c>
      <c r="G245" s="40">
        <v>0</v>
      </c>
    </row>
    <row r="246" spans="1:7" ht="18" x14ac:dyDescent="0.55000000000000004">
      <c r="A246" s="29">
        <v>245</v>
      </c>
      <c r="B246" s="41" t="s">
        <v>274</v>
      </c>
      <c r="C246" s="44" t="s">
        <v>616</v>
      </c>
      <c r="D246" s="32" t="s">
        <v>371</v>
      </c>
      <c r="E246" s="37" t="s">
        <v>349</v>
      </c>
      <c r="F246" s="39">
        <v>8</v>
      </c>
      <c r="G246" s="39">
        <v>4</v>
      </c>
    </row>
    <row r="247" spans="1:7" ht="18" x14ac:dyDescent="0.55000000000000004">
      <c r="A247" s="29">
        <v>246</v>
      </c>
      <c r="B247" s="34" t="s">
        <v>275</v>
      </c>
      <c r="C247" s="43" t="s">
        <v>617</v>
      </c>
      <c r="D247" s="35" t="s">
        <v>375</v>
      </c>
      <c r="E247" s="35" t="s">
        <v>349</v>
      </c>
      <c r="F247" s="40">
        <v>8</v>
      </c>
      <c r="G247" s="40">
        <v>3</v>
      </c>
    </row>
    <row r="248" spans="1:7" ht="18" x14ac:dyDescent="0.55000000000000004">
      <c r="A248" s="29">
        <v>247</v>
      </c>
      <c r="B248" s="41" t="s">
        <v>276</v>
      </c>
      <c r="C248" s="44" t="s">
        <v>618</v>
      </c>
      <c r="D248" s="37" t="s">
        <v>384</v>
      </c>
      <c r="E248" s="37" t="s">
        <v>349</v>
      </c>
      <c r="F248" s="39">
        <v>8</v>
      </c>
      <c r="G248" s="39">
        <v>2</v>
      </c>
    </row>
    <row r="249" spans="1:7" ht="18.399999999999999" thickBot="1" x14ac:dyDescent="0.6">
      <c r="A249" s="29">
        <v>248</v>
      </c>
      <c r="B249" s="34" t="s">
        <v>277</v>
      </c>
      <c r="C249" s="43" t="s">
        <v>619</v>
      </c>
      <c r="D249" s="35" t="s">
        <v>375</v>
      </c>
      <c r="E249" s="35" t="s">
        <v>349</v>
      </c>
      <c r="F249" s="40">
        <v>8</v>
      </c>
      <c r="G249" s="40">
        <v>8</v>
      </c>
    </row>
    <row r="250" spans="1:7" ht="18" x14ac:dyDescent="0.55000000000000004">
      <c r="A250" s="29">
        <v>249</v>
      </c>
      <c r="B250" s="41" t="s">
        <v>278</v>
      </c>
      <c r="C250" s="44" t="s">
        <v>620</v>
      </c>
      <c r="D250" s="32" t="s">
        <v>369</v>
      </c>
      <c r="E250" s="37" t="s">
        <v>349</v>
      </c>
      <c r="F250" s="39">
        <v>8</v>
      </c>
      <c r="G250" s="39">
        <v>8</v>
      </c>
    </row>
    <row r="251" spans="1:7" ht="18" x14ac:dyDescent="0.55000000000000004">
      <c r="A251" s="29">
        <v>250</v>
      </c>
      <c r="B251" s="34" t="s">
        <v>279</v>
      </c>
      <c r="C251" s="43" t="s">
        <v>621</v>
      </c>
      <c r="D251" s="35" t="s">
        <v>369</v>
      </c>
      <c r="E251" s="35" t="s">
        <v>349</v>
      </c>
      <c r="F251" s="40">
        <v>8</v>
      </c>
      <c r="G251" s="40">
        <v>11</v>
      </c>
    </row>
    <row r="252" spans="1:7" ht="18.399999999999999" thickBot="1" x14ac:dyDescent="0.6">
      <c r="A252" s="29">
        <v>251</v>
      </c>
      <c r="B252" s="41" t="s">
        <v>280</v>
      </c>
      <c r="C252" s="44" t="s">
        <v>622</v>
      </c>
      <c r="D252" s="37" t="s">
        <v>375</v>
      </c>
      <c r="E252" s="37" t="s">
        <v>349</v>
      </c>
      <c r="F252" s="39">
        <v>8</v>
      </c>
      <c r="G252" s="39">
        <v>9</v>
      </c>
    </row>
    <row r="253" spans="1:7" ht="18.399999999999999" thickBot="1" x14ac:dyDescent="0.6">
      <c r="A253" s="29">
        <v>252</v>
      </c>
      <c r="B253" s="34" t="s">
        <v>281</v>
      </c>
      <c r="C253" s="45" t="s">
        <v>623</v>
      </c>
      <c r="D253" s="35" t="s">
        <v>384</v>
      </c>
      <c r="E253" s="35" t="s">
        <v>349</v>
      </c>
      <c r="F253" s="40">
        <v>9</v>
      </c>
      <c r="G253" s="40">
        <v>1</v>
      </c>
    </row>
    <row r="254" spans="1:7" ht="18" x14ac:dyDescent="0.55000000000000004">
      <c r="A254" s="29">
        <v>253</v>
      </c>
      <c r="B254" s="41" t="s">
        <v>282</v>
      </c>
      <c r="C254" s="44" t="s">
        <v>624</v>
      </c>
      <c r="D254" s="32" t="s">
        <v>384</v>
      </c>
      <c r="E254" s="37" t="s">
        <v>349</v>
      </c>
      <c r="F254" s="39">
        <v>9</v>
      </c>
      <c r="G254" s="39">
        <v>5</v>
      </c>
    </row>
    <row r="255" spans="1:7" ht="18" x14ac:dyDescent="0.55000000000000004">
      <c r="A255" s="29">
        <v>254</v>
      </c>
      <c r="B255" s="34" t="s">
        <v>283</v>
      </c>
      <c r="C255" s="43" t="s">
        <v>625</v>
      </c>
      <c r="D255" s="35" t="s">
        <v>369</v>
      </c>
      <c r="E255" s="35" t="s">
        <v>349</v>
      </c>
      <c r="F255" s="40">
        <v>9</v>
      </c>
      <c r="G255" s="40">
        <v>3</v>
      </c>
    </row>
    <row r="256" spans="1:7" ht="18" x14ac:dyDescent="0.55000000000000004">
      <c r="A256" s="29">
        <v>255</v>
      </c>
      <c r="B256" s="41" t="s">
        <v>284</v>
      </c>
      <c r="C256" s="44" t="s">
        <v>626</v>
      </c>
      <c r="D256" s="37" t="s">
        <v>369</v>
      </c>
      <c r="E256" s="37" t="s">
        <v>349</v>
      </c>
      <c r="F256" s="39">
        <v>9</v>
      </c>
      <c r="G256" s="39">
        <v>6</v>
      </c>
    </row>
    <row r="257" spans="1:7" ht="18.399999999999999" thickBot="1" x14ac:dyDescent="0.6">
      <c r="A257" s="29">
        <v>256</v>
      </c>
      <c r="B257" s="34" t="s">
        <v>285</v>
      </c>
      <c r="C257" s="43" t="s">
        <v>627</v>
      </c>
      <c r="D257" s="35" t="s">
        <v>369</v>
      </c>
      <c r="E257" s="35" t="s">
        <v>349</v>
      </c>
      <c r="F257" s="40">
        <v>9</v>
      </c>
      <c r="G257" s="40">
        <v>1</v>
      </c>
    </row>
    <row r="258" spans="1:7" ht="18" x14ac:dyDescent="0.55000000000000004">
      <c r="A258" s="29">
        <v>257</v>
      </c>
      <c r="B258" s="41" t="s">
        <v>286</v>
      </c>
      <c r="C258" s="44" t="s">
        <v>628</v>
      </c>
      <c r="D258" s="32" t="s">
        <v>384</v>
      </c>
      <c r="E258" s="37" t="s">
        <v>349</v>
      </c>
      <c r="F258" s="39">
        <v>9</v>
      </c>
      <c r="G258" s="39">
        <v>3</v>
      </c>
    </row>
    <row r="259" spans="1:7" ht="18" x14ac:dyDescent="0.55000000000000004">
      <c r="A259" s="29">
        <v>258</v>
      </c>
      <c r="B259" s="34" t="s">
        <v>39</v>
      </c>
      <c r="C259" s="43" t="s">
        <v>629</v>
      </c>
      <c r="D259" s="35" t="s">
        <v>371</v>
      </c>
      <c r="E259" s="35" t="s">
        <v>349</v>
      </c>
      <c r="F259" s="40">
        <v>9</v>
      </c>
      <c r="G259" s="40">
        <v>5</v>
      </c>
    </row>
    <row r="260" spans="1:7" ht="18" x14ac:dyDescent="0.55000000000000004">
      <c r="A260" s="29">
        <v>259</v>
      </c>
      <c r="B260" s="41" t="s">
        <v>287</v>
      </c>
      <c r="C260" s="44" t="s">
        <v>630</v>
      </c>
      <c r="D260" s="37" t="s">
        <v>375</v>
      </c>
      <c r="E260" s="37" t="s">
        <v>349</v>
      </c>
      <c r="F260" s="39">
        <v>9</v>
      </c>
      <c r="G260" s="39">
        <v>6</v>
      </c>
    </row>
    <row r="261" spans="1:7" ht="18.399999999999999" thickBot="1" x14ac:dyDescent="0.6">
      <c r="A261" s="29">
        <v>260</v>
      </c>
      <c r="B261" s="34" t="s">
        <v>288</v>
      </c>
      <c r="C261" s="43" t="s">
        <v>631</v>
      </c>
      <c r="D261" s="35" t="s">
        <v>369</v>
      </c>
      <c r="E261" s="35" t="s">
        <v>349</v>
      </c>
      <c r="F261" s="40">
        <v>9</v>
      </c>
      <c r="G261" s="40">
        <v>4</v>
      </c>
    </row>
    <row r="262" spans="1:7" ht="18" x14ac:dyDescent="0.55000000000000004">
      <c r="A262" s="29">
        <v>261</v>
      </c>
      <c r="B262" s="41" t="s">
        <v>289</v>
      </c>
      <c r="C262" s="44" t="s">
        <v>632</v>
      </c>
      <c r="D262" s="32" t="s">
        <v>371</v>
      </c>
      <c r="E262" s="37" t="s">
        <v>349</v>
      </c>
      <c r="F262" s="39">
        <v>9</v>
      </c>
      <c r="G262" s="39">
        <v>3</v>
      </c>
    </row>
    <row r="263" spans="1:7" ht="18" x14ac:dyDescent="0.55000000000000004">
      <c r="A263" s="29">
        <v>262</v>
      </c>
      <c r="B263" s="34" t="s">
        <v>53</v>
      </c>
      <c r="C263" s="43" t="s">
        <v>633</v>
      </c>
      <c r="D263" s="35" t="s">
        <v>384</v>
      </c>
      <c r="E263" s="35" t="s">
        <v>349</v>
      </c>
      <c r="F263" s="40">
        <v>9</v>
      </c>
      <c r="G263" s="40">
        <v>10</v>
      </c>
    </row>
    <row r="264" spans="1:7" ht="18" x14ac:dyDescent="0.55000000000000004">
      <c r="A264" s="29">
        <v>263</v>
      </c>
      <c r="B264" s="41" t="s">
        <v>290</v>
      </c>
      <c r="C264" s="44" t="s">
        <v>634</v>
      </c>
      <c r="D264" s="37" t="s">
        <v>375</v>
      </c>
      <c r="E264" s="37" t="s">
        <v>349</v>
      </c>
      <c r="F264" s="39">
        <v>9</v>
      </c>
      <c r="G264" s="39">
        <v>10</v>
      </c>
    </row>
    <row r="265" spans="1:7" ht="18.399999999999999" thickBot="1" x14ac:dyDescent="0.6">
      <c r="A265" s="29">
        <v>264</v>
      </c>
      <c r="B265" s="34" t="s">
        <v>291</v>
      </c>
      <c r="C265" s="43" t="s">
        <v>635</v>
      </c>
      <c r="D265" s="35" t="s">
        <v>369</v>
      </c>
      <c r="E265" s="35" t="s">
        <v>349</v>
      </c>
      <c r="F265" s="40">
        <v>9</v>
      </c>
      <c r="G265" s="40">
        <v>5</v>
      </c>
    </row>
    <row r="266" spans="1:7" ht="18" x14ac:dyDescent="0.55000000000000004">
      <c r="A266" s="29">
        <v>265</v>
      </c>
      <c r="B266" s="41" t="s">
        <v>292</v>
      </c>
      <c r="C266" s="44" t="s">
        <v>636</v>
      </c>
      <c r="D266" s="32" t="s">
        <v>375</v>
      </c>
      <c r="E266" s="37" t="s">
        <v>349</v>
      </c>
      <c r="F266" s="39">
        <v>9</v>
      </c>
      <c r="G266" s="39">
        <v>6</v>
      </c>
    </row>
    <row r="267" spans="1:7" ht="18" x14ac:dyDescent="0.55000000000000004">
      <c r="A267" s="29">
        <v>266</v>
      </c>
      <c r="B267" s="34" t="s">
        <v>293</v>
      </c>
      <c r="C267" s="43" t="s">
        <v>637</v>
      </c>
      <c r="D267" s="35" t="s">
        <v>371</v>
      </c>
      <c r="E267" s="35" t="s">
        <v>349</v>
      </c>
      <c r="F267" s="40">
        <v>9</v>
      </c>
      <c r="G267" s="40">
        <v>5</v>
      </c>
    </row>
    <row r="268" spans="1:7" ht="18" x14ac:dyDescent="0.55000000000000004">
      <c r="A268" s="29">
        <v>267</v>
      </c>
      <c r="B268" s="41" t="s">
        <v>294</v>
      </c>
      <c r="C268" s="44" t="s">
        <v>638</v>
      </c>
      <c r="D268" s="37" t="s">
        <v>375</v>
      </c>
      <c r="E268" s="37" t="s">
        <v>349</v>
      </c>
      <c r="F268" s="39">
        <v>9</v>
      </c>
      <c r="G268" s="39">
        <v>7</v>
      </c>
    </row>
    <row r="269" spans="1:7" ht="18.399999999999999" thickBot="1" x14ac:dyDescent="0.6">
      <c r="A269" s="29">
        <v>268</v>
      </c>
      <c r="B269" s="34" t="s">
        <v>295</v>
      </c>
      <c r="C269" s="43" t="s">
        <v>639</v>
      </c>
      <c r="D269" s="35" t="s">
        <v>384</v>
      </c>
      <c r="E269" s="35" t="s">
        <v>349</v>
      </c>
      <c r="F269" s="40">
        <v>9</v>
      </c>
      <c r="G269" s="40">
        <v>6</v>
      </c>
    </row>
    <row r="270" spans="1:7" ht="18" x14ac:dyDescent="0.55000000000000004">
      <c r="A270" s="29">
        <v>269</v>
      </c>
      <c r="B270" s="41" t="s">
        <v>54</v>
      </c>
      <c r="C270" s="44" t="s">
        <v>640</v>
      </c>
      <c r="D270" s="32" t="s">
        <v>369</v>
      </c>
      <c r="E270" s="37" t="s">
        <v>349</v>
      </c>
      <c r="F270" s="39">
        <v>9</v>
      </c>
      <c r="G270" s="39">
        <v>11</v>
      </c>
    </row>
    <row r="271" spans="1:7" ht="18" x14ac:dyDescent="0.55000000000000004">
      <c r="A271" s="29">
        <v>270</v>
      </c>
      <c r="B271" s="34" t="s">
        <v>296</v>
      </c>
      <c r="C271" s="43" t="s">
        <v>641</v>
      </c>
      <c r="D271" s="35" t="s">
        <v>384</v>
      </c>
      <c r="E271" s="35" t="s">
        <v>349</v>
      </c>
      <c r="F271" s="40">
        <v>9</v>
      </c>
      <c r="G271" s="40">
        <v>5</v>
      </c>
    </row>
    <row r="272" spans="1:7" ht="18" x14ac:dyDescent="0.55000000000000004">
      <c r="A272" s="29">
        <v>271</v>
      </c>
      <c r="B272" s="41" t="s">
        <v>297</v>
      </c>
      <c r="C272" s="44" t="s">
        <v>642</v>
      </c>
      <c r="D272" s="37" t="s">
        <v>371</v>
      </c>
      <c r="E272" s="37" t="s">
        <v>349</v>
      </c>
      <c r="F272" s="39">
        <v>9</v>
      </c>
      <c r="G272" s="39">
        <v>6</v>
      </c>
    </row>
    <row r="273" spans="1:7" ht="18.399999999999999" thickBot="1" x14ac:dyDescent="0.6">
      <c r="A273" s="29">
        <v>272</v>
      </c>
      <c r="B273" s="34" t="s">
        <v>298</v>
      </c>
      <c r="C273" s="43" t="s">
        <v>643</v>
      </c>
      <c r="D273" s="35" t="s">
        <v>384</v>
      </c>
      <c r="E273" s="35" t="s">
        <v>349</v>
      </c>
      <c r="F273" s="40">
        <v>9</v>
      </c>
      <c r="G273" s="40">
        <v>10</v>
      </c>
    </row>
    <row r="274" spans="1:7" ht="18" x14ac:dyDescent="0.55000000000000004">
      <c r="A274" s="29">
        <v>273</v>
      </c>
      <c r="B274" s="41" t="s">
        <v>299</v>
      </c>
      <c r="C274" s="44" t="s">
        <v>644</v>
      </c>
      <c r="D274" s="32" t="s">
        <v>371</v>
      </c>
      <c r="E274" s="37" t="s">
        <v>349</v>
      </c>
      <c r="F274" s="39">
        <v>9</v>
      </c>
      <c r="G274" s="39">
        <v>5</v>
      </c>
    </row>
    <row r="275" spans="1:7" ht="18" x14ac:dyDescent="0.55000000000000004">
      <c r="A275" s="29">
        <v>274</v>
      </c>
      <c r="B275" s="34" t="s">
        <v>300</v>
      </c>
      <c r="C275" s="43" t="s">
        <v>645</v>
      </c>
      <c r="D275" s="35" t="s">
        <v>384</v>
      </c>
      <c r="E275" s="35" t="s">
        <v>349</v>
      </c>
      <c r="F275" s="40">
        <v>9</v>
      </c>
      <c r="G275" s="40">
        <v>7</v>
      </c>
    </row>
    <row r="276" spans="1:7" ht="18" x14ac:dyDescent="0.55000000000000004">
      <c r="A276" s="29">
        <v>275</v>
      </c>
      <c r="B276" s="41" t="s">
        <v>301</v>
      </c>
      <c r="C276" s="44" t="s">
        <v>646</v>
      </c>
      <c r="D276" s="37" t="s">
        <v>371</v>
      </c>
      <c r="E276" s="37" t="s">
        <v>349</v>
      </c>
      <c r="F276" s="39">
        <v>9</v>
      </c>
      <c r="G276" s="39">
        <v>4</v>
      </c>
    </row>
    <row r="277" spans="1:7" ht="18.399999999999999" thickBot="1" x14ac:dyDescent="0.6">
      <c r="A277" s="29">
        <v>276</v>
      </c>
      <c r="B277" s="34" t="s">
        <v>302</v>
      </c>
      <c r="C277" s="43" t="s">
        <v>647</v>
      </c>
      <c r="D277" s="35" t="s">
        <v>371</v>
      </c>
      <c r="E277" s="35" t="s">
        <v>349</v>
      </c>
      <c r="F277" s="40">
        <v>9</v>
      </c>
      <c r="G277" s="40">
        <v>5</v>
      </c>
    </row>
    <row r="278" spans="1:7" ht="18" x14ac:dyDescent="0.55000000000000004">
      <c r="A278" s="29">
        <v>277</v>
      </c>
      <c r="B278" s="41" t="s">
        <v>303</v>
      </c>
      <c r="C278" s="44" t="s">
        <v>648</v>
      </c>
      <c r="D278" s="32" t="s">
        <v>375</v>
      </c>
      <c r="E278" s="37" t="s">
        <v>349</v>
      </c>
      <c r="F278" s="39">
        <v>9</v>
      </c>
      <c r="G278" s="39">
        <v>4</v>
      </c>
    </row>
    <row r="279" spans="1:7" ht="18" x14ac:dyDescent="0.55000000000000004">
      <c r="A279" s="29">
        <v>278</v>
      </c>
      <c r="B279" s="34" t="s">
        <v>304</v>
      </c>
      <c r="C279" s="43" t="s">
        <v>649</v>
      </c>
      <c r="D279" s="35"/>
      <c r="E279" s="35" t="s">
        <v>349</v>
      </c>
      <c r="F279" s="40">
        <v>9</v>
      </c>
      <c r="G279" s="40">
        <v>0</v>
      </c>
    </row>
    <row r="280" spans="1:7" ht="18" x14ac:dyDescent="0.55000000000000004">
      <c r="A280" s="29">
        <v>279</v>
      </c>
      <c r="B280" s="41" t="s">
        <v>305</v>
      </c>
      <c r="C280" s="44" t="s">
        <v>650</v>
      </c>
      <c r="D280" s="37" t="s">
        <v>375</v>
      </c>
      <c r="E280" s="37" t="s">
        <v>349</v>
      </c>
      <c r="F280" s="39">
        <v>9</v>
      </c>
      <c r="G280" s="39">
        <v>5</v>
      </c>
    </row>
    <row r="281" spans="1:7" ht="18.399999999999999" thickBot="1" x14ac:dyDescent="0.6">
      <c r="A281" s="29">
        <v>280</v>
      </c>
      <c r="B281" s="34" t="s">
        <v>306</v>
      </c>
      <c r="C281" s="43" t="s">
        <v>651</v>
      </c>
      <c r="D281" s="35"/>
      <c r="E281" s="35" t="s">
        <v>349</v>
      </c>
      <c r="F281" s="40">
        <v>9</v>
      </c>
      <c r="G281" s="40">
        <v>0</v>
      </c>
    </row>
    <row r="282" spans="1:7" ht="18" x14ac:dyDescent="0.55000000000000004">
      <c r="A282" s="29">
        <v>281</v>
      </c>
      <c r="B282" s="41" t="s">
        <v>307</v>
      </c>
      <c r="C282" s="44" t="s">
        <v>652</v>
      </c>
      <c r="D282" s="32" t="s">
        <v>369</v>
      </c>
      <c r="E282" s="37" t="s">
        <v>349</v>
      </c>
      <c r="F282" s="39">
        <v>9</v>
      </c>
      <c r="G282" s="39">
        <v>2</v>
      </c>
    </row>
    <row r="283" spans="1:7" ht="18" x14ac:dyDescent="0.55000000000000004">
      <c r="A283" s="29">
        <v>282</v>
      </c>
      <c r="B283" s="34" t="s">
        <v>308</v>
      </c>
      <c r="C283" s="43" t="s">
        <v>653</v>
      </c>
      <c r="D283" s="35" t="s">
        <v>371</v>
      </c>
      <c r="E283" s="35" t="s">
        <v>349</v>
      </c>
      <c r="F283" s="40">
        <v>9</v>
      </c>
      <c r="G283" s="40">
        <v>3</v>
      </c>
    </row>
    <row r="284" spans="1:7" ht="18" x14ac:dyDescent="0.55000000000000004">
      <c r="A284" s="29">
        <v>283</v>
      </c>
      <c r="B284" s="41" t="s">
        <v>309</v>
      </c>
      <c r="C284" s="44" t="s">
        <v>654</v>
      </c>
      <c r="D284" s="37" t="s">
        <v>375</v>
      </c>
      <c r="E284" s="37" t="s">
        <v>349</v>
      </c>
      <c r="F284" s="39">
        <v>9</v>
      </c>
      <c r="G284" s="39">
        <v>3</v>
      </c>
    </row>
    <row r="285" spans="1:7" ht="18.399999999999999" thickBot="1" x14ac:dyDescent="0.6">
      <c r="A285" s="29">
        <v>284</v>
      </c>
      <c r="B285" s="34" t="s">
        <v>55</v>
      </c>
      <c r="C285" s="43" t="s">
        <v>655</v>
      </c>
      <c r="D285" s="35" t="s">
        <v>375</v>
      </c>
      <c r="E285" s="35" t="s">
        <v>349</v>
      </c>
      <c r="F285" s="40">
        <v>9</v>
      </c>
      <c r="G285" s="40">
        <v>8</v>
      </c>
    </row>
    <row r="286" spans="1:7" ht="18" x14ac:dyDescent="0.55000000000000004">
      <c r="A286" s="29">
        <v>285</v>
      </c>
      <c r="B286" s="41" t="s">
        <v>40</v>
      </c>
      <c r="C286" s="44" t="s">
        <v>656</v>
      </c>
      <c r="D286" s="32" t="s">
        <v>369</v>
      </c>
      <c r="E286" s="37" t="s">
        <v>349</v>
      </c>
      <c r="F286" s="39">
        <v>9</v>
      </c>
      <c r="G286" s="39">
        <v>1</v>
      </c>
    </row>
    <row r="287" spans="1:7" ht="18" x14ac:dyDescent="0.55000000000000004">
      <c r="A287" s="29">
        <v>286</v>
      </c>
      <c r="B287" s="34" t="s">
        <v>310</v>
      </c>
      <c r="C287" s="43" t="s">
        <v>657</v>
      </c>
      <c r="D287" s="35" t="s">
        <v>371</v>
      </c>
      <c r="E287" s="35" t="s">
        <v>349</v>
      </c>
      <c r="F287" s="40">
        <v>9</v>
      </c>
      <c r="G287" s="40">
        <v>9</v>
      </c>
    </row>
    <row r="288" spans="1:7" ht="18" x14ac:dyDescent="0.55000000000000004">
      <c r="A288" s="29">
        <v>287</v>
      </c>
      <c r="B288" s="41" t="s">
        <v>311</v>
      </c>
      <c r="C288" s="44" t="s">
        <v>353</v>
      </c>
      <c r="D288" s="37" t="s">
        <v>369</v>
      </c>
      <c r="E288" s="37" t="s">
        <v>349</v>
      </c>
      <c r="F288" s="39">
        <v>9</v>
      </c>
      <c r="G288" s="39">
        <v>8</v>
      </c>
    </row>
    <row r="289" spans="1:7" ht="18.399999999999999" thickBot="1" x14ac:dyDescent="0.6">
      <c r="A289" s="29">
        <v>288</v>
      </c>
      <c r="B289" s="34" t="s">
        <v>312</v>
      </c>
      <c r="C289" s="43" t="s">
        <v>658</v>
      </c>
      <c r="D289" s="35" t="s">
        <v>384</v>
      </c>
      <c r="E289" s="35" t="s">
        <v>349</v>
      </c>
      <c r="F289" s="40">
        <v>9</v>
      </c>
      <c r="G289" s="40">
        <v>9</v>
      </c>
    </row>
    <row r="290" spans="1:7" ht="18" x14ac:dyDescent="0.55000000000000004">
      <c r="A290" s="29">
        <v>289</v>
      </c>
      <c r="B290" s="41" t="s">
        <v>313</v>
      </c>
      <c r="C290" s="42" t="s">
        <v>659</v>
      </c>
      <c r="D290" s="32" t="s">
        <v>371</v>
      </c>
      <c r="E290" s="37" t="s">
        <v>349</v>
      </c>
      <c r="F290" s="39">
        <v>10</v>
      </c>
      <c r="G290" s="39">
        <v>0</v>
      </c>
    </row>
    <row r="291" spans="1:7" ht="18" x14ac:dyDescent="0.55000000000000004">
      <c r="A291" s="29">
        <v>290</v>
      </c>
      <c r="B291" s="34" t="s">
        <v>314</v>
      </c>
      <c r="C291" s="43" t="s">
        <v>660</v>
      </c>
      <c r="D291" s="35" t="s">
        <v>369</v>
      </c>
      <c r="E291" s="35" t="s">
        <v>349</v>
      </c>
      <c r="F291" s="40">
        <v>10</v>
      </c>
      <c r="G291" s="40">
        <v>2</v>
      </c>
    </row>
    <row r="292" spans="1:7" ht="18" x14ac:dyDescent="0.55000000000000004">
      <c r="A292" s="29">
        <v>291</v>
      </c>
      <c r="B292" s="41" t="s">
        <v>315</v>
      </c>
      <c r="C292" s="44" t="s">
        <v>661</v>
      </c>
      <c r="D292" s="37" t="s">
        <v>375</v>
      </c>
      <c r="E292" s="37" t="s">
        <v>349</v>
      </c>
      <c r="F292" s="39">
        <v>10</v>
      </c>
      <c r="G292" s="39">
        <v>0</v>
      </c>
    </row>
    <row r="293" spans="1:7" ht="18.399999999999999" thickBot="1" x14ac:dyDescent="0.6">
      <c r="A293" s="29">
        <v>292</v>
      </c>
      <c r="B293" s="34" t="s">
        <v>316</v>
      </c>
      <c r="C293" s="43" t="s">
        <v>662</v>
      </c>
      <c r="D293" s="35" t="s">
        <v>371</v>
      </c>
      <c r="E293" s="35" t="s">
        <v>349</v>
      </c>
      <c r="F293" s="40">
        <v>10</v>
      </c>
      <c r="G293" s="40">
        <v>7</v>
      </c>
    </row>
    <row r="294" spans="1:7" ht="18" x14ac:dyDescent="0.55000000000000004">
      <c r="A294" s="29">
        <v>293</v>
      </c>
      <c r="B294" s="41" t="s">
        <v>41</v>
      </c>
      <c r="C294" s="44" t="s">
        <v>663</v>
      </c>
      <c r="D294" s="32" t="s">
        <v>369</v>
      </c>
      <c r="E294" s="37" t="s">
        <v>349</v>
      </c>
      <c r="F294" s="39">
        <v>10</v>
      </c>
      <c r="G294" s="39">
        <v>4</v>
      </c>
    </row>
    <row r="295" spans="1:7" ht="18" x14ac:dyDescent="0.55000000000000004">
      <c r="A295" s="29">
        <v>294</v>
      </c>
      <c r="B295" s="34" t="s">
        <v>42</v>
      </c>
      <c r="C295" s="43" t="s">
        <v>664</v>
      </c>
      <c r="D295" s="35" t="s">
        <v>384</v>
      </c>
      <c r="E295" s="35" t="s">
        <v>349</v>
      </c>
      <c r="F295" s="40">
        <v>10</v>
      </c>
      <c r="G295" s="40">
        <v>3</v>
      </c>
    </row>
    <row r="296" spans="1:7" ht="18" x14ac:dyDescent="0.55000000000000004">
      <c r="A296" s="29">
        <v>295</v>
      </c>
      <c r="B296" s="41" t="s">
        <v>317</v>
      </c>
      <c r="C296" s="44" t="s">
        <v>665</v>
      </c>
      <c r="D296" s="37" t="s">
        <v>375</v>
      </c>
      <c r="E296" s="37" t="s">
        <v>349</v>
      </c>
      <c r="F296" s="39">
        <v>10</v>
      </c>
      <c r="G296" s="39">
        <v>5</v>
      </c>
    </row>
    <row r="297" spans="1:7" ht="18.399999999999999" thickBot="1" x14ac:dyDescent="0.6">
      <c r="A297" s="29">
        <v>296</v>
      </c>
      <c r="B297" s="34" t="s">
        <v>43</v>
      </c>
      <c r="C297" s="43" t="s">
        <v>666</v>
      </c>
      <c r="D297" s="35" t="s">
        <v>375</v>
      </c>
      <c r="E297" s="35" t="s">
        <v>349</v>
      </c>
      <c r="F297" s="40">
        <v>10</v>
      </c>
      <c r="G297" s="40">
        <v>2</v>
      </c>
    </row>
    <row r="298" spans="1:7" ht="18" x14ac:dyDescent="0.55000000000000004">
      <c r="A298" s="29">
        <v>297</v>
      </c>
      <c r="B298" s="41" t="s">
        <v>318</v>
      </c>
      <c r="C298" s="44" t="s">
        <v>667</v>
      </c>
      <c r="D298" s="32" t="s">
        <v>369</v>
      </c>
      <c r="E298" s="37" t="s">
        <v>349</v>
      </c>
      <c r="F298" s="39">
        <v>10</v>
      </c>
      <c r="G298" s="39">
        <v>4</v>
      </c>
    </row>
    <row r="299" spans="1:7" ht="18" x14ac:dyDescent="0.55000000000000004">
      <c r="A299" s="29">
        <v>298</v>
      </c>
      <c r="B299" s="34" t="s">
        <v>319</v>
      </c>
      <c r="C299" s="43" t="s">
        <v>668</v>
      </c>
      <c r="D299" s="35" t="s">
        <v>371</v>
      </c>
      <c r="E299" s="35" t="s">
        <v>349</v>
      </c>
      <c r="F299" s="40">
        <v>10</v>
      </c>
      <c r="G299" s="40">
        <v>2</v>
      </c>
    </row>
    <row r="300" spans="1:7" ht="18" x14ac:dyDescent="0.55000000000000004">
      <c r="A300" s="29">
        <v>299</v>
      </c>
      <c r="B300" s="41" t="s">
        <v>320</v>
      </c>
      <c r="C300" s="44" t="s">
        <v>669</v>
      </c>
      <c r="D300" s="37" t="s">
        <v>369</v>
      </c>
      <c r="E300" s="37" t="s">
        <v>349</v>
      </c>
      <c r="F300" s="39">
        <v>10</v>
      </c>
      <c r="G300" s="39">
        <v>11</v>
      </c>
    </row>
    <row r="301" spans="1:7" ht="18.399999999999999" thickBot="1" x14ac:dyDescent="0.6">
      <c r="A301" s="29">
        <v>300</v>
      </c>
      <c r="B301" s="34" t="s">
        <v>321</v>
      </c>
      <c r="C301" s="43" t="s">
        <v>670</v>
      </c>
      <c r="D301" s="35" t="s">
        <v>375</v>
      </c>
      <c r="E301" s="35" t="s">
        <v>349</v>
      </c>
      <c r="F301" s="40">
        <v>10</v>
      </c>
      <c r="G301" s="40">
        <v>6</v>
      </c>
    </row>
    <row r="302" spans="1:7" ht="18" x14ac:dyDescent="0.55000000000000004">
      <c r="A302" s="29">
        <v>301</v>
      </c>
      <c r="B302" s="41" t="s">
        <v>322</v>
      </c>
      <c r="C302" s="44" t="s">
        <v>671</v>
      </c>
      <c r="D302" s="32" t="s">
        <v>384</v>
      </c>
      <c r="E302" s="37" t="s">
        <v>349</v>
      </c>
      <c r="F302" s="39">
        <v>10</v>
      </c>
      <c r="G302" s="39">
        <v>3</v>
      </c>
    </row>
    <row r="303" spans="1:7" ht="18" x14ac:dyDescent="0.55000000000000004">
      <c r="A303" s="29">
        <v>302</v>
      </c>
      <c r="B303" s="34" t="s">
        <v>323</v>
      </c>
      <c r="C303" s="43" t="s">
        <v>672</v>
      </c>
      <c r="D303" s="35" t="s">
        <v>369</v>
      </c>
      <c r="E303" s="35" t="s">
        <v>349</v>
      </c>
      <c r="F303" s="40">
        <v>10</v>
      </c>
      <c r="G303" s="40">
        <v>3</v>
      </c>
    </row>
    <row r="304" spans="1:7" ht="18" x14ac:dyDescent="0.55000000000000004">
      <c r="A304" s="29">
        <v>303</v>
      </c>
      <c r="B304" s="41" t="s">
        <v>324</v>
      </c>
      <c r="C304" s="44" t="s">
        <v>673</v>
      </c>
      <c r="D304" s="37" t="s">
        <v>384</v>
      </c>
      <c r="E304" s="37" t="s">
        <v>349</v>
      </c>
      <c r="F304" s="39">
        <v>10</v>
      </c>
      <c r="G304" s="39">
        <v>4</v>
      </c>
    </row>
    <row r="305" spans="1:7" ht="18.399999999999999" thickBot="1" x14ac:dyDescent="0.6">
      <c r="A305" s="29">
        <v>304</v>
      </c>
      <c r="B305" s="34" t="s">
        <v>325</v>
      </c>
      <c r="C305" s="43" t="s">
        <v>674</v>
      </c>
      <c r="D305" s="35" t="s">
        <v>371</v>
      </c>
      <c r="E305" s="35" t="s">
        <v>349</v>
      </c>
      <c r="F305" s="40">
        <v>10</v>
      </c>
      <c r="G305" s="40">
        <v>2</v>
      </c>
    </row>
    <row r="306" spans="1:7" ht="18" x14ac:dyDescent="0.55000000000000004">
      <c r="A306" s="29">
        <v>305</v>
      </c>
      <c r="B306" s="41" t="s">
        <v>326</v>
      </c>
      <c r="C306" s="44" t="s">
        <v>675</v>
      </c>
      <c r="D306" s="32" t="s">
        <v>384</v>
      </c>
      <c r="E306" s="37" t="s">
        <v>349</v>
      </c>
      <c r="F306" s="39">
        <v>10</v>
      </c>
      <c r="G306" s="39">
        <v>4</v>
      </c>
    </row>
    <row r="307" spans="1:7" ht="18" x14ac:dyDescent="0.55000000000000004">
      <c r="A307" s="29">
        <v>306</v>
      </c>
      <c r="B307" s="34" t="s">
        <v>44</v>
      </c>
      <c r="C307" s="43" t="s">
        <v>676</v>
      </c>
      <c r="D307" s="35" t="s">
        <v>369</v>
      </c>
      <c r="E307" s="35" t="s">
        <v>349</v>
      </c>
      <c r="F307" s="40">
        <v>10</v>
      </c>
      <c r="G307" s="40">
        <v>4</v>
      </c>
    </row>
    <row r="308" spans="1:7" ht="18" x14ac:dyDescent="0.55000000000000004">
      <c r="A308" s="29">
        <v>307</v>
      </c>
      <c r="B308" s="41" t="s">
        <v>327</v>
      </c>
      <c r="C308" s="44" t="s">
        <v>677</v>
      </c>
      <c r="D308" s="37"/>
      <c r="E308" s="37" t="s">
        <v>349</v>
      </c>
      <c r="F308" s="39">
        <v>10</v>
      </c>
      <c r="G308" s="39">
        <v>0</v>
      </c>
    </row>
    <row r="309" spans="1:7" ht="18.399999999999999" thickBot="1" x14ac:dyDescent="0.6">
      <c r="A309" s="29">
        <v>308</v>
      </c>
      <c r="B309" s="34" t="s">
        <v>328</v>
      </c>
      <c r="C309" s="43" t="s">
        <v>678</v>
      </c>
      <c r="D309" s="35" t="s">
        <v>369</v>
      </c>
      <c r="E309" s="35" t="s">
        <v>349</v>
      </c>
      <c r="F309" s="40">
        <v>10</v>
      </c>
      <c r="G309" s="40">
        <v>5</v>
      </c>
    </row>
    <row r="310" spans="1:7" ht="18" x14ac:dyDescent="0.55000000000000004">
      <c r="A310" s="29">
        <v>309</v>
      </c>
      <c r="B310" s="41" t="s">
        <v>329</v>
      </c>
      <c r="C310" s="44" t="s">
        <v>679</v>
      </c>
      <c r="D310" s="32" t="s">
        <v>384</v>
      </c>
      <c r="E310" s="37" t="s">
        <v>349</v>
      </c>
      <c r="F310" s="39">
        <v>10</v>
      </c>
      <c r="G310" s="39">
        <v>6</v>
      </c>
    </row>
    <row r="311" spans="1:7" ht="18" x14ac:dyDescent="0.55000000000000004">
      <c r="A311" s="29">
        <v>310</v>
      </c>
      <c r="B311" s="34" t="s">
        <v>330</v>
      </c>
      <c r="C311" s="43" t="s">
        <v>680</v>
      </c>
      <c r="D311" s="35" t="s">
        <v>369</v>
      </c>
      <c r="E311" s="35" t="s">
        <v>349</v>
      </c>
      <c r="F311" s="40">
        <v>10</v>
      </c>
      <c r="G311" s="40">
        <v>2</v>
      </c>
    </row>
    <row r="312" spans="1:7" ht="18" x14ac:dyDescent="0.55000000000000004">
      <c r="A312" s="29">
        <v>311</v>
      </c>
      <c r="B312" s="41" t="s">
        <v>331</v>
      </c>
      <c r="C312" s="44" t="s">
        <v>681</v>
      </c>
      <c r="D312" s="37" t="s">
        <v>375</v>
      </c>
      <c r="E312" s="37" t="s">
        <v>349</v>
      </c>
      <c r="F312" s="39">
        <v>10</v>
      </c>
      <c r="G312" s="39">
        <v>5</v>
      </c>
    </row>
    <row r="313" spans="1:7" ht="18.399999999999999" thickBot="1" x14ac:dyDescent="0.6">
      <c r="A313" s="29">
        <v>312</v>
      </c>
      <c r="B313" s="34" t="s">
        <v>332</v>
      </c>
      <c r="C313" s="43" t="s">
        <v>682</v>
      </c>
      <c r="D313" s="35" t="s">
        <v>375</v>
      </c>
      <c r="E313" s="35" t="s">
        <v>349</v>
      </c>
      <c r="F313" s="40">
        <v>10</v>
      </c>
      <c r="G313" s="40">
        <v>1</v>
      </c>
    </row>
    <row r="314" spans="1:7" ht="18" x14ac:dyDescent="0.55000000000000004">
      <c r="A314" s="29">
        <v>313</v>
      </c>
      <c r="B314" s="41" t="s">
        <v>333</v>
      </c>
      <c r="C314" s="44" t="s">
        <v>683</v>
      </c>
      <c r="D314" s="32" t="s">
        <v>371</v>
      </c>
      <c r="E314" s="37" t="s">
        <v>349</v>
      </c>
      <c r="F314" s="39">
        <v>10</v>
      </c>
      <c r="G314" s="39">
        <v>2</v>
      </c>
    </row>
    <row r="315" spans="1:7" ht="18" x14ac:dyDescent="0.55000000000000004">
      <c r="A315" s="29">
        <v>314</v>
      </c>
      <c r="B315" s="34" t="s">
        <v>334</v>
      </c>
      <c r="C315" s="43" t="s">
        <v>684</v>
      </c>
      <c r="D315" s="35" t="s">
        <v>384</v>
      </c>
      <c r="E315" s="35" t="s">
        <v>349</v>
      </c>
      <c r="F315" s="40">
        <v>10</v>
      </c>
      <c r="G315" s="40">
        <v>3</v>
      </c>
    </row>
    <row r="316" spans="1:7" ht="18" x14ac:dyDescent="0.55000000000000004">
      <c r="A316" s="29">
        <v>315</v>
      </c>
      <c r="B316" s="41" t="s">
        <v>335</v>
      </c>
      <c r="C316" s="44" t="s">
        <v>685</v>
      </c>
      <c r="D316" s="37" t="s">
        <v>371</v>
      </c>
      <c r="E316" s="37" t="s">
        <v>349</v>
      </c>
      <c r="F316" s="39">
        <v>10</v>
      </c>
      <c r="G316" s="39">
        <v>4</v>
      </c>
    </row>
    <row r="317" spans="1:7" ht="18.399999999999999" thickBot="1" x14ac:dyDescent="0.6">
      <c r="A317" s="29">
        <v>316</v>
      </c>
      <c r="B317" s="34" t="s">
        <v>336</v>
      </c>
      <c r="C317" s="43" t="s">
        <v>686</v>
      </c>
      <c r="D317" s="35" t="s">
        <v>371</v>
      </c>
      <c r="E317" s="35" t="s">
        <v>349</v>
      </c>
      <c r="F317" s="40">
        <v>10</v>
      </c>
      <c r="G317" s="40">
        <v>11</v>
      </c>
    </row>
    <row r="318" spans="1:7" ht="18" x14ac:dyDescent="0.55000000000000004">
      <c r="A318" s="29">
        <v>317</v>
      </c>
      <c r="B318" s="41" t="s">
        <v>337</v>
      </c>
      <c r="C318" s="44" t="s">
        <v>687</v>
      </c>
      <c r="D318" s="32" t="s">
        <v>375</v>
      </c>
      <c r="E318" s="37" t="s">
        <v>349</v>
      </c>
      <c r="F318" s="39">
        <v>10</v>
      </c>
      <c r="G318" s="39">
        <v>11</v>
      </c>
    </row>
    <row r="319" spans="1:7" ht="18" x14ac:dyDescent="0.55000000000000004">
      <c r="A319" s="29">
        <v>318</v>
      </c>
      <c r="B319" s="34" t="s">
        <v>338</v>
      </c>
      <c r="C319" s="43" t="s">
        <v>688</v>
      </c>
      <c r="D319" s="35" t="s">
        <v>384</v>
      </c>
      <c r="E319" s="35" t="s">
        <v>349</v>
      </c>
      <c r="F319" s="40">
        <v>10</v>
      </c>
      <c r="G319" s="40">
        <v>10</v>
      </c>
    </row>
    <row r="320" spans="1:7" ht="18" x14ac:dyDescent="0.55000000000000004">
      <c r="A320" s="29">
        <v>319</v>
      </c>
      <c r="B320" s="41" t="s">
        <v>339</v>
      </c>
      <c r="C320" s="44" t="s">
        <v>689</v>
      </c>
      <c r="D320" s="37" t="s">
        <v>384</v>
      </c>
      <c r="E320" s="37" t="s">
        <v>349</v>
      </c>
      <c r="F320" s="39">
        <v>10</v>
      </c>
      <c r="G320" s="39">
        <v>0</v>
      </c>
    </row>
    <row r="321" spans="1:7" ht="18.399999999999999" thickBot="1" x14ac:dyDescent="0.6">
      <c r="A321" s="29">
        <v>320</v>
      </c>
      <c r="B321" s="34" t="s">
        <v>340</v>
      </c>
      <c r="C321" s="43" t="s">
        <v>690</v>
      </c>
      <c r="D321" s="35" t="s">
        <v>369</v>
      </c>
      <c r="E321" s="35" t="s">
        <v>349</v>
      </c>
      <c r="F321" s="40">
        <v>10</v>
      </c>
      <c r="G321" s="40">
        <v>8</v>
      </c>
    </row>
    <row r="322" spans="1:7" ht="18" x14ac:dyDescent="0.55000000000000004">
      <c r="A322" s="29">
        <v>321</v>
      </c>
      <c r="B322" s="41" t="s">
        <v>341</v>
      </c>
      <c r="C322" s="44" t="s">
        <v>691</v>
      </c>
      <c r="D322" s="32" t="s">
        <v>375</v>
      </c>
      <c r="E322" s="37" t="s">
        <v>349</v>
      </c>
      <c r="F322" s="39">
        <v>10</v>
      </c>
      <c r="G322" s="39">
        <v>0</v>
      </c>
    </row>
    <row r="323" spans="1:7" ht="18" x14ac:dyDescent="0.55000000000000004">
      <c r="A323" s="29">
        <v>322</v>
      </c>
      <c r="B323" s="53"/>
      <c r="C323" s="54"/>
      <c r="D323" s="55"/>
      <c r="E323" s="55"/>
      <c r="F323" s="56"/>
      <c r="G323" s="56"/>
    </row>
    <row r="324" spans="1:7" ht="18" x14ac:dyDescent="0.55000000000000004">
      <c r="A324" s="29">
        <v>323</v>
      </c>
      <c r="B324" s="41"/>
      <c r="C324" s="48"/>
      <c r="D324" s="37"/>
      <c r="E324" s="37"/>
      <c r="F324" s="39"/>
      <c r="G324" s="39"/>
    </row>
    <row r="325" spans="1:7" ht="18.399999999999999" thickBot="1" x14ac:dyDescent="0.6">
      <c r="A325" s="29">
        <v>324</v>
      </c>
      <c r="B325" s="34"/>
      <c r="C325" s="47"/>
      <c r="D325" s="35"/>
      <c r="E325" s="35"/>
      <c r="F325" s="40"/>
      <c r="G325" s="40"/>
    </row>
    <row r="326" spans="1:7" ht="18" x14ac:dyDescent="0.55000000000000004">
      <c r="A326" s="29">
        <v>325</v>
      </c>
      <c r="B326" s="41"/>
      <c r="C326" s="48"/>
      <c r="D326" s="32"/>
      <c r="E326" s="37"/>
      <c r="F326" s="39"/>
      <c r="G326" s="39"/>
    </row>
    <row r="327" spans="1:7" ht="18" x14ac:dyDescent="0.55000000000000004">
      <c r="A327" s="29">
        <v>326</v>
      </c>
      <c r="B327" s="34"/>
      <c r="C327" s="47"/>
      <c r="D327" s="35"/>
      <c r="E327" s="35"/>
      <c r="F327" s="40"/>
      <c r="G327" s="40"/>
    </row>
    <row r="328" spans="1:7" ht="18" x14ac:dyDescent="0.55000000000000004">
      <c r="A328" s="29">
        <v>327</v>
      </c>
      <c r="B328" s="41"/>
      <c r="C328" s="48"/>
      <c r="D328" s="37"/>
      <c r="E328" s="37"/>
      <c r="F328" s="39"/>
      <c r="G328" s="39"/>
    </row>
    <row r="329" spans="1:7" ht="18.399999999999999" thickBot="1" x14ac:dyDescent="0.6">
      <c r="A329" s="29">
        <v>328</v>
      </c>
      <c r="B329" s="34"/>
      <c r="C329" s="47"/>
      <c r="D329" s="35"/>
      <c r="E329" s="35"/>
      <c r="F329" s="40"/>
      <c r="G329" s="40"/>
    </row>
    <row r="330" spans="1:7" ht="18" x14ac:dyDescent="0.55000000000000004">
      <c r="A330" s="29">
        <v>329</v>
      </c>
      <c r="B330" s="41"/>
      <c r="C330" s="48"/>
      <c r="D330" s="32"/>
      <c r="E330" s="37"/>
      <c r="F330" s="39"/>
      <c r="G330" s="39"/>
    </row>
    <row r="331" spans="1:7" ht="18" x14ac:dyDescent="0.55000000000000004">
      <c r="A331" s="29">
        <v>330</v>
      </c>
      <c r="B331" s="34"/>
      <c r="C331" s="47"/>
      <c r="D331" s="35"/>
      <c r="E331" s="35"/>
      <c r="F331" s="40"/>
      <c r="G331" s="40"/>
    </row>
    <row r="332" spans="1:7" ht="18" x14ac:dyDescent="0.55000000000000004">
      <c r="A332" s="29">
        <v>331</v>
      </c>
      <c r="B332" s="41"/>
      <c r="C332" s="48"/>
      <c r="D332" s="37"/>
      <c r="E332" s="37"/>
      <c r="F332" s="39"/>
      <c r="G332" s="39"/>
    </row>
    <row r="333" spans="1:7" ht="18.399999999999999" thickBot="1" x14ac:dyDescent="0.6">
      <c r="A333" s="29">
        <v>332</v>
      </c>
      <c r="B333" s="34"/>
      <c r="C333" s="47"/>
      <c r="D333" s="35"/>
      <c r="E333" s="35"/>
      <c r="F333" s="40"/>
      <c r="G333" s="40"/>
    </row>
    <row r="334" spans="1:7" ht="18" x14ac:dyDescent="0.55000000000000004">
      <c r="A334" s="29">
        <v>333</v>
      </c>
      <c r="B334" s="41"/>
      <c r="C334" s="48"/>
      <c r="D334" s="32"/>
      <c r="E334" s="37"/>
      <c r="F334" s="39"/>
      <c r="G334" s="39"/>
    </row>
    <row r="335" spans="1:7" ht="18" x14ac:dyDescent="0.55000000000000004">
      <c r="A335" s="29">
        <v>334</v>
      </c>
      <c r="B335" s="34"/>
      <c r="C335" s="47"/>
      <c r="D335" s="35"/>
      <c r="E335" s="35"/>
      <c r="F335" s="40"/>
      <c r="G335" s="40"/>
    </row>
    <row r="336" spans="1:7" ht="18" x14ac:dyDescent="0.55000000000000004">
      <c r="A336" s="29">
        <v>335</v>
      </c>
      <c r="B336" s="41"/>
      <c r="C336" s="48"/>
      <c r="D336" s="37"/>
      <c r="E336" s="37"/>
      <c r="F336" s="39"/>
      <c r="G336" s="39"/>
    </row>
    <row r="337" spans="1:7" ht="18.399999999999999" thickBot="1" x14ac:dyDescent="0.6">
      <c r="A337" s="29">
        <v>336</v>
      </c>
      <c r="B337" s="34"/>
      <c r="C337" s="47"/>
      <c r="D337" s="35"/>
      <c r="E337" s="35"/>
      <c r="F337" s="40"/>
      <c r="G337" s="40"/>
    </row>
    <row r="338" spans="1:7" ht="18" x14ac:dyDescent="0.55000000000000004">
      <c r="A338" s="29">
        <v>337</v>
      </c>
      <c r="B338" s="41"/>
      <c r="C338" s="48"/>
      <c r="D338" s="32"/>
      <c r="E338" s="37"/>
      <c r="F338" s="39"/>
      <c r="G338" s="39"/>
    </row>
    <row r="339" spans="1:7" ht="18" x14ac:dyDescent="0.55000000000000004">
      <c r="A339" s="29">
        <v>338</v>
      </c>
      <c r="B339" s="34"/>
      <c r="C339" s="47"/>
      <c r="D339" s="35"/>
      <c r="E339" s="35"/>
      <c r="F339" s="40"/>
      <c r="G339" s="40"/>
    </row>
    <row r="340" spans="1:7" ht="18" x14ac:dyDescent="0.55000000000000004">
      <c r="A340" s="29">
        <v>339</v>
      </c>
      <c r="B340" s="41"/>
      <c r="C340" s="48"/>
      <c r="D340" s="37"/>
      <c r="E340" s="37"/>
      <c r="F340" s="39"/>
      <c r="G340" s="39"/>
    </row>
    <row r="341" spans="1:7" ht="18.399999999999999" thickBot="1" x14ac:dyDescent="0.6">
      <c r="A341" s="29">
        <v>340</v>
      </c>
      <c r="B341" s="34"/>
      <c r="C341" s="47"/>
      <c r="D341" s="35"/>
      <c r="E341" s="35"/>
      <c r="F341" s="40"/>
      <c r="G341" s="40"/>
    </row>
    <row r="342" spans="1:7" ht="18" x14ac:dyDescent="0.55000000000000004">
      <c r="A342" s="29">
        <v>341</v>
      </c>
      <c r="B342" s="41"/>
      <c r="C342" s="48"/>
      <c r="D342" s="32"/>
      <c r="E342" s="37"/>
      <c r="F342" s="39"/>
      <c r="G342" s="39"/>
    </row>
    <row r="343" spans="1:7" ht="18" x14ac:dyDescent="0.55000000000000004">
      <c r="A343" s="29">
        <v>342</v>
      </c>
      <c r="B343" s="34"/>
      <c r="C343" s="47"/>
      <c r="D343" s="35"/>
      <c r="E343" s="35"/>
      <c r="F343" s="40"/>
      <c r="G343" s="40"/>
    </row>
    <row r="344" spans="1:7" ht="18" x14ac:dyDescent="0.55000000000000004">
      <c r="A344" s="29">
        <v>343</v>
      </c>
      <c r="B344" s="41"/>
      <c r="C344" s="48"/>
      <c r="D344" s="37"/>
      <c r="E344" s="37"/>
      <c r="F344" s="39"/>
      <c r="G344" s="39"/>
    </row>
    <row r="345" spans="1:7" ht="18.399999999999999" thickBot="1" x14ac:dyDescent="0.6">
      <c r="A345" s="29">
        <v>344</v>
      </c>
      <c r="B345" s="34"/>
      <c r="C345" s="47"/>
      <c r="D345" s="35"/>
      <c r="E345" s="35"/>
      <c r="F345" s="40"/>
      <c r="G345" s="40"/>
    </row>
    <row r="346" spans="1:7" ht="18" x14ac:dyDescent="0.55000000000000004">
      <c r="A346" s="29">
        <v>345</v>
      </c>
      <c r="B346" s="41"/>
      <c r="C346" s="48"/>
      <c r="D346" s="32"/>
      <c r="E346" s="37"/>
      <c r="F346" s="39"/>
      <c r="G346" s="39"/>
    </row>
    <row r="347" spans="1:7" ht="18" x14ac:dyDescent="0.55000000000000004">
      <c r="A347" s="29">
        <v>346</v>
      </c>
      <c r="B347" s="34"/>
      <c r="C347" s="47"/>
      <c r="D347" s="35"/>
      <c r="E347" s="35"/>
      <c r="F347" s="40"/>
      <c r="G347" s="40"/>
    </row>
    <row r="348" spans="1:7" ht="18" x14ac:dyDescent="0.55000000000000004">
      <c r="A348" s="29">
        <v>347</v>
      </c>
      <c r="B348" s="41"/>
      <c r="C348" s="48"/>
      <c r="D348" s="37"/>
      <c r="E348" s="37"/>
      <c r="F348" s="39"/>
      <c r="G348" s="39"/>
    </row>
    <row r="349" spans="1:7" ht="18.399999999999999" thickBot="1" x14ac:dyDescent="0.6">
      <c r="A349" s="29">
        <v>348</v>
      </c>
      <c r="B349" s="34"/>
      <c r="C349" s="47"/>
      <c r="D349" s="35"/>
      <c r="E349" s="35"/>
      <c r="F349" s="40"/>
      <c r="G349" s="40"/>
    </row>
    <row r="350" spans="1:7" ht="18" x14ac:dyDescent="0.55000000000000004">
      <c r="A350" s="29">
        <v>349</v>
      </c>
      <c r="B350" s="41"/>
      <c r="C350" s="48"/>
      <c r="D350" s="32"/>
      <c r="E350" s="37"/>
      <c r="F350" s="39"/>
      <c r="G350" s="39"/>
    </row>
    <row r="351" spans="1:7" ht="18" x14ac:dyDescent="0.55000000000000004">
      <c r="A351" s="29">
        <v>350</v>
      </c>
      <c r="B351" s="34"/>
      <c r="C351" s="47"/>
      <c r="D351" s="35"/>
      <c r="E351" s="35"/>
      <c r="F351" s="40"/>
      <c r="G351" s="40"/>
    </row>
    <row r="352" spans="1:7" ht="18" x14ac:dyDescent="0.55000000000000004">
      <c r="A352" s="29">
        <v>351</v>
      </c>
      <c r="B352" s="41"/>
      <c r="C352" s="48"/>
      <c r="D352" s="37"/>
      <c r="E352" s="37"/>
      <c r="F352" s="39"/>
      <c r="G352" s="39"/>
    </row>
    <row r="353" spans="1:7" ht="18.399999999999999" thickBot="1" x14ac:dyDescent="0.6">
      <c r="A353" s="29">
        <v>352</v>
      </c>
      <c r="B353" s="34"/>
      <c r="C353" s="47"/>
      <c r="D353" s="35"/>
      <c r="E353" s="35"/>
      <c r="F353" s="40"/>
      <c r="G353" s="40"/>
    </row>
    <row r="354" spans="1:7" ht="18" x14ac:dyDescent="0.55000000000000004">
      <c r="A354" s="29">
        <v>353</v>
      </c>
      <c r="B354" s="41"/>
      <c r="C354" s="48"/>
      <c r="D354" s="32"/>
      <c r="E354" s="37"/>
      <c r="F354" s="39"/>
      <c r="G354" s="39"/>
    </row>
    <row r="355" spans="1:7" ht="18" x14ac:dyDescent="0.55000000000000004">
      <c r="A355" s="29">
        <v>354</v>
      </c>
      <c r="B355" s="34"/>
      <c r="C355" s="47"/>
      <c r="D355" s="35"/>
      <c r="E355" s="35"/>
      <c r="F355" s="40"/>
      <c r="G355" s="40"/>
    </row>
    <row r="356" spans="1:7" ht="18" x14ac:dyDescent="0.55000000000000004">
      <c r="A356" s="29">
        <v>355</v>
      </c>
      <c r="B356" s="41"/>
      <c r="C356" s="48"/>
      <c r="D356" s="37"/>
      <c r="E356" s="37"/>
      <c r="F356" s="39"/>
      <c r="G356" s="39"/>
    </row>
    <row r="357" spans="1:7" ht="18.399999999999999" thickBot="1" x14ac:dyDescent="0.6">
      <c r="A357" s="29">
        <v>356</v>
      </c>
      <c r="B357" s="34"/>
      <c r="C357" s="47"/>
      <c r="D357" s="35"/>
      <c r="E357" s="35"/>
      <c r="F357" s="40"/>
      <c r="G357" s="40"/>
    </row>
    <row r="358" spans="1:7" ht="18" x14ac:dyDescent="0.55000000000000004">
      <c r="A358" s="29">
        <v>357</v>
      </c>
      <c r="B358" s="41"/>
      <c r="C358" s="48"/>
      <c r="D358" s="32"/>
      <c r="E358" s="37"/>
      <c r="F358" s="39"/>
      <c r="G358" s="39"/>
    </row>
    <row r="359" spans="1:7" ht="18" x14ac:dyDescent="0.55000000000000004">
      <c r="A359" s="29">
        <v>358</v>
      </c>
      <c r="B359" s="34"/>
      <c r="C359" s="47"/>
      <c r="D359" s="35"/>
      <c r="E359" s="35"/>
      <c r="F359" s="40"/>
      <c r="G359" s="40"/>
    </row>
    <row r="360" spans="1:7" ht="18" x14ac:dyDescent="0.55000000000000004">
      <c r="A360" s="29">
        <v>359</v>
      </c>
      <c r="B360" s="41"/>
      <c r="C360" s="48"/>
      <c r="D360" s="37"/>
      <c r="E360" s="37"/>
      <c r="F360" s="39"/>
      <c r="G360" s="39"/>
    </row>
    <row r="361" spans="1:7" ht="18.399999999999999" thickBot="1" x14ac:dyDescent="0.6">
      <c r="A361" s="29">
        <v>360</v>
      </c>
      <c r="B361" s="34"/>
      <c r="C361" s="47"/>
      <c r="D361" s="35"/>
      <c r="E361" s="35"/>
      <c r="F361" s="40"/>
      <c r="G361" s="40"/>
    </row>
    <row r="362" spans="1:7" ht="18" x14ac:dyDescent="0.55000000000000004">
      <c r="A362" s="29">
        <v>361</v>
      </c>
      <c r="B362" s="41"/>
      <c r="C362" s="48"/>
      <c r="D362" s="32"/>
      <c r="E362" s="37"/>
      <c r="F362" s="39"/>
      <c r="G362" s="39"/>
    </row>
    <row r="363" spans="1:7" ht="18" x14ac:dyDescent="0.55000000000000004">
      <c r="A363" s="29">
        <v>362</v>
      </c>
      <c r="B363" s="34"/>
      <c r="C363" s="47"/>
      <c r="D363" s="35"/>
      <c r="E363" s="35"/>
      <c r="F363" s="40"/>
      <c r="G363" s="40"/>
    </row>
    <row r="364" spans="1:7" ht="18" x14ac:dyDescent="0.55000000000000004">
      <c r="A364" s="29">
        <v>363</v>
      </c>
      <c r="B364" s="41"/>
      <c r="C364" s="48"/>
      <c r="D364" s="37"/>
      <c r="E364" s="37"/>
      <c r="F364" s="39"/>
      <c r="G364" s="39"/>
    </row>
    <row r="365" spans="1:7" ht="18.399999999999999" thickBot="1" x14ac:dyDescent="0.6">
      <c r="A365" s="29">
        <v>364</v>
      </c>
      <c r="B365" s="34"/>
      <c r="C365" s="47"/>
      <c r="D365" s="35"/>
      <c r="E365" s="35"/>
      <c r="F365" s="40"/>
      <c r="G365" s="40"/>
    </row>
    <row r="366" spans="1:7" ht="18" x14ac:dyDescent="0.55000000000000004">
      <c r="A366" s="29">
        <v>365</v>
      </c>
      <c r="B366" s="41"/>
      <c r="C366" s="48"/>
      <c r="D366" s="32"/>
      <c r="E366" s="37"/>
      <c r="F366" s="39"/>
      <c r="G366" s="39"/>
    </row>
    <row r="367" spans="1:7" ht="18" x14ac:dyDescent="0.55000000000000004">
      <c r="A367" s="29">
        <v>366</v>
      </c>
      <c r="B367" s="34"/>
      <c r="C367" s="47"/>
      <c r="D367" s="35"/>
      <c r="E367" s="35"/>
      <c r="F367" s="40"/>
      <c r="G367" s="40"/>
    </row>
    <row r="368" spans="1:7" ht="18" x14ac:dyDescent="0.55000000000000004">
      <c r="A368" s="29">
        <v>367</v>
      </c>
      <c r="B368" s="41"/>
      <c r="C368" s="48"/>
      <c r="D368" s="37"/>
      <c r="E368" s="37"/>
      <c r="F368" s="39"/>
      <c r="G368" s="39"/>
    </row>
    <row r="369" spans="1:7" ht="18.399999999999999" thickBot="1" x14ac:dyDescent="0.6">
      <c r="A369" s="29">
        <v>368</v>
      </c>
      <c r="B369" s="34"/>
      <c r="C369" s="47"/>
      <c r="D369" s="35"/>
      <c r="E369" s="35"/>
      <c r="F369" s="40"/>
      <c r="G369" s="40"/>
    </row>
    <row r="370" spans="1:7" ht="18" x14ac:dyDescent="0.55000000000000004">
      <c r="A370" s="29">
        <v>369</v>
      </c>
      <c r="B370" s="41"/>
      <c r="C370" s="48"/>
      <c r="D370" s="32"/>
      <c r="E370" s="37"/>
      <c r="F370" s="39"/>
      <c r="G370" s="39"/>
    </row>
    <row r="371" spans="1:7" ht="18" x14ac:dyDescent="0.55000000000000004">
      <c r="A371" s="29">
        <v>370</v>
      </c>
      <c r="B371" s="34"/>
      <c r="C371" s="47"/>
      <c r="D371" s="35"/>
      <c r="E371" s="35"/>
      <c r="F371" s="40"/>
      <c r="G371" s="40"/>
    </row>
    <row r="372" spans="1:7" ht="18" x14ac:dyDescent="0.55000000000000004">
      <c r="A372" s="29">
        <v>371</v>
      </c>
      <c r="B372" s="41"/>
      <c r="C372" s="48"/>
      <c r="D372" s="37"/>
      <c r="E372" s="37"/>
      <c r="F372" s="39"/>
      <c r="G372" s="39"/>
    </row>
    <row r="373" spans="1:7" ht="18.399999999999999" thickBot="1" x14ac:dyDescent="0.6">
      <c r="A373" s="29">
        <v>372</v>
      </c>
      <c r="B373" s="34"/>
      <c r="C373" s="47"/>
      <c r="D373" s="35"/>
      <c r="E373" s="35"/>
      <c r="F373" s="40"/>
      <c r="G373" s="40"/>
    </row>
    <row r="374" spans="1:7" ht="18" x14ac:dyDescent="0.55000000000000004">
      <c r="A374" s="29">
        <v>373</v>
      </c>
      <c r="B374" s="41"/>
      <c r="C374" s="48"/>
      <c r="D374" s="32"/>
      <c r="E374" s="37"/>
      <c r="F374" s="39"/>
      <c r="G374" s="39"/>
    </row>
    <row r="375" spans="1:7" ht="18" x14ac:dyDescent="0.55000000000000004">
      <c r="A375" s="29">
        <v>374</v>
      </c>
      <c r="B375" s="34"/>
      <c r="C375" s="47"/>
      <c r="D375" s="35"/>
      <c r="E375" s="35"/>
      <c r="F375" s="40"/>
      <c r="G375" s="40"/>
    </row>
    <row r="376" spans="1:7" ht="18" x14ac:dyDescent="0.55000000000000004">
      <c r="A376" s="29">
        <v>375</v>
      </c>
      <c r="B376" s="41"/>
      <c r="C376" s="48"/>
      <c r="D376" s="37"/>
      <c r="E376" s="37"/>
      <c r="F376" s="39"/>
      <c r="G376" s="39"/>
    </row>
    <row r="377" spans="1:7" ht="18.399999999999999" thickBot="1" x14ac:dyDescent="0.6">
      <c r="A377" s="29">
        <v>376</v>
      </c>
      <c r="B377" s="34"/>
      <c r="C377" s="47"/>
      <c r="D377" s="35"/>
      <c r="E377" s="35"/>
      <c r="F377" s="40"/>
      <c r="G377" s="40"/>
    </row>
    <row r="378" spans="1:7" ht="18" x14ac:dyDescent="0.55000000000000004">
      <c r="A378" s="29">
        <v>377</v>
      </c>
      <c r="B378" s="41"/>
      <c r="C378" s="48"/>
      <c r="D378" s="32"/>
      <c r="E378" s="37"/>
      <c r="F378" s="39"/>
      <c r="G378" s="39"/>
    </row>
    <row r="379" spans="1:7" ht="18" x14ac:dyDescent="0.55000000000000004">
      <c r="A379" s="29">
        <v>378</v>
      </c>
      <c r="B379" s="34"/>
      <c r="C379" s="47"/>
      <c r="D379" s="35"/>
      <c r="E379" s="35"/>
      <c r="F379" s="40"/>
      <c r="G379" s="40"/>
    </row>
    <row r="380" spans="1:7" ht="18" x14ac:dyDescent="0.55000000000000004">
      <c r="A380" s="29">
        <v>379</v>
      </c>
      <c r="B380" s="41"/>
      <c r="C380" s="48"/>
      <c r="D380" s="37"/>
      <c r="E380" s="37"/>
      <c r="F380" s="39"/>
      <c r="G380" s="39"/>
    </row>
    <row r="381" spans="1:7" ht="18.399999999999999" thickBot="1" x14ac:dyDescent="0.6">
      <c r="A381" s="29">
        <v>380</v>
      </c>
      <c r="B381" s="34"/>
      <c r="C381" s="47"/>
      <c r="D381" s="35"/>
      <c r="E381" s="35"/>
      <c r="F381" s="40"/>
      <c r="G381" s="40"/>
    </row>
    <row r="382" spans="1:7" ht="18" x14ac:dyDescent="0.55000000000000004">
      <c r="A382" s="29">
        <v>381</v>
      </c>
      <c r="B382" s="41"/>
      <c r="C382" s="48"/>
      <c r="D382" s="32"/>
      <c r="E382" s="37"/>
      <c r="F382" s="39"/>
      <c r="G382" s="39"/>
    </row>
    <row r="383" spans="1:7" ht="18" x14ac:dyDescent="0.55000000000000004">
      <c r="A383" s="29">
        <v>382</v>
      </c>
      <c r="B383" s="34"/>
      <c r="C383" s="47"/>
      <c r="D383" s="35"/>
      <c r="E383" s="35"/>
      <c r="F383" s="40"/>
      <c r="G383" s="40"/>
    </row>
    <row r="384" spans="1:7" ht="18" x14ac:dyDescent="0.55000000000000004">
      <c r="A384" s="29">
        <v>383</v>
      </c>
      <c r="B384" s="41"/>
      <c r="C384" s="48"/>
      <c r="D384" s="37"/>
      <c r="E384" s="37"/>
      <c r="F384" s="39"/>
      <c r="G384" s="39"/>
    </row>
    <row r="385" spans="1:7" ht="18.399999999999999" thickBot="1" x14ac:dyDescent="0.6">
      <c r="A385" s="29">
        <v>384</v>
      </c>
      <c r="B385" s="34"/>
      <c r="C385" s="47"/>
      <c r="D385" s="35"/>
      <c r="E385" s="35"/>
      <c r="F385" s="40"/>
      <c r="G385" s="40"/>
    </row>
    <row r="386" spans="1:7" ht="18" x14ac:dyDescent="0.55000000000000004">
      <c r="A386" s="29">
        <v>385</v>
      </c>
      <c r="B386" s="41"/>
      <c r="C386" s="48"/>
      <c r="D386" s="32"/>
      <c r="E386" s="37"/>
      <c r="F386" s="39"/>
      <c r="G386" s="39"/>
    </row>
    <row r="387" spans="1:7" ht="18" x14ac:dyDescent="0.55000000000000004">
      <c r="A387" s="29">
        <v>386</v>
      </c>
      <c r="B387" s="34"/>
      <c r="C387" s="47"/>
      <c r="D387" s="35"/>
      <c r="E387" s="35"/>
      <c r="F387" s="40"/>
      <c r="G387" s="40"/>
    </row>
    <row r="388" spans="1:7" ht="18" x14ac:dyDescent="0.55000000000000004">
      <c r="A388" s="29">
        <v>387</v>
      </c>
      <c r="B388" s="41"/>
      <c r="C388" s="48"/>
      <c r="D388" s="37"/>
      <c r="E388" s="37"/>
      <c r="F388" s="39"/>
      <c r="G388" s="39"/>
    </row>
    <row r="389" spans="1:7" ht="18.399999999999999" thickBot="1" x14ac:dyDescent="0.6">
      <c r="A389" s="29">
        <v>388</v>
      </c>
      <c r="B389" s="34"/>
      <c r="C389" s="47"/>
      <c r="D389" s="35"/>
      <c r="E389" s="35"/>
      <c r="F389" s="40"/>
      <c r="G389" s="40"/>
    </row>
    <row r="390" spans="1:7" ht="18" x14ac:dyDescent="0.55000000000000004">
      <c r="A390" s="29">
        <v>389</v>
      </c>
      <c r="B390" s="41"/>
      <c r="C390" s="48"/>
      <c r="D390" s="32"/>
      <c r="E390" s="37"/>
      <c r="F390" s="39"/>
      <c r="G390" s="39"/>
    </row>
    <row r="391" spans="1:7" ht="18" x14ac:dyDescent="0.55000000000000004">
      <c r="A391" s="29">
        <v>390</v>
      </c>
      <c r="B391" s="34"/>
      <c r="C391" s="47"/>
      <c r="D391" s="35"/>
      <c r="E391" s="35"/>
      <c r="F391" s="40"/>
      <c r="G391" s="40"/>
    </row>
    <row r="392" spans="1:7" ht="18" x14ac:dyDescent="0.55000000000000004">
      <c r="A392" s="29">
        <v>391</v>
      </c>
      <c r="B392" s="41"/>
      <c r="C392" s="48"/>
      <c r="D392" s="37"/>
      <c r="E392" s="37"/>
      <c r="F392" s="39"/>
      <c r="G392" s="39"/>
    </row>
    <row r="393" spans="1:7" ht="18.399999999999999" thickBot="1" x14ac:dyDescent="0.6">
      <c r="A393" s="29">
        <v>392</v>
      </c>
      <c r="B393" s="34"/>
      <c r="C393" s="47"/>
      <c r="D393" s="35"/>
      <c r="E393" s="35"/>
      <c r="F393" s="40"/>
      <c r="G393" s="40"/>
    </row>
    <row r="394" spans="1:7" ht="18" x14ac:dyDescent="0.55000000000000004">
      <c r="A394" s="29">
        <v>393</v>
      </c>
      <c r="B394" s="41"/>
      <c r="C394" s="48"/>
      <c r="D394" s="32"/>
      <c r="E394" s="37"/>
      <c r="F394" s="39"/>
      <c r="G394" s="39"/>
    </row>
    <row r="395" spans="1:7" ht="18" x14ac:dyDescent="0.55000000000000004">
      <c r="A395" s="29">
        <v>394</v>
      </c>
      <c r="B395" s="34"/>
      <c r="C395" s="47"/>
      <c r="D395" s="35"/>
      <c r="E395" s="35"/>
      <c r="F395" s="40"/>
      <c r="G395" s="40"/>
    </row>
    <row r="396" spans="1:7" ht="18" x14ac:dyDescent="0.55000000000000004">
      <c r="A396" s="29">
        <v>395</v>
      </c>
      <c r="B396" s="41"/>
      <c r="C396" s="48"/>
      <c r="D396" s="37"/>
      <c r="E396" s="37"/>
      <c r="F396" s="39"/>
      <c r="G396" s="39"/>
    </row>
    <row r="397" spans="1:7" ht="18.399999999999999" thickBot="1" x14ac:dyDescent="0.6">
      <c r="A397" s="29">
        <v>396</v>
      </c>
      <c r="B397" s="34"/>
      <c r="C397" s="47"/>
      <c r="D397" s="35"/>
      <c r="E397" s="35"/>
      <c r="F397" s="40"/>
      <c r="G397" s="40"/>
    </row>
    <row r="398" spans="1:7" ht="18" x14ac:dyDescent="0.55000000000000004">
      <c r="A398" s="29">
        <v>397</v>
      </c>
      <c r="B398" s="41"/>
      <c r="C398" s="48"/>
      <c r="D398" s="32"/>
      <c r="E398" s="37"/>
      <c r="F398" s="39"/>
      <c r="G398" s="39"/>
    </row>
    <row r="399" spans="1:7" ht="18" x14ac:dyDescent="0.55000000000000004">
      <c r="A399" s="29">
        <v>398</v>
      </c>
      <c r="B399" s="34"/>
      <c r="C399" s="47"/>
      <c r="D399" s="35"/>
      <c r="E399" s="35"/>
      <c r="F399" s="40"/>
      <c r="G399" s="40"/>
    </row>
    <row r="400" spans="1:7" ht="18" x14ac:dyDescent="0.55000000000000004">
      <c r="A400" s="29">
        <v>399</v>
      </c>
      <c r="B400" s="41"/>
      <c r="C400" s="48"/>
      <c r="D400" s="37"/>
      <c r="E400" s="37"/>
      <c r="F400" s="39"/>
      <c r="G400" s="39"/>
    </row>
    <row r="401" spans="1:7" ht="18.399999999999999" thickBot="1" x14ac:dyDescent="0.6">
      <c r="A401" s="29">
        <v>400</v>
      </c>
      <c r="B401" s="34"/>
      <c r="C401" s="47"/>
      <c r="D401" s="35"/>
      <c r="E401" s="35"/>
      <c r="F401" s="40"/>
      <c r="G401" s="40"/>
    </row>
    <row r="402" spans="1:7" ht="18" x14ac:dyDescent="0.55000000000000004">
      <c r="A402" s="29">
        <v>401</v>
      </c>
      <c r="B402" s="41"/>
      <c r="C402" s="48"/>
      <c r="D402" s="32"/>
      <c r="E402" s="37"/>
      <c r="F402" s="39"/>
      <c r="G402" s="39"/>
    </row>
    <row r="403" spans="1:7" ht="18" x14ac:dyDescent="0.55000000000000004">
      <c r="A403" s="29">
        <v>402</v>
      </c>
      <c r="B403" s="34"/>
      <c r="C403" s="47"/>
      <c r="D403" s="35"/>
      <c r="E403" s="35"/>
      <c r="F403" s="40"/>
      <c r="G403" s="40"/>
    </row>
    <row r="404" spans="1:7" ht="18" x14ac:dyDescent="0.55000000000000004">
      <c r="A404" s="29">
        <v>403</v>
      </c>
      <c r="B404" s="41"/>
      <c r="C404" s="48"/>
      <c r="D404" s="37"/>
      <c r="E404" s="37"/>
      <c r="F404" s="39"/>
      <c r="G404" s="39"/>
    </row>
    <row r="405" spans="1:7" ht="18.399999999999999" thickBot="1" x14ac:dyDescent="0.6">
      <c r="A405" s="29">
        <v>404</v>
      </c>
      <c r="B405" s="34"/>
      <c r="C405" s="47"/>
      <c r="D405" s="35"/>
      <c r="E405" s="35"/>
      <c r="F405" s="40"/>
      <c r="G405" s="40"/>
    </row>
    <row r="406" spans="1:7" ht="18" x14ac:dyDescent="0.55000000000000004">
      <c r="A406" s="29">
        <v>405</v>
      </c>
      <c r="B406" s="41"/>
      <c r="C406" s="48"/>
      <c r="D406" s="32"/>
      <c r="E406" s="37"/>
      <c r="F406" s="39"/>
      <c r="G406" s="39"/>
    </row>
    <row r="407" spans="1:7" ht="18" x14ac:dyDescent="0.55000000000000004">
      <c r="A407" s="29">
        <v>406</v>
      </c>
      <c r="B407" s="34"/>
      <c r="C407" s="47"/>
      <c r="D407" s="35"/>
      <c r="E407" s="35"/>
      <c r="F407" s="40"/>
      <c r="G407" s="40"/>
    </row>
    <row r="408" spans="1:7" ht="18" x14ac:dyDescent="0.55000000000000004">
      <c r="A408" s="29">
        <v>407</v>
      </c>
      <c r="B408" s="41"/>
      <c r="C408" s="48"/>
      <c r="D408" s="37"/>
      <c r="E408" s="37"/>
      <c r="F408" s="39"/>
      <c r="G408" s="39"/>
    </row>
    <row r="409" spans="1:7" ht="18.399999999999999" thickBot="1" x14ac:dyDescent="0.6">
      <c r="A409" s="29">
        <v>408</v>
      </c>
      <c r="B409" s="34"/>
      <c r="C409" s="47"/>
      <c r="D409" s="35"/>
      <c r="E409" s="35"/>
      <c r="F409" s="40"/>
      <c r="G409" s="40"/>
    </row>
    <row r="410" spans="1:7" ht="18" x14ac:dyDescent="0.55000000000000004">
      <c r="A410" s="29">
        <v>409</v>
      </c>
      <c r="B410" s="41"/>
      <c r="C410" s="48"/>
      <c r="D410" s="32"/>
      <c r="E410" s="37"/>
      <c r="F410" s="39"/>
      <c r="G410" s="39"/>
    </row>
    <row r="411" spans="1:7" ht="18" x14ac:dyDescent="0.55000000000000004">
      <c r="A411" s="29">
        <v>410</v>
      </c>
      <c r="B411" s="34"/>
      <c r="C411" s="47"/>
      <c r="D411" s="35"/>
      <c r="E411" s="35"/>
      <c r="F411" s="40"/>
      <c r="G411" s="40"/>
    </row>
    <row r="412" spans="1:7" ht="18" x14ac:dyDescent="0.55000000000000004">
      <c r="A412" s="29">
        <v>411</v>
      </c>
      <c r="B412" s="41"/>
      <c r="C412" s="48"/>
      <c r="D412" s="37"/>
      <c r="E412" s="37"/>
      <c r="F412" s="39"/>
      <c r="G412" s="39"/>
    </row>
    <row r="413" spans="1:7" ht="18.399999999999999" thickBot="1" x14ac:dyDescent="0.6">
      <c r="A413" s="29">
        <v>412</v>
      </c>
      <c r="B413" s="34"/>
      <c r="C413" s="47"/>
      <c r="D413" s="35"/>
      <c r="E413" s="35"/>
      <c r="F413" s="40"/>
      <c r="G413" s="40"/>
    </row>
    <row r="414" spans="1:7" ht="18" x14ac:dyDescent="0.55000000000000004">
      <c r="A414" s="29">
        <v>413</v>
      </c>
      <c r="B414" s="41"/>
      <c r="C414" s="48"/>
      <c r="D414" s="32"/>
      <c r="E414" s="37"/>
      <c r="F414" s="39"/>
      <c r="G414" s="39"/>
    </row>
    <row r="415" spans="1:7" ht="18" x14ac:dyDescent="0.55000000000000004">
      <c r="A415" s="29">
        <v>414</v>
      </c>
      <c r="B415" s="34"/>
      <c r="C415" s="47"/>
      <c r="D415" s="35"/>
      <c r="E415" s="35"/>
      <c r="F415" s="40"/>
      <c r="G415" s="40"/>
    </row>
    <row r="416" spans="1:7" ht="18" x14ac:dyDescent="0.55000000000000004">
      <c r="A416" s="29">
        <v>415</v>
      </c>
      <c r="B416" s="41"/>
      <c r="C416" s="48"/>
      <c r="D416" s="37"/>
      <c r="E416" s="37"/>
      <c r="F416" s="39"/>
      <c r="G416" s="39"/>
    </row>
    <row r="417" spans="1:7" ht="18.399999999999999" thickBot="1" x14ac:dyDescent="0.6">
      <c r="A417" s="29">
        <v>416</v>
      </c>
      <c r="B417" s="34"/>
      <c r="C417" s="47"/>
      <c r="D417" s="35"/>
      <c r="E417" s="35"/>
      <c r="F417" s="40"/>
      <c r="G417" s="40"/>
    </row>
    <row r="418" spans="1:7" ht="18" x14ac:dyDescent="0.55000000000000004">
      <c r="A418" s="29">
        <v>417</v>
      </c>
      <c r="B418" s="41"/>
      <c r="C418" s="48"/>
      <c r="D418" s="32"/>
      <c r="E418" s="37"/>
      <c r="F418" s="39"/>
      <c r="G418" s="39"/>
    </row>
    <row r="419" spans="1:7" ht="18" x14ac:dyDescent="0.55000000000000004">
      <c r="A419" s="29">
        <v>418</v>
      </c>
      <c r="B419" s="34"/>
      <c r="C419" s="47"/>
      <c r="D419" s="35"/>
      <c r="E419" s="35"/>
      <c r="F419" s="40"/>
      <c r="G419" s="40"/>
    </row>
    <row r="420" spans="1:7" ht="18" x14ac:dyDescent="0.55000000000000004">
      <c r="A420" s="29">
        <v>419</v>
      </c>
      <c r="B420" s="41"/>
      <c r="C420" s="48"/>
      <c r="D420" s="37"/>
      <c r="E420" s="37"/>
      <c r="F420" s="39"/>
      <c r="G420" s="39"/>
    </row>
    <row r="421" spans="1:7" ht="18.399999999999999" thickBot="1" x14ac:dyDescent="0.6">
      <c r="A421" s="29">
        <v>420</v>
      </c>
      <c r="B421" s="34"/>
      <c r="C421" s="47"/>
      <c r="D421" s="35"/>
      <c r="E421" s="35"/>
      <c r="F421" s="40"/>
      <c r="G421" s="40"/>
    </row>
    <row r="422" spans="1:7" ht="18" x14ac:dyDescent="0.55000000000000004">
      <c r="A422" s="29">
        <v>421</v>
      </c>
      <c r="B422" s="41"/>
      <c r="C422" s="48"/>
      <c r="D422" s="32"/>
      <c r="E422" s="37"/>
      <c r="F422" s="39"/>
      <c r="G422" s="39"/>
    </row>
    <row r="423" spans="1:7" ht="18" x14ac:dyDescent="0.55000000000000004">
      <c r="A423" s="29">
        <v>422</v>
      </c>
      <c r="B423" s="34"/>
      <c r="C423" s="47"/>
      <c r="D423" s="35"/>
      <c r="E423" s="35"/>
      <c r="F423" s="40"/>
      <c r="G423" s="40"/>
    </row>
    <row r="424" spans="1:7" ht="18" x14ac:dyDescent="0.55000000000000004">
      <c r="A424" s="29">
        <v>423</v>
      </c>
      <c r="B424" s="41"/>
      <c r="C424" s="48"/>
      <c r="D424" s="37"/>
      <c r="E424" s="37"/>
      <c r="F424" s="39"/>
      <c r="G424" s="39"/>
    </row>
    <row r="425" spans="1:7" ht="18.399999999999999" thickBot="1" x14ac:dyDescent="0.6">
      <c r="A425" s="29">
        <v>424</v>
      </c>
      <c r="B425" s="34"/>
      <c r="C425" s="47"/>
      <c r="D425" s="35"/>
      <c r="E425" s="35"/>
      <c r="F425" s="40"/>
      <c r="G425" s="40"/>
    </row>
    <row r="426" spans="1:7" ht="18" x14ac:dyDescent="0.55000000000000004">
      <c r="A426" s="29">
        <v>425</v>
      </c>
      <c r="B426" s="41"/>
      <c r="C426" s="48"/>
      <c r="D426" s="32"/>
      <c r="E426" s="37"/>
      <c r="F426" s="39"/>
      <c r="G426" s="39"/>
    </row>
    <row r="427" spans="1:7" ht="18" x14ac:dyDescent="0.55000000000000004">
      <c r="A427" s="29">
        <v>426</v>
      </c>
      <c r="B427" s="34"/>
      <c r="C427" s="47"/>
      <c r="D427" s="35"/>
      <c r="E427" s="35"/>
      <c r="F427" s="40"/>
      <c r="G427" s="40"/>
    </row>
    <row r="428" spans="1:7" ht="18" x14ac:dyDescent="0.55000000000000004">
      <c r="A428" s="29">
        <v>427</v>
      </c>
      <c r="B428" s="41"/>
      <c r="C428" s="48"/>
      <c r="D428" s="37"/>
      <c r="E428" s="37"/>
      <c r="F428" s="39"/>
      <c r="G428" s="39"/>
    </row>
    <row r="429" spans="1:7" ht="18.399999999999999" thickBot="1" x14ac:dyDescent="0.6">
      <c r="A429" s="29">
        <v>428</v>
      </c>
      <c r="B429" s="34"/>
      <c r="C429" s="47"/>
      <c r="D429" s="35"/>
      <c r="E429" s="35"/>
      <c r="F429" s="40"/>
      <c r="G429" s="40"/>
    </row>
    <row r="430" spans="1:7" ht="18" x14ac:dyDescent="0.55000000000000004">
      <c r="A430" s="29">
        <v>429</v>
      </c>
      <c r="B430" s="41"/>
      <c r="C430" s="48"/>
      <c r="D430" s="32"/>
      <c r="E430" s="37"/>
      <c r="F430" s="39"/>
      <c r="G430" s="39"/>
    </row>
    <row r="431" spans="1:7" ht="18" x14ac:dyDescent="0.55000000000000004">
      <c r="A431" s="29">
        <v>430</v>
      </c>
      <c r="B431" s="34"/>
      <c r="C431" s="47"/>
      <c r="D431" s="35"/>
      <c r="E431" s="35"/>
      <c r="F431" s="40"/>
      <c r="G431" s="40"/>
    </row>
    <row r="432" spans="1:7" ht="18" x14ac:dyDescent="0.55000000000000004">
      <c r="A432" s="29">
        <v>431</v>
      </c>
      <c r="B432" s="41"/>
      <c r="C432" s="48"/>
      <c r="D432" s="37"/>
      <c r="E432" s="37"/>
      <c r="F432" s="39"/>
      <c r="G432" s="39"/>
    </row>
    <row r="433" spans="1:7" ht="18.399999999999999" thickBot="1" x14ac:dyDescent="0.6">
      <c r="A433" s="29">
        <v>432</v>
      </c>
      <c r="B433" s="34"/>
      <c r="C433" s="47"/>
      <c r="D433" s="35"/>
      <c r="E433" s="35"/>
      <c r="F433" s="40"/>
      <c r="G433" s="40"/>
    </row>
    <row r="434" spans="1:7" ht="18" x14ac:dyDescent="0.55000000000000004">
      <c r="A434" s="29">
        <v>433</v>
      </c>
      <c r="B434" s="41"/>
      <c r="C434" s="48"/>
      <c r="D434" s="32"/>
      <c r="E434" s="37"/>
      <c r="F434" s="39"/>
      <c r="G434" s="39"/>
    </row>
    <row r="435" spans="1:7" ht="18" x14ac:dyDescent="0.55000000000000004">
      <c r="A435" s="29">
        <v>434</v>
      </c>
      <c r="B435" s="34"/>
      <c r="C435" s="47"/>
      <c r="D435" s="35"/>
      <c r="E435" s="35"/>
      <c r="F435" s="40"/>
      <c r="G435" s="40"/>
    </row>
    <row r="436" spans="1:7" ht="18" x14ac:dyDescent="0.55000000000000004">
      <c r="A436" s="29">
        <v>435</v>
      </c>
      <c r="B436" s="41"/>
      <c r="C436" s="48"/>
      <c r="D436" s="37"/>
      <c r="E436" s="37"/>
      <c r="F436" s="39"/>
      <c r="G436" s="39"/>
    </row>
    <row r="437" spans="1:7" ht="18.399999999999999" thickBot="1" x14ac:dyDescent="0.6">
      <c r="A437" s="29">
        <v>436</v>
      </c>
      <c r="B437" s="34"/>
      <c r="C437" s="47"/>
      <c r="D437" s="35"/>
      <c r="E437" s="35"/>
      <c r="F437" s="40"/>
      <c r="G437" s="40"/>
    </row>
    <row r="438" spans="1:7" ht="18" x14ac:dyDescent="0.55000000000000004">
      <c r="A438" s="29">
        <v>437</v>
      </c>
      <c r="B438" s="41"/>
      <c r="C438" s="48"/>
      <c r="D438" s="32"/>
      <c r="E438" s="37"/>
      <c r="F438" s="39"/>
      <c r="G438" s="39"/>
    </row>
    <row r="439" spans="1:7" ht="18" x14ac:dyDescent="0.55000000000000004">
      <c r="A439" s="29">
        <v>438</v>
      </c>
      <c r="B439" s="34"/>
      <c r="C439" s="47"/>
      <c r="D439" s="35"/>
      <c r="E439" s="35"/>
      <c r="F439" s="40"/>
      <c r="G439" s="40"/>
    </row>
    <row r="440" spans="1:7" ht="18" x14ac:dyDescent="0.55000000000000004">
      <c r="A440" s="29">
        <v>439</v>
      </c>
      <c r="B440" s="41"/>
      <c r="C440" s="48"/>
      <c r="D440" s="37"/>
      <c r="E440" s="37"/>
      <c r="F440" s="39"/>
      <c r="G440" s="39"/>
    </row>
    <row r="441" spans="1:7" ht="18.399999999999999" thickBot="1" x14ac:dyDescent="0.6">
      <c r="A441" s="29">
        <v>440</v>
      </c>
      <c r="B441" s="34"/>
      <c r="C441" s="47"/>
      <c r="D441" s="35"/>
      <c r="E441" s="35"/>
      <c r="F441" s="40"/>
      <c r="G441" s="40"/>
    </row>
    <row r="442" spans="1:7" ht="18" x14ac:dyDescent="0.55000000000000004">
      <c r="A442" s="29">
        <v>441</v>
      </c>
      <c r="B442" s="41"/>
      <c r="C442" s="48"/>
      <c r="D442" s="32"/>
      <c r="E442" s="37"/>
      <c r="F442" s="39"/>
      <c r="G442" s="39"/>
    </row>
    <row r="443" spans="1:7" ht="18" x14ac:dyDescent="0.55000000000000004">
      <c r="A443" s="29">
        <v>442</v>
      </c>
      <c r="B443" s="34"/>
      <c r="C443" s="47"/>
      <c r="D443" s="35"/>
      <c r="E443" s="35"/>
      <c r="F443" s="40"/>
      <c r="G443" s="40"/>
    </row>
    <row r="444" spans="1:7" ht="18" x14ac:dyDescent="0.55000000000000004">
      <c r="A444" s="29">
        <v>443</v>
      </c>
      <c r="B444" s="41"/>
      <c r="C444" s="48"/>
      <c r="D444" s="37"/>
      <c r="E444" s="37"/>
      <c r="F444" s="39"/>
      <c r="G444" s="39"/>
    </row>
    <row r="445" spans="1:7" ht="18.399999999999999" thickBot="1" x14ac:dyDescent="0.6">
      <c r="A445" s="29">
        <v>444</v>
      </c>
      <c r="B445" s="34"/>
      <c r="C445" s="47"/>
      <c r="D445" s="35"/>
      <c r="E445" s="35"/>
      <c r="F445" s="40"/>
      <c r="G445" s="40"/>
    </row>
    <row r="446" spans="1:7" ht="18" x14ac:dyDescent="0.55000000000000004">
      <c r="A446" s="29">
        <v>445</v>
      </c>
      <c r="B446" s="41"/>
      <c r="C446" s="48"/>
      <c r="D446" s="32"/>
      <c r="E446" s="37"/>
      <c r="F446" s="39"/>
      <c r="G446" s="39"/>
    </row>
    <row r="447" spans="1:7" ht="18" x14ac:dyDescent="0.55000000000000004">
      <c r="A447" s="29">
        <v>446</v>
      </c>
      <c r="B447" s="34"/>
      <c r="C447" s="47"/>
      <c r="D447" s="35"/>
      <c r="E447" s="35"/>
      <c r="F447" s="40"/>
      <c r="G447" s="40"/>
    </row>
    <row r="448" spans="1:7" ht="18" x14ac:dyDescent="0.55000000000000004">
      <c r="A448" s="29">
        <v>447</v>
      </c>
      <c r="B448" s="41"/>
      <c r="C448" s="48"/>
      <c r="D448" s="37"/>
      <c r="E448" s="37"/>
      <c r="F448" s="39"/>
      <c r="G448" s="39"/>
    </row>
    <row r="449" spans="1:7" ht="18.399999999999999" thickBot="1" x14ac:dyDescent="0.6">
      <c r="A449" s="29">
        <v>448</v>
      </c>
      <c r="B449" s="34"/>
      <c r="C449" s="47"/>
      <c r="D449" s="35"/>
      <c r="E449" s="35"/>
      <c r="F449" s="40"/>
      <c r="G449" s="40"/>
    </row>
    <row r="450" spans="1:7" ht="18" x14ac:dyDescent="0.55000000000000004">
      <c r="A450" s="29">
        <v>449</v>
      </c>
      <c r="B450" s="41"/>
      <c r="C450" s="48"/>
      <c r="D450" s="32"/>
      <c r="E450" s="37"/>
      <c r="F450" s="39"/>
      <c r="G450" s="39"/>
    </row>
    <row r="451" spans="1:7" ht="18" x14ac:dyDescent="0.55000000000000004">
      <c r="A451" s="29">
        <v>450</v>
      </c>
      <c r="B451" s="34"/>
      <c r="C451" s="47"/>
      <c r="D451" s="35"/>
      <c r="E451" s="35"/>
      <c r="F451" s="40"/>
      <c r="G451" s="40"/>
    </row>
    <row r="452" spans="1:7" ht="18" x14ac:dyDescent="0.55000000000000004">
      <c r="A452" s="29">
        <v>451</v>
      </c>
      <c r="B452" s="41"/>
      <c r="C452" s="48"/>
      <c r="D452" s="37"/>
      <c r="E452" s="37"/>
      <c r="F452" s="39"/>
      <c r="G452" s="39"/>
    </row>
    <row r="453" spans="1:7" ht="18.399999999999999" thickBot="1" x14ac:dyDescent="0.6">
      <c r="A453" s="29">
        <v>452</v>
      </c>
      <c r="B453" s="34"/>
      <c r="C453" s="47"/>
      <c r="D453" s="35"/>
      <c r="E453" s="35"/>
      <c r="F453" s="40"/>
      <c r="G453" s="40"/>
    </row>
    <row r="454" spans="1:7" ht="18" x14ac:dyDescent="0.55000000000000004">
      <c r="A454" s="29">
        <v>453</v>
      </c>
      <c r="B454" s="41"/>
      <c r="C454" s="48"/>
      <c r="D454" s="32"/>
      <c r="E454" s="37"/>
      <c r="F454" s="39"/>
      <c r="G454" s="39"/>
    </row>
    <row r="455" spans="1:7" ht="18" x14ac:dyDescent="0.55000000000000004">
      <c r="A455" s="29">
        <v>454</v>
      </c>
      <c r="B455" s="34"/>
      <c r="C455" s="47"/>
      <c r="D455" s="35"/>
      <c r="E455" s="35"/>
      <c r="F455" s="40"/>
      <c r="G455" s="40"/>
    </row>
    <row r="456" spans="1:7" ht="18" x14ac:dyDescent="0.55000000000000004">
      <c r="A456" s="29">
        <v>455</v>
      </c>
      <c r="B456" s="41"/>
      <c r="C456" s="48"/>
      <c r="D456" s="37"/>
      <c r="E456" s="37"/>
      <c r="F456" s="39"/>
      <c r="G456" s="39"/>
    </row>
    <row r="457" spans="1:7" ht="18.399999999999999" thickBot="1" x14ac:dyDescent="0.6">
      <c r="A457" s="29">
        <v>456</v>
      </c>
      <c r="B457" s="34"/>
      <c r="C457" s="47"/>
      <c r="D457" s="35"/>
      <c r="E457" s="35"/>
      <c r="F457" s="40"/>
      <c r="G457" s="40"/>
    </row>
    <row r="458" spans="1:7" ht="18" x14ac:dyDescent="0.55000000000000004">
      <c r="A458" s="29">
        <v>457</v>
      </c>
      <c r="B458" s="41"/>
      <c r="C458" s="48"/>
      <c r="D458" s="32"/>
      <c r="E458" s="37"/>
      <c r="F458" s="39"/>
      <c r="G458" s="39"/>
    </row>
    <row r="459" spans="1:7" ht="18" x14ac:dyDescent="0.55000000000000004">
      <c r="A459" s="29">
        <v>458</v>
      </c>
      <c r="B459" s="34"/>
      <c r="C459" s="47"/>
      <c r="D459" s="35"/>
      <c r="E459" s="35"/>
      <c r="F459" s="40"/>
      <c r="G459" s="40"/>
    </row>
    <row r="460" spans="1:7" ht="18" x14ac:dyDescent="0.55000000000000004">
      <c r="A460" s="29">
        <v>459</v>
      </c>
      <c r="B460" s="41"/>
      <c r="C460" s="48"/>
      <c r="D460" s="37"/>
      <c r="E460" s="37"/>
      <c r="F460" s="39"/>
      <c r="G460" s="39"/>
    </row>
    <row r="461" spans="1:7" ht="18.399999999999999" thickBot="1" x14ac:dyDescent="0.6">
      <c r="A461" s="29">
        <v>460</v>
      </c>
      <c r="B461" s="34"/>
      <c r="C461" s="47"/>
      <c r="D461" s="35"/>
      <c r="E461" s="35"/>
      <c r="F461" s="40"/>
      <c r="G461" s="40"/>
    </row>
    <row r="462" spans="1:7" ht="18" x14ac:dyDescent="0.55000000000000004">
      <c r="A462" s="29">
        <v>461</v>
      </c>
      <c r="B462" s="41"/>
      <c r="C462" s="48"/>
      <c r="D462" s="32"/>
      <c r="E462" s="37"/>
      <c r="F462" s="39"/>
      <c r="G462" s="39"/>
    </row>
    <row r="463" spans="1:7" ht="18" x14ac:dyDescent="0.55000000000000004">
      <c r="A463" s="29">
        <v>462</v>
      </c>
      <c r="B463" s="34"/>
      <c r="C463" s="47"/>
      <c r="D463" s="35"/>
      <c r="E463" s="35"/>
      <c r="F463" s="40"/>
      <c r="G463" s="40"/>
    </row>
    <row r="464" spans="1:7" ht="18" x14ac:dyDescent="0.55000000000000004">
      <c r="A464" s="29">
        <v>463</v>
      </c>
      <c r="B464" s="41"/>
      <c r="C464" s="48"/>
      <c r="D464" s="37"/>
      <c r="E464" s="37"/>
      <c r="F464" s="39"/>
      <c r="G464" s="39"/>
    </row>
    <row r="465" spans="1:7" ht="18.399999999999999" thickBot="1" x14ac:dyDescent="0.6">
      <c r="A465" s="29">
        <v>464</v>
      </c>
      <c r="B465" s="34"/>
      <c r="C465" s="47"/>
      <c r="D465" s="35"/>
      <c r="E465" s="35"/>
      <c r="F465" s="40"/>
      <c r="G465" s="40"/>
    </row>
    <row r="466" spans="1:7" ht="18" x14ac:dyDescent="0.55000000000000004">
      <c r="A466" s="29">
        <v>465</v>
      </c>
      <c r="B466" s="41"/>
      <c r="C466" s="48"/>
      <c r="D466" s="32"/>
      <c r="E466" s="37"/>
      <c r="F466" s="39"/>
      <c r="G466" s="39"/>
    </row>
    <row r="467" spans="1:7" ht="18" x14ac:dyDescent="0.55000000000000004">
      <c r="A467" s="29">
        <v>466</v>
      </c>
      <c r="B467" s="34"/>
      <c r="C467" s="47"/>
      <c r="D467" s="35"/>
      <c r="E467" s="35"/>
      <c r="F467" s="40"/>
      <c r="G467" s="40"/>
    </row>
    <row r="468" spans="1:7" ht="18" x14ac:dyDescent="0.55000000000000004">
      <c r="A468" s="29">
        <v>467</v>
      </c>
      <c r="B468" s="41"/>
      <c r="C468" s="48"/>
      <c r="D468" s="37"/>
      <c r="E468" s="37"/>
      <c r="F468" s="39"/>
      <c r="G468" s="39"/>
    </row>
    <row r="469" spans="1:7" ht="18.399999999999999" thickBot="1" x14ac:dyDescent="0.6">
      <c r="A469" s="29">
        <v>468</v>
      </c>
      <c r="B469" s="34"/>
      <c r="C469" s="47"/>
      <c r="D469" s="35"/>
      <c r="E469" s="35"/>
      <c r="F469" s="40"/>
      <c r="G469" s="40"/>
    </row>
    <row r="470" spans="1:7" ht="18" x14ac:dyDescent="0.55000000000000004">
      <c r="A470" s="29">
        <v>469</v>
      </c>
      <c r="B470" s="41"/>
      <c r="C470" s="48"/>
      <c r="D470" s="32"/>
      <c r="E470" s="37"/>
      <c r="F470" s="39"/>
      <c r="G470" s="39"/>
    </row>
    <row r="471" spans="1:7" ht="18" x14ac:dyDescent="0.55000000000000004">
      <c r="A471" s="29">
        <v>470</v>
      </c>
      <c r="B471" s="34"/>
      <c r="C471" s="47"/>
      <c r="D471" s="35"/>
      <c r="E471" s="35"/>
      <c r="F471" s="40"/>
      <c r="G471" s="40"/>
    </row>
    <row r="472" spans="1:7" ht="18" x14ac:dyDescent="0.55000000000000004">
      <c r="A472" s="29">
        <v>471</v>
      </c>
      <c r="B472" s="41"/>
      <c r="C472" s="48"/>
      <c r="D472" s="37"/>
      <c r="E472" s="37"/>
      <c r="F472" s="39"/>
      <c r="G472" s="39"/>
    </row>
    <row r="473" spans="1:7" ht="18.399999999999999" thickBot="1" x14ac:dyDescent="0.6">
      <c r="A473" s="29">
        <v>472</v>
      </c>
      <c r="B473" s="34"/>
      <c r="C473" s="47"/>
      <c r="D473" s="35"/>
      <c r="E473" s="35"/>
      <c r="F473" s="40"/>
      <c r="G473" s="40"/>
    </row>
    <row r="474" spans="1:7" ht="18" x14ac:dyDescent="0.55000000000000004">
      <c r="A474" s="29">
        <v>473</v>
      </c>
      <c r="B474" s="41"/>
      <c r="C474" s="48"/>
      <c r="D474" s="32"/>
      <c r="E474" s="37"/>
      <c r="F474" s="39"/>
      <c r="G474" s="39"/>
    </row>
    <row r="475" spans="1:7" ht="18" x14ac:dyDescent="0.55000000000000004">
      <c r="A475" s="29">
        <v>474</v>
      </c>
      <c r="B475" s="34"/>
      <c r="C475" s="47"/>
      <c r="D475" s="35"/>
      <c r="E475" s="35"/>
      <c r="F475" s="40"/>
      <c r="G475" s="40"/>
    </row>
    <row r="476" spans="1:7" ht="18" x14ac:dyDescent="0.55000000000000004">
      <c r="A476" s="29">
        <v>475</v>
      </c>
      <c r="B476" s="41"/>
      <c r="C476" s="48"/>
      <c r="D476" s="37"/>
      <c r="E476" s="37"/>
      <c r="F476" s="39"/>
      <c r="G476" s="39"/>
    </row>
    <row r="477" spans="1:7" ht="18.399999999999999" thickBot="1" x14ac:dyDescent="0.6">
      <c r="A477" s="29">
        <v>476</v>
      </c>
      <c r="B477" s="34"/>
      <c r="C477" s="47"/>
      <c r="D477" s="35"/>
      <c r="E477" s="35"/>
      <c r="F477" s="40"/>
      <c r="G477" s="40"/>
    </row>
    <row r="478" spans="1:7" ht="18" x14ac:dyDescent="0.55000000000000004">
      <c r="A478" s="29">
        <v>477</v>
      </c>
      <c r="B478" s="41"/>
      <c r="C478" s="48"/>
      <c r="D478" s="32"/>
      <c r="E478" s="37"/>
      <c r="F478" s="39"/>
      <c r="G478" s="39"/>
    </row>
    <row r="479" spans="1:7" ht="18" x14ac:dyDescent="0.55000000000000004">
      <c r="A479" s="29">
        <v>478</v>
      </c>
      <c r="B479" s="34"/>
      <c r="C479" s="47"/>
      <c r="D479" s="35"/>
      <c r="E479" s="35"/>
      <c r="F479" s="40"/>
      <c r="G479" s="40"/>
    </row>
    <row r="480" spans="1:7" ht="18" x14ac:dyDescent="0.55000000000000004">
      <c r="A480" s="29">
        <v>479</v>
      </c>
      <c r="B480" s="41"/>
      <c r="C480" s="48"/>
      <c r="D480" s="37"/>
      <c r="E480" s="37"/>
      <c r="F480" s="39"/>
      <c r="G480" s="39"/>
    </row>
    <row r="481" spans="1:7" ht="18.399999999999999" thickBot="1" x14ac:dyDescent="0.6">
      <c r="A481" s="29">
        <v>480</v>
      </c>
      <c r="B481" s="34"/>
      <c r="C481" s="47"/>
      <c r="D481" s="35"/>
      <c r="E481" s="35"/>
      <c r="F481" s="40"/>
      <c r="G481" s="40"/>
    </row>
    <row r="482" spans="1:7" ht="18" x14ac:dyDescent="0.55000000000000004">
      <c r="A482" s="29">
        <v>481</v>
      </c>
      <c r="B482" s="41"/>
      <c r="C482" s="48"/>
      <c r="D482" s="32"/>
      <c r="E482" s="37"/>
      <c r="F482" s="39"/>
      <c r="G482" s="39"/>
    </row>
    <row r="483" spans="1:7" ht="18" x14ac:dyDescent="0.55000000000000004">
      <c r="A483" s="29">
        <v>482</v>
      </c>
      <c r="B483" s="34"/>
      <c r="C483" s="47"/>
      <c r="D483" s="35"/>
      <c r="E483" s="35"/>
      <c r="F483" s="40"/>
      <c r="G483" s="40"/>
    </row>
    <row r="484" spans="1:7" ht="18" x14ac:dyDescent="0.55000000000000004">
      <c r="A484" s="29">
        <v>483</v>
      </c>
      <c r="B484" s="41"/>
      <c r="C484" s="48"/>
      <c r="D484" s="37"/>
      <c r="E484" s="37"/>
      <c r="F484" s="39"/>
      <c r="G484" s="39"/>
    </row>
    <row r="485" spans="1:7" ht="18.399999999999999" thickBot="1" x14ac:dyDescent="0.6">
      <c r="A485" s="29">
        <v>484</v>
      </c>
      <c r="B485" s="34"/>
      <c r="C485" s="47"/>
      <c r="D485" s="35"/>
      <c r="E485" s="35"/>
      <c r="F485" s="40"/>
      <c r="G485" s="40"/>
    </row>
    <row r="486" spans="1:7" ht="18" x14ac:dyDescent="0.55000000000000004">
      <c r="A486" s="29">
        <v>485</v>
      </c>
      <c r="B486" s="41"/>
      <c r="C486" s="48"/>
      <c r="D486" s="32"/>
      <c r="E486" s="37"/>
      <c r="F486" s="39"/>
      <c r="G486" s="39"/>
    </row>
    <row r="487" spans="1:7" ht="18" x14ac:dyDescent="0.55000000000000004">
      <c r="A487" s="29">
        <v>486</v>
      </c>
      <c r="B487" s="34"/>
      <c r="C487" s="47"/>
      <c r="D487" s="35"/>
      <c r="E487" s="35"/>
      <c r="F487" s="40"/>
      <c r="G487" s="40"/>
    </row>
    <row r="488" spans="1:7" ht="18" x14ac:dyDescent="0.55000000000000004">
      <c r="A488" s="29">
        <v>487</v>
      </c>
      <c r="B488" s="41"/>
      <c r="C488" s="48"/>
      <c r="D488" s="37"/>
      <c r="E488" s="37"/>
      <c r="F488" s="39"/>
      <c r="G488" s="39"/>
    </row>
    <row r="489" spans="1:7" ht="18.399999999999999" thickBot="1" x14ac:dyDescent="0.6">
      <c r="A489" s="29">
        <v>488</v>
      </c>
      <c r="B489" s="34"/>
      <c r="C489" s="47"/>
      <c r="D489" s="35"/>
      <c r="E489" s="35"/>
      <c r="F489" s="40"/>
      <c r="G489" s="40"/>
    </row>
    <row r="490" spans="1:7" ht="18" x14ac:dyDescent="0.55000000000000004">
      <c r="A490" s="29">
        <v>489</v>
      </c>
      <c r="B490" s="41"/>
      <c r="C490" s="48"/>
      <c r="D490" s="32"/>
      <c r="E490" s="37"/>
      <c r="F490" s="39"/>
      <c r="G490" s="39"/>
    </row>
    <row r="491" spans="1:7" ht="18" x14ac:dyDescent="0.55000000000000004">
      <c r="A491" s="29">
        <v>490</v>
      </c>
      <c r="B491" s="34"/>
      <c r="C491" s="47"/>
      <c r="D491" s="35"/>
      <c r="E491" s="35"/>
      <c r="F491" s="40"/>
      <c r="G491" s="40"/>
    </row>
    <row r="492" spans="1:7" ht="18" x14ac:dyDescent="0.55000000000000004">
      <c r="A492" s="29">
        <v>491</v>
      </c>
      <c r="B492" s="41"/>
      <c r="C492" s="48"/>
      <c r="D492" s="37"/>
      <c r="E492" s="37"/>
      <c r="F492" s="39"/>
      <c r="G492" s="39"/>
    </row>
    <row r="493" spans="1:7" ht="18.399999999999999" thickBot="1" x14ac:dyDescent="0.6">
      <c r="A493" s="29">
        <v>492</v>
      </c>
      <c r="B493" s="34"/>
      <c r="C493" s="47"/>
      <c r="D493" s="35"/>
      <c r="E493" s="35"/>
      <c r="F493" s="40"/>
      <c r="G493" s="40"/>
    </row>
    <row r="494" spans="1:7" ht="18" x14ac:dyDescent="0.55000000000000004">
      <c r="A494" s="29">
        <v>493</v>
      </c>
      <c r="B494" s="41"/>
      <c r="C494" s="48"/>
      <c r="D494" s="32"/>
      <c r="E494" s="37"/>
      <c r="F494" s="39"/>
      <c r="G494" s="39"/>
    </row>
    <row r="495" spans="1:7" ht="18" x14ac:dyDescent="0.55000000000000004">
      <c r="A495" s="29">
        <v>494</v>
      </c>
      <c r="B495" s="34"/>
      <c r="C495" s="47"/>
      <c r="D495" s="35"/>
      <c r="E495" s="35"/>
      <c r="F495" s="40"/>
      <c r="G495" s="40"/>
    </row>
    <row r="496" spans="1:7" ht="18" x14ac:dyDescent="0.55000000000000004">
      <c r="A496" s="29">
        <v>495</v>
      </c>
      <c r="B496" s="41"/>
      <c r="C496" s="48"/>
      <c r="D496" s="37"/>
      <c r="E496" s="37"/>
      <c r="F496" s="39"/>
      <c r="G496" s="39"/>
    </row>
    <row r="497" spans="1:7" ht="18.399999999999999" thickBot="1" x14ac:dyDescent="0.6">
      <c r="A497" s="29">
        <v>496</v>
      </c>
      <c r="B497" s="34"/>
      <c r="C497" s="47"/>
      <c r="D497" s="35"/>
      <c r="E497" s="35"/>
      <c r="F497" s="40"/>
      <c r="G497" s="40"/>
    </row>
    <row r="498" spans="1:7" ht="18" x14ac:dyDescent="0.55000000000000004">
      <c r="A498" s="29">
        <v>497</v>
      </c>
      <c r="B498" s="41"/>
      <c r="C498" s="48"/>
      <c r="D498" s="32"/>
      <c r="E498" s="37"/>
      <c r="F498" s="39"/>
      <c r="G498" s="39"/>
    </row>
    <row r="499" spans="1:7" ht="18" x14ac:dyDescent="0.55000000000000004">
      <c r="A499" s="29">
        <v>498</v>
      </c>
      <c r="B499" s="34"/>
      <c r="C499" s="47"/>
      <c r="D499" s="35"/>
      <c r="E499" s="35"/>
      <c r="F499" s="40"/>
      <c r="G499" s="40"/>
    </row>
    <row r="500" spans="1:7" ht="18" x14ac:dyDescent="0.55000000000000004">
      <c r="A500" s="29">
        <v>499</v>
      </c>
      <c r="B500" s="41"/>
      <c r="C500" s="48"/>
      <c r="D500" s="37"/>
      <c r="E500" s="37"/>
      <c r="F500" s="39"/>
      <c r="G500" s="39"/>
    </row>
    <row r="501" spans="1:7" ht="18.399999999999999" thickBot="1" x14ac:dyDescent="0.6">
      <c r="A501" s="30">
        <v>500</v>
      </c>
      <c r="B501" s="34"/>
      <c r="C501" s="49"/>
      <c r="D501" s="35"/>
      <c r="E501" s="35"/>
      <c r="F501" s="40"/>
      <c r="G501" s="40"/>
    </row>
  </sheetData>
  <conditionalFormatting sqref="B2:B501">
    <cfRule type="duplicateValues" dxfId="7" priority="2"/>
  </conditionalFormatting>
  <dataValidations count="2">
    <dataValidation type="list" allowBlank="1" showInputMessage="1" showErrorMessage="1" sqref="E2:E501" xr:uid="{06F96EC9-D1B7-4BA8-B952-F96B5A962C47}">
      <formula1>listof_sections</formula1>
    </dataValidation>
    <dataValidation type="list" allowBlank="1" showInputMessage="1" showErrorMessage="1" sqref="D2:D501" xr:uid="{5B28765F-8E6A-493F-9C6B-21FC4B030294}">
      <formula1>listof_teamcodes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B57CD5C-3818-4C2B-902A-C49BA76D859E}">
            <xm:f>NOT(ISERROR(SEARCH($D$1,C2)))</xm:f>
            <xm:f>$D$1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m:sqref>C2:C501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fetcher</vt:lpstr>
      <vt:lpstr>ARTS GENIUS</vt:lpstr>
      <vt:lpstr>CLASS BASED</vt:lpstr>
      <vt:lpstr>SPORTS GENIUS</vt:lpstr>
      <vt:lpstr>Gift committee</vt:lpstr>
      <vt:lpstr>ARTS</vt:lpstr>
      <vt:lpstr>SPORTS</vt:lpstr>
      <vt:lpstr>BEST</vt:lpstr>
      <vt:lpstr>Single Program Count</vt:lpstr>
      <vt:lpstr>Sheet2</vt:lpstr>
      <vt:lpstr>f_details_of_candidates</vt:lpstr>
      <vt:lpstr>f_details_of_sports_candidates</vt:lpstr>
      <vt:lpstr>'Gift committee'!Print_Area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Ashraf</dc:creator>
  <cp:lastModifiedBy>Muhammed Ashraf</cp:lastModifiedBy>
  <cp:lastPrinted>2023-10-28T13:34:11Z</cp:lastPrinted>
  <dcterms:created xsi:type="dcterms:W3CDTF">2023-10-24T05:22:05Z</dcterms:created>
  <dcterms:modified xsi:type="dcterms:W3CDTF">2023-12-20T10:53:40Z</dcterms:modified>
</cp:coreProperties>
</file>